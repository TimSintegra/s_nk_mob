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Рахимов Ильнар\Desktop\"/>
    </mc:Choice>
  </mc:AlternateContent>
  <xr:revisionPtr revIDLastSave="0" documentId="13_ncr:1_{AFF4DD8C-4AE5-4EB4-9B4F-078F7F459485}" xr6:coauthVersionLast="45" xr6:coauthVersionMax="45" xr10:uidLastSave="{00000000-0000-0000-0000-000000000000}"/>
  <bookViews>
    <workbookView xWindow="28680" yWindow="-10635" windowWidth="29040" windowHeight="15720" activeTab="1" xr2:uid="{E9422AD0-41FA-4103-9253-F1FA0CBA2893}"/>
  </bookViews>
  <sheets>
    <sheet name="Лист1" sheetId="1" r:id="rId1"/>
    <sheet name="Лист2" sheetId="2" r:id="rId2"/>
  </sheets>
  <externalReferences>
    <externalReference r:id="rId3"/>
  </externalReference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70" i="1" l="1"/>
  <c r="E671" i="1"/>
  <c r="E672" i="1"/>
  <c r="E673" i="1"/>
  <c r="E665" i="1"/>
  <c r="E666" i="1"/>
  <c r="E667" i="1"/>
  <c r="E668" i="1"/>
  <c r="E669" i="1"/>
  <c r="E654" i="1"/>
  <c r="E655" i="1"/>
  <c r="E656" i="1"/>
  <c r="E657" i="1"/>
  <c r="E658" i="1"/>
  <c r="E659" i="1"/>
  <c r="E660" i="1"/>
  <c r="E661" i="1"/>
  <c r="E662" i="1"/>
  <c r="E663" i="1"/>
  <c r="E664" i="1"/>
  <c r="E653" i="1"/>
  <c r="E644" i="1"/>
  <c r="E645" i="1"/>
  <c r="E646" i="1"/>
  <c r="E647" i="1"/>
  <c r="E648" i="1"/>
  <c r="E649" i="1"/>
  <c r="E650" i="1"/>
  <c r="E651" i="1"/>
  <c r="G644" i="1"/>
  <c r="G645" i="1"/>
  <c r="G646" i="1"/>
  <c r="G647" i="1"/>
  <c r="G648" i="1"/>
  <c r="G649" i="1"/>
  <c r="G650" i="1"/>
  <c r="G651" i="1"/>
  <c r="G652" i="1"/>
  <c r="G643" i="1"/>
  <c r="E643" i="1"/>
  <c r="G637" i="1"/>
  <c r="G638" i="1"/>
  <c r="G639" i="1"/>
  <c r="G640" i="1"/>
  <c r="G636" i="1"/>
  <c r="E637" i="1"/>
  <c r="E638" i="1"/>
  <c r="E639" i="1"/>
  <c r="E640" i="1"/>
  <c r="E636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15" i="1"/>
  <c r="U1751" i="1"/>
  <c r="T1751" i="1"/>
  <c r="R1751" i="1"/>
  <c r="P1751" i="1"/>
  <c r="S1751" i="1" s="1"/>
  <c r="V1751" i="1" s="1"/>
  <c r="U1750" i="1"/>
  <c r="T1750" i="1"/>
  <c r="R1750" i="1"/>
  <c r="P1750" i="1"/>
  <c r="S1750" i="1" s="1"/>
  <c r="V1750" i="1" s="1"/>
  <c r="U1749" i="1"/>
  <c r="T1749" i="1"/>
  <c r="R1749" i="1"/>
  <c r="P1749" i="1"/>
  <c r="S1749" i="1" s="1"/>
  <c r="V1749" i="1" s="1"/>
  <c r="U1748" i="1"/>
  <c r="T1748" i="1"/>
  <c r="R1748" i="1"/>
  <c r="S1748" i="1" s="1"/>
  <c r="V1748" i="1" s="1"/>
  <c r="P1748" i="1"/>
  <c r="U1747" i="1"/>
  <c r="T1747" i="1"/>
  <c r="R1747" i="1"/>
  <c r="S1747" i="1" s="1"/>
  <c r="V1747" i="1" s="1"/>
  <c r="P1747" i="1"/>
  <c r="U1746" i="1"/>
  <c r="T1746" i="1"/>
  <c r="R1746" i="1"/>
  <c r="P1746" i="1"/>
  <c r="S1746" i="1" s="1"/>
  <c r="U1745" i="1"/>
  <c r="T1745" i="1"/>
  <c r="R1745" i="1"/>
  <c r="P1745" i="1"/>
  <c r="S1745" i="1" s="1"/>
  <c r="V1745" i="1" s="1"/>
  <c r="U1744" i="1"/>
  <c r="T1744" i="1"/>
  <c r="R1744" i="1"/>
  <c r="P1744" i="1"/>
  <c r="S1744" i="1" s="1"/>
  <c r="V1744" i="1" s="1"/>
  <c r="U1743" i="1"/>
  <c r="T1743" i="1"/>
  <c r="R1743" i="1"/>
  <c r="P1743" i="1"/>
  <c r="S1743" i="1" s="1"/>
  <c r="V1743" i="1" s="1"/>
  <c r="U1742" i="1"/>
  <c r="T1742" i="1"/>
  <c r="R1742" i="1"/>
  <c r="P1742" i="1"/>
  <c r="S1742" i="1" s="1"/>
  <c r="V1742" i="1" s="1"/>
  <c r="U1741" i="1"/>
  <c r="T1741" i="1"/>
  <c r="S1741" i="1"/>
  <c r="R1741" i="1"/>
  <c r="P1741" i="1"/>
  <c r="U1740" i="1"/>
  <c r="T1740" i="1"/>
  <c r="R1740" i="1"/>
  <c r="P1740" i="1"/>
  <c r="S1740" i="1" s="1"/>
  <c r="V1740" i="1" s="1"/>
  <c r="U1739" i="1"/>
  <c r="T1739" i="1"/>
  <c r="R1739" i="1"/>
  <c r="P1739" i="1"/>
  <c r="U1738" i="1"/>
  <c r="T1738" i="1"/>
  <c r="R1738" i="1"/>
  <c r="P1738" i="1"/>
  <c r="S1738" i="1" s="1"/>
  <c r="V1738" i="1" s="1"/>
  <c r="U1737" i="1"/>
  <c r="T1737" i="1"/>
  <c r="S1737" i="1"/>
  <c r="V1737" i="1" s="1"/>
  <c r="R1737" i="1"/>
  <c r="P1737" i="1"/>
  <c r="U1736" i="1"/>
  <c r="T1736" i="1"/>
  <c r="R1736" i="1"/>
  <c r="S1736" i="1" s="1"/>
  <c r="V1736" i="1" s="1"/>
  <c r="P1736" i="1"/>
  <c r="U1735" i="1"/>
  <c r="T1735" i="1"/>
  <c r="S1735" i="1"/>
  <c r="R1735" i="1"/>
  <c r="P1735" i="1"/>
  <c r="U1734" i="1"/>
  <c r="T1734" i="1"/>
  <c r="R1734" i="1"/>
  <c r="P1734" i="1"/>
  <c r="S1734" i="1" s="1"/>
  <c r="V1734" i="1" s="1"/>
  <c r="U1733" i="1"/>
  <c r="T1733" i="1"/>
  <c r="R1733" i="1"/>
  <c r="P1733" i="1"/>
  <c r="U1732" i="1"/>
  <c r="T1732" i="1"/>
  <c r="R1732" i="1"/>
  <c r="P1732" i="1"/>
  <c r="S1732" i="1" s="1"/>
  <c r="V1732" i="1" s="1"/>
  <c r="U1731" i="1"/>
  <c r="T1731" i="1"/>
  <c r="S1731" i="1"/>
  <c r="V1731" i="1" s="1"/>
  <c r="R1731" i="1"/>
  <c r="P1731" i="1"/>
  <c r="U1730" i="1"/>
  <c r="T1730" i="1"/>
  <c r="R1730" i="1"/>
  <c r="P1730" i="1"/>
  <c r="U1729" i="1"/>
  <c r="T1729" i="1"/>
  <c r="S1729" i="1"/>
  <c r="V1729" i="1" s="1"/>
  <c r="R1729" i="1"/>
  <c r="P1729" i="1"/>
  <c r="U1728" i="1"/>
  <c r="T1728" i="1"/>
  <c r="R1728" i="1"/>
  <c r="P1728" i="1"/>
  <c r="S1728" i="1" s="1"/>
  <c r="V1728" i="1" s="1"/>
  <c r="V1727" i="1"/>
  <c r="U1727" i="1"/>
  <c r="T1727" i="1"/>
  <c r="R1727" i="1"/>
  <c r="P1727" i="1"/>
  <c r="S1727" i="1" s="1"/>
  <c r="U1726" i="1"/>
  <c r="T1726" i="1"/>
  <c r="R1726" i="1"/>
  <c r="P1726" i="1"/>
  <c r="S1726" i="1" s="1"/>
  <c r="V1726" i="1" s="1"/>
  <c r="U1725" i="1"/>
  <c r="T1725" i="1"/>
  <c r="R1725" i="1"/>
  <c r="P1725" i="1"/>
  <c r="S1725" i="1" s="1"/>
  <c r="V1725" i="1" s="1"/>
  <c r="U1724" i="1"/>
  <c r="T1724" i="1"/>
  <c r="R1724" i="1"/>
  <c r="S1724" i="1" s="1"/>
  <c r="V1724" i="1" s="1"/>
  <c r="P1724" i="1"/>
  <c r="U1723" i="1"/>
  <c r="T1723" i="1"/>
  <c r="V1723" i="1" s="1"/>
  <c r="R1723" i="1"/>
  <c r="S1723" i="1" s="1"/>
  <c r="P1723" i="1"/>
  <c r="U1722" i="1"/>
  <c r="T1722" i="1"/>
  <c r="R1722" i="1"/>
  <c r="P1722" i="1"/>
  <c r="S1722" i="1" s="1"/>
  <c r="V1722" i="1" s="1"/>
  <c r="U1721" i="1"/>
  <c r="T1721" i="1"/>
  <c r="R1721" i="1"/>
  <c r="P1721" i="1"/>
  <c r="U1720" i="1"/>
  <c r="T1720" i="1"/>
  <c r="R1720" i="1"/>
  <c r="P1720" i="1"/>
  <c r="S1720" i="1" s="1"/>
  <c r="V1720" i="1" s="1"/>
  <c r="U1719" i="1"/>
  <c r="T1719" i="1"/>
  <c r="R1719" i="1"/>
  <c r="P1719" i="1"/>
  <c r="S1719" i="1" s="1"/>
  <c r="V1719" i="1" s="1"/>
  <c r="U1718" i="1"/>
  <c r="T1718" i="1"/>
  <c r="R1718" i="1"/>
  <c r="P1718" i="1"/>
  <c r="S1718" i="1" s="1"/>
  <c r="V1718" i="1" s="1"/>
  <c r="U1717" i="1"/>
  <c r="V1717" i="1" s="1"/>
  <c r="T1717" i="1"/>
  <c r="S1717" i="1"/>
  <c r="R1717" i="1"/>
  <c r="P1717" i="1"/>
  <c r="U1716" i="1"/>
  <c r="T1716" i="1"/>
  <c r="R1716" i="1"/>
  <c r="P1716" i="1"/>
  <c r="S1716" i="1" s="1"/>
  <c r="V1716" i="1" s="1"/>
  <c r="U1715" i="1"/>
  <c r="T1715" i="1"/>
  <c r="R1715" i="1"/>
  <c r="P1715" i="1"/>
  <c r="S1715" i="1" s="1"/>
  <c r="V1715" i="1" s="1"/>
  <c r="U1714" i="1"/>
  <c r="T1714" i="1"/>
  <c r="R1714" i="1"/>
  <c r="P1714" i="1"/>
  <c r="S1714" i="1" s="1"/>
  <c r="V1714" i="1" s="1"/>
  <c r="U1713" i="1"/>
  <c r="T1713" i="1"/>
  <c r="R1713" i="1"/>
  <c r="P1713" i="1"/>
  <c r="S1713" i="1" s="1"/>
  <c r="V1713" i="1" s="1"/>
  <c r="U1712" i="1"/>
  <c r="T1712" i="1"/>
  <c r="S1712" i="1"/>
  <c r="R1712" i="1"/>
  <c r="P1712" i="1"/>
  <c r="U1711" i="1"/>
  <c r="T1711" i="1"/>
  <c r="R1711" i="1"/>
  <c r="S1711" i="1" s="1"/>
  <c r="V1711" i="1" s="1"/>
  <c r="P1711" i="1"/>
  <c r="V1710" i="1"/>
  <c r="U1710" i="1"/>
  <c r="T1710" i="1"/>
  <c r="R1710" i="1"/>
  <c r="P1710" i="1"/>
  <c r="S1710" i="1" s="1"/>
  <c r="U1707" i="1"/>
  <c r="T1707" i="1"/>
  <c r="R1707" i="1"/>
  <c r="P1707" i="1"/>
  <c r="S1707" i="1" s="1"/>
  <c r="V1707" i="1" s="1"/>
  <c r="U1706" i="1"/>
  <c r="T1706" i="1"/>
  <c r="S1706" i="1"/>
  <c r="R1706" i="1"/>
  <c r="P1706" i="1"/>
  <c r="U1705" i="1"/>
  <c r="T1705" i="1"/>
  <c r="S1705" i="1"/>
  <c r="V1705" i="1" s="1"/>
  <c r="R1705" i="1"/>
  <c r="P1705" i="1"/>
  <c r="U1704" i="1"/>
  <c r="T1704" i="1"/>
  <c r="S1704" i="1"/>
  <c r="V1704" i="1" s="1"/>
  <c r="R1704" i="1"/>
  <c r="P1704" i="1"/>
  <c r="U1703" i="1"/>
  <c r="T1703" i="1"/>
  <c r="R1703" i="1"/>
  <c r="P1703" i="1"/>
  <c r="S1703" i="1" s="1"/>
  <c r="U1702" i="1"/>
  <c r="T1702" i="1"/>
  <c r="R1702" i="1"/>
  <c r="P1702" i="1"/>
  <c r="U1701" i="1"/>
  <c r="T1701" i="1"/>
  <c r="S1701" i="1"/>
  <c r="V1701" i="1" s="1"/>
  <c r="R1701" i="1"/>
  <c r="P1701" i="1"/>
  <c r="U1700" i="1"/>
  <c r="T1700" i="1"/>
  <c r="R1700" i="1"/>
  <c r="P1700" i="1"/>
  <c r="S1700" i="1" s="1"/>
  <c r="V1700" i="1" s="1"/>
  <c r="U1699" i="1"/>
  <c r="T1699" i="1"/>
  <c r="R1699" i="1"/>
  <c r="P1699" i="1"/>
  <c r="S1699" i="1" s="1"/>
  <c r="V1699" i="1" s="1"/>
  <c r="U1698" i="1"/>
  <c r="V1698" i="1" s="1"/>
  <c r="T1698" i="1"/>
  <c r="S1698" i="1"/>
  <c r="R1698" i="1"/>
  <c r="P1698" i="1"/>
  <c r="U1697" i="1"/>
  <c r="T1697" i="1"/>
  <c r="R1697" i="1"/>
  <c r="P1697" i="1"/>
  <c r="S1697" i="1" s="1"/>
  <c r="V1697" i="1" s="1"/>
  <c r="V1696" i="1"/>
  <c r="U1696" i="1"/>
  <c r="T1696" i="1"/>
  <c r="R1696" i="1"/>
  <c r="P1696" i="1"/>
  <c r="S1696" i="1" s="1"/>
  <c r="V1695" i="1"/>
  <c r="U1695" i="1"/>
  <c r="T1695" i="1"/>
  <c r="R1695" i="1"/>
  <c r="P1695" i="1"/>
  <c r="S1695" i="1" s="1"/>
  <c r="U1694" i="1"/>
  <c r="T1694" i="1"/>
  <c r="R1694" i="1"/>
  <c r="P1694" i="1"/>
  <c r="S1694" i="1" s="1"/>
  <c r="V1694" i="1" s="1"/>
  <c r="U1693" i="1"/>
  <c r="T1693" i="1"/>
  <c r="R1693" i="1"/>
  <c r="S1693" i="1" s="1"/>
  <c r="V1693" i="1" s="1"/>
  <c r="P1693" i="1"/>
  <c r="V1692" i="1"/>
  <c r="U1692" i="1"/>
  <c r="T1692" i="1"/>
  <c r="R1692" i="1"/>
  <c r="S1692" i="1" s="1"/>
  <c r="P1692" i="1"/>
  <c r="U1691" i="1"/>
  <c r="T1691" i="1"/>
  <c r="R1691" i="1"/>
  <c r="P1691" i="1"/>
  <c r="S1691" i="1" s="1"/>
  <c r="V1691" i="1" s="1"/>
  <c r="U1690" i="1"/>
  <c r="T1690" i="1"/>
  <c r="R1690" i="1"/>
  <c r="P1690" i="1"/>
  <c r="S1690" i="1" s="1"/>
  <c r="V1690" i="1" s="1"/>
  <c r="U1689" i="1"/>
  <c r="T1689" i="1"/>
  <c r="R1689" i="1"/>
  <c r="P1689" i="1"/>
  <c r="S1689" i="1" s="1"/>
  <c r="V1689" i="1" s="1"/>
  <c r="U1688" i="1"/>
  <c r="T1688" i="1"/>
  <c r="R1688" i="1"/>
  <c r="P1688" i="1"/>
  <c r="U1687" i="1"/>
  <c r="T1687" i="1"/>
  <c r="R1687" i="1"/>
  <c r="P1687" i="1"/>
  <c r="S1687" i="1" s="1"/>
  <c r="V1687" i="1" s="1"/>
  <c r="U1686" i="1"/>
  <c r="T1686" i="1"/>
  <c r="S1686" i="1"/>
  <c r="V1686" i="1" s="1"/>
  <c r="R1686" i="1"/>
  <c r="P1686" i="1"/>
  <c r="U1685" i="1"/>
  <c r="T1685" i="1"/>
  <c r="S1685" i="1"/>
  <c r="V1685" i="1" s="1"/>
  <c r="R1685" i="1"/>
  <c r="P1685" i="1"/>
  <c r="U1684" i="1"/>
  <c r="T1684" i="1"/>
  <c r="R1684" i="1"/>
  <c r="P1684" i="1"/>
  <c r="S1684" i="1" s="1"/>
  <c r="V1684" i="1" s="1"/>
  <c r="V1683" i="1"/>
  <c r="U1683" i="1"/>
  <c r="T1683" i="1"/>
  <c r="S1683" i="1"/>
  <c r="R1683" i="1"/>
  <c r="P1683" i="1"/>
  <c r="U1682" i="1"/>
  <c r="T1682" i="1"/>
  <c r="R1682" i="1"/>
  <c r="P1682" i="1"/>
  <c r="S1682" i="1" s="1"/>
  <c r="V1682" i="1" s="1"/>
  <c r="U1681" i="1"/>
  <c r="T1681" i="1"/>
  <c r="S1681" i="1"/>
  <c r="R1681" i="1"/>
  <c r="P1681" i="1"/>
  <c r="U1680" i="1"/>
  <c r="T1680" i="1"/>
  <c r="R1680" i="1"/>
  <c r="S1680" i="1" s="1"/>
  <c r="V1680" i="1" s="1"/>
  <c r="P1680" i="1"/>
  <c r="U1679" i="1"/>
  <c r="V1679" i="1" s="1"/>
  <c r="T1679" i="1"/>
  <c r="R1679" i="1"/>
  <c r="P1679" i="1"/>
  <c r="S1679" i="1" s="1"/>
  <c r="U1678" i="1"/>
  <c r="T1678" i="1"/>
  <c r="R1678" i="1"/>
  <c r="P1678" i="1"/>
  <c r="U1677" i="1"/>
  <c r="T1677" i="1"/>
  <c r="R1677" i="1"/>
  <c r="S1677" i="1" s="1"/>
  <c r="V1677" i="1" s="1"/>
  <c r="P1677" i="1"/>
  <c r="U1676" i="1"/>
  <c r="T1676" i="1"/>
  <c r="R1676" i="1"/>
  <c r="P1676" i="1"/>
  <c r="S1676" i="1" s="1"/>
  <c r="V1676" i="1" s="1"/>
  <c r="U1675" i="1"/>
  <c r="T1675" i="1"/>
  <c r="R1675" i="1"/>
  <c r="S1675" i="1" s="1"/>
  <c r="V1675" i="1" s="1"/>
  <c r="P1675" i="1"/>
  <c r="U1674" i="1"/>
  <c r="T1674" i="1"/>
  <c r="S1674" i="1"/>
  <c r="R1674" i="1"/>
  <c r="P1674" i="1"/>
  <c r="U1673" i="1"/>
  <c r="T1673" i="1"/>
  <c r="R1673" i="1"/>
  <c r="P1673" i="1"/>
  <c r="S1673" i="1" s="1"/>
  <c r="U1672" i="1"/>
  <c r="V1672" i="1" s="1"/>
  <c r="T1672" i="1"/>
  <c r="R1672" i="1"/>
  <c r="P1672" i="1"/>
  <c r="S1672" i="1" s="1"/>
  <c r="U1671" i="1"/>
  <c r="T1671" i="1"/>
  <c r="R1671" i="1"/>
  <c r="P1671" i="1"/>
  <c r="S1671" i="1" s="1"/>
  <c r="V1671" i="1" s="1"/>
  <c r="U1670" i="1"/>
  <c r="T1670" i="1"/>
  <c r="S1670" i="1"/>
  <c r="R1670" i="1"/>
  <c r="P1670" i="1"/>
  <c r="U1669" i="1"/>
  <c r="T1669" i="1"/>
  <c r="R1669" i="1"/>
  <c r="S1669" i="1" s="1"/>
  <c r="V1669" i="1" s="1"/>
  <c r="P1669" i="1"/>
  <c r="V1668" i="1"/>
  <c r="U1668" i="1"/>
  <c r="T1668" i="1"/>
  <c r="S1668" i="1"/>
  <c r="R1668" i="1"/>
  <c r="P1668" i="1"/>
  <c r="U1667" i="1"/>
  <c r="T1667" i="1"/>
  <c r="R1667" i="1"/>
  <c r="P1667" i="1"/>
  <c r="S1667" i="1" s="1"/>
  <c r="V1667" i="1" s="1"/>
  <c r="U1666" i="1"/>
  <c r="T1666" i="1"/>
  <c r="R1666" i="1"/>
  <c r="P1666" i="1"/>
  <c r="U1665" i="1"/>
  <c r="T1665" i="1"/>
  <c r="R1665" i="1"/>
  <c r="P1665" i="1"/>
  <c r="S1665" i="1" s="1"/>
  <c r="V1665" i="1" s="1"/>
  <c r="U1664" i="1"/>
  <c r="T1664" i="1"/>
  <c r="R1664" i="1"/>
  <c r="S1664" i="1" s="1"/>
  <c r="V1664" i="1" s="1"/>
  <c r="P1664" i="1"/>
  <c r="U1663" i="1"/>
  <c r="T1663" i="1"/>
  <c r="R1663" i="1"/>
  <c r="P1663" i="1"/>
  <c r="S1663" i="1" s="1"/>
  <c r="V1663" i="1" s="1"/>
  <c r="U1662" i="1"/>
  <c r="T1662" i="1"/>
  <c r="S1662" i="1"/>
  <c r="V1662" i="1" s="1"/>
  <c r="R1662" i="1"/>
  <c r="P1662" i="1"/>
  <c r="U1661" i="1"/>
  <c r="T1661" i="1"/>
  <c r="R1661" i="1"/>
  <c r="P1661" i="1"/>
  <c r="S1661" i="1" s="1"/>
  <c r="V1661" i="1" s="1"/>
  <c r="U1660" i="1"/>
  <c r="T1660" i="1"/>
  <c r="R1660" i="1"/>
  <c r="P1660" i="1"/>
  <c r="U1659" i="1"/>
  <c r="T1659" i="1"/>
  <c r="R1659" i="1"/>
  <c r="S1659" i="1" s="1"/>
  <c r="V1659" i="1" s="1"/>
  <c r="P1659" i="1"/>
  <c r="U1658" i="1"/>
  <c r="T1658" i="1"/>
  <c r="S1658" i="1"/>
  <c r="V1658" i="1" s="1"/>
  <c r="R1658" i="1"/>
  <c r="P1658" i="1"/>
  <c r="U1657" i="1"/>
  <c r="T1657" i="1"/>
  <c r="R1657" i="1"/>
  <c r="S1657" i="1" s="1"/>
  <c r="V1657" i="1" s="1"/>
  <c r="P1657" i="1"/>
  <c r="U1656" i="1"/>
  <c r="T1656" i="1"/>
  <c r="S1656" i="1"/>
  <c r="V1656" i="1" s="1"/>
  <c r="R1656" i="1"/>
  <c r="P1656" i="1"/>
  <c r="U1655" i="1"/>
  <c r="T1655" i="1"/>
  <c r="R1655" i="1"/>
  <c r="P1655" i="1"/>
  <c r="S1655" i="1" s="1"/>
  <c r="U1654" i="1"/>
  <c r="T1654" i="1"/>
  <c r="R1654" i="1"/>
  <c r="P1654" i="1"/>
  <c r="U1653" i="1"/>
  <c r="T1653" i="1"/>
  <c r="R1653" i="1"/>
  <c r="P1653" i="1"/>
  <c r="S1653" i="1" s="1"/>
  <c r="V1653" i="1" s="1"/>
  <c r="V1652" i="1"/>
  <c r="U1652" i="1"/>
  <c r="T1652" i="1"/>
  <c r="R1652" i="1"/>
  <c r="P1652" i="1"/>
  <c r="S1652" i="1" s="1"/>
  <c r="U1651" i="1"/>
  <c r="T1651" i="1"/>
  <c r="S1651" i="1"/>
  <c r="V1651" i="1" s="1"/>
  <c r="R1651" i="1"/>
  <c r="P1651" i="1"/>
  <c r="V1650" i="1"/>
  <c r="U1650" i="1"/>
  <c r="T1650" i="1"/>
  <c r="S1650" i="1"/>
  <c r="R1650" i="1"/>
  <c r="P1650" i="1"/>
  <c r="U1649" i="1"/>
  <c r="T1649" i="1"/>
  <c r="R1649" i="1"/>
  <c r="P1649" i="1"/>
  <c r="S1649" i="1" s="1"/>
  <c r="V1649" i="1" s="1"/>
  <c r="V1648" i="1"/>
  <c r="U1648" i="1"/>
  <c r="T1648" i="1"/>
  <c r="R1648" i="1"/>
  <c r="P1648" i="1"/>
  <c r="S1648" i="1" s="1"/>
  <c r="U1647" i="1"/>
  <c r="T1647" i="1"/>
  <c r="R1647" i="1"/>
  <c r="P1647" i="1"/>
  <c r="S1647" i="1" s="1"/>
  <c r="V1647" i="1" s="1"/>
  <c r="U1646" i="1"/>
  <c r="T1646" i="1"/>
  <c r="R1646" i="1"/>
  <c r="P1646" i="1"/>
  <c r="S1646" i="1" s="1"/>
  <c r="V1646" i="1" s="1"/>
  <c r="U1645" i="1"/>
  <c r="T1645" i="1"/>
  <c r="R1645" i="1"/>
  <c r="S1645" i="1" s="1"/>
  <c r="V1645" i="1" s="1"/>
  <c r="P1645" i="1"/>
  <c r="U1644" i="1"/>
  <c r="T1644" i="1"/>
  <c r="R1644" i="1"/>
  <c r="S1644" i="1" s="1"/>
  <c r="V1644" i="1" s="1"/>
  <c r="P1644" i="1"/>
  <c r="U1643" i="1"/>
  <c r="T1643" i="1"/>
  <c r="R1643" i="1"/>
  <c r="P1643" i="1"/>
  <c r="S1643" i="1" s="1"/>
  <c r="V1643" i="1" s="1"/>
  <c r="U1642" i="1"/>
  <c r="T1642" i="1"/>
  <c r="R1642" i="1"/>
  <c r="P1642" i="1"/>
  <c r="S1642" i="1" s="1"/>
  <c r="V1642" i="1" s="1"/>
  <c r="V1641" i="1"/>
  <c r="U1641" i="1"/>
  <c r="T1641" i="1"/>
  <c r="R1641" i="1"/>
  <c r="P1641" i="1"/>
  <c r="S1641" i="1" s="1"/>
  <c r="U1640" i="1"/>
  <c r="T1640" i="1"/>
  <c r="R1640" i="1"/>
  <c r="P1640" i="1"/>
  <c r="S1640" i="1" s="1"/>
  <c r="V1640" i="1" s="1"/>
  <c r="U1639" i="1"/>
  <c r="T1639" i="1"/>
  <c r="S1639" i="1"/>
  <c r="V1639" i="1" s="1"/>
  <c r="R1639" i="1"/>
  <c r="P1639" i="1"/>
  <c r="U1638" i="1"/>
  <c r="T1638" i="1"/>
  <c r="S1638" i="1"/>
  <c r="V1638" i="1" s="1"/>
  <c r="R1638" i="1"/>
  <c r="P1638" i="1"/>
  <c r="U1637" i="1"/>
  <c r="T1637" i="1"/>
  <c r="S1637" i="1"/>
  <c r="R1637" i="1"/>
  <c r="P1637" i="1"/>
  <c r="U1636" i="1"/>
  <c r="T1636" i="1"/>
  <c r="R1636" i="1"/>
  <c r="P1636" i="1"/>
  <c r="S1636" i="1" s="1"/>
  <c r="V1636" i="1" s="1"/>
  <c r="U1635" i="1"/>
  <c r="T1635" i="1"/>
  <c r="S1635" i="1"/>
  <c r="V1635" i="1" s="1"/>
  <c r="R1635" i="1"/>
  <c r="P1635" i="1"/>
  <c r="U1634" i="1"/>
  <c r="T1634" i="1"/>
  <c r="R1634" i="1"/>
  <c r="P1634" i="1"/>
  <c r="S1634" i="1" s="1"/>
  <c r="V1634" i="1" s="1"/>
  <c r="U1633" i="1"/>
  <c r="T1633" i="1"/>
  <c r="S1633" i="1"/>
  <c r="R1633" i="1"/>
  <c r="P1633" i="1"/>
  <c r="U1632" i="1"/>
  <c r="T1632" i="1"/>
  <c r="R1632" i="1"/>
  <c r="S1632" i="1" s="1"/>
  <c r="V1632" i="1" s="1"/>
  <c r="P1632" i="1"/>
  <c r="U1631" i="1"/>
  <c r="T1631" i="1"/>
  <c r="R1631" i="1"/>
  <c r="P1631" i="1"/>
  <c r="S1631" i="1" s="1"/>
  <c r="U1630" i="1"/>
  <c r="T1630" i="1"/>
  <c r="R1630" i="1"/>
  <c r="P1630" i="1"/>
  <c r="V1629" i="1"/>
  <c r="U1629" i="1"/>
  <c r="T1629" i="1"/>
  <c r="S1629" i="1"/>
  <c r="R1629" i="1"/>
  <c r="P1629" i="1"/>
  <c r="U1628" i="1"/>
  <c r="T1628" i="1"/>
  <c r="R1628" i="1"/>
  <c r="S1628" i="1" s="1"/>
  <c r="V1628" i="1" s="1"/>
  <c r="P1628" i="1"/>
  <c r="U1627" i="1"/>
  <c r="T1627" i="1"/>
  <c r="S1627" i="1"/>
  <c r="R1627" i="1"/>
  <c r="P1627" i="1"/>
  <c r="U1626" i="1"/>
  <c r="T1626" i="1"/>
  <c r="S1626" i="1"/>
  <c r="V1626" i="1" s="1"/>
  <c r="R1626" i="1"/>
  <c r="P1626" i="1"/>
  <c r="V1623" i="1"/>
  <c r="S1623" i="1"/>
  <c r="R1623" i="1"/>
  <c r="P1623" i="1"/>
  <c r="A1623" i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622" i="1"/>
  <c r="A1621" i="1"/>
  <c r="A1620" i="1"/>
  <c r="R1619" i="1"/>
  <c r="P1619" i="1"/>
  <c r="A1619" i="1"/>
  <c r="S1618" i="1"/>
  <c r="V1618" i="1" s="1"/>
  <c r="R1618" i="1"/>
  <c r="P1618" i="1"/>
  <c r="A1618" i="1"/>
  <c r="S1617" i="1"/>
  <c r="V1617" i="1" s="1"/>
  <c r="R1617" i="1"/>
  <c r="P1617" i="1"/>
  <c r="A1617" i="1"/>
  <c r="V1616" i="1"/>
  <c r="R1616" i="1"/>
  <c r="S1616" i="1" s="1"/>
  <c r="P1616" i="1"/>
  <c r="A1616" i="1"/>
  <c r="R1615" i="1"/>
  <c r="P1615" i="1"/>
  <c r="S1615" i="1" s="1"/>
  <c r="V1615" i="1" s="1"/>
  <c r="A1615" i="1"/>
  <c r="S1614" i="1"/>
  <c r="V1614" i="1" s="1"/>
  <c r="R1614" i="1"/>
  <c r="P1614" i="1"/>
  <c r="A1614" i="1"/>
  <c r="R1613" i="1"/>
  <c r="P1613" i="1"/>
  <c r="A1613" i="1"/>
  <c r="R1612" i="1"/>
  <c r="P1612" i="1"/>
  <c r="S1612" i="1" s="1"/>
  <c r="V1612" i="1" s="1"/>
  <c r="A1612" i="1"/>
  <c r="A1611" i="1"/>
  <c r="S1610" i="1"/>
  <c r="V1610" i="1" s="1"/>
  <c r="R1610" i="1"/>
  <c r="P1610" i="1"/>
  <c r="A1610" i="1"/>
  <c r="S1609" i="1"/>
  <c r="V1609" i="1" s="1"/>
  <c r="R1609" i="1"/>
  <c r="P1609" i="1"/>
  <c r="A1609" i="1"/>
  <c r="R1608" i="1"/>
  <c r="P1608" i="1"/>
  <c r="S1608" i="1" s="1"/>
  <c r="V1608" i="1" s="1"/>
  <c r="A1608" i="1"/>
  <c r="A1607" i="1"/>
  <c r="A1606" i="1"/>
  <c r="S1605" i="1"/>
  <c r="V1605" i="1" s="1"/>
  <c r="R1605" i="1"/>
  <c r="P1605" i="1"/>
  <c r="A1605" i="1"/>
  <c r="R1604" i="1"/>
  <c r="P1604" i="1"/>
  <c r="S1604" i="1" s="1"/>
  <c r="V1604" i="1" s="1"/>
  <c r="A1604" i="1"/>
  <c r="S1603" i="1"/>
  <c r="V1603" i="1" s="1"/>
  <c r="R1603" i="1"/>
  <c r="P1603" i="1"/>
  <c r="A1603" i="1"/>
  <c r="R1602" i="1"/>
  <c r="P1602" i="1"/>
  <c r="S1602" i="1" s="1"/>
  <c r="V1602" i="1" s="1"/>
  <c r="A1602" i="1"/>
  <c r="A1601" i="1"/>
  <c r="R1600" i="1"/>
  <c r="P1600" i="1"/>
  <c r="S1600" i="1" s="1"/>
  <c r="V1600" i="1" s="1"/>
  <c r="A1600" i="1"/>
  <c r="A1599" i="1"/>
  <c r="S1598" i="1"/>
  <c r="V1598" i="1" s="1"/>
  <c r="R1598" i="1"/>
  <c r="P1598" i="1"/>
  <c r="A1598" i="1"/>
  <c r="R1597" i="1"/>
  <c r="P1597" i="1"/>
  <c r="S1597" i="1" s="1"/>
  <c r="V1597" i="1" s="1"/>
  <c r="A1597" i="1"/>
  <c r="R1596" i="1"/>
  <c r="P1596" i="1"/>
  <c r="S1596" i="1" s="1"/>
  <c r="V1596" i="1" s="1"/>
  <c r="A1596" i="1"/>
  <c r="V1595" i="1"/>
  <c r="S1595" i="1"/>
  <c r="R1595" i="1"/>
  <c r="P1595" i="1"/>
  <c r="A1595" i="1"/>
  <c r="R1594" i="1"/>
  <c r="S1594" i="1" s="1"/>
  <c r="V1594" i="1" s="1"/>
  <c r="P1594" i="1"/>
  <c r="A1594" i="1"/>
  <c r="V1593" i="1"/>
  <c r="R1593" i="1"/>
  <c r="S1593" i="1" s="1"/>
  <c r="P1593" i="1"/>
  <c r="A1593" i="1"/>
  <c r="A1592" i="1"/>
  <c r="A1591" i="1"/>
  <c r="R1590" i="1"/>
  <c r="S1590" i="1" s="1"/>
  <c r="V1590" i="1" s="1"/>
  <c r="P1590" i="1"/>
  <c r="A1590" i="1"/>
  <c r="V1589" i="1"/>
  <c r="R1589" i="1"/>
  <c r="S1589" i="1" s="1"/>
  <c r="P1589" i="1"/>
  <c r="A1589" i="1"/>
  <c r="R1588" i="1"/>
  <c r="P1588" i="1"/>
  <c r="A1588" i="1"/>
  <c r="A1587" i="1"/>
  <c r="R1586" i="1"/>
  <c r="P1586" i="1"/>
  <c r="S1586" i="1" s="1"/>
  <c r="V1586" i="1" s="1"/>
  <c r="A1586" i="1"/>
  <c r="V1585" i="1"/>
  <c r="R1585" i="1"/>
  <c r="P1585" i="1"/>
  <c r="S1585" i="1" s="1"/>
  <c r="A1585" i="1"/>
  <c r="A1584" i="1"/>
  <c r="R1583" i="1"/>
  <c r="P1583" i="1"/>
  <c r="S1583" i="1" s="1"/>
  <c r="V1583" i="1" s="1"/>
  <c r="A1583" i="1"/>
  <c r="S1582" i="1"/>
  <c r="V1582" i="1" s="1"/>
  <c r="R1582" i="1"/>
  <c r="P1582" i="1"/>
  <c r="A1582" i="1"/>
  <c r="S1581" i="1"/>
  <c r="V1581" i="1" s="1"/>
  <c r="R1581" i="1"/>
  <c r="P1581" i="1"/>
  <c r="A1581" i="1"/>
  <c r="A1580" i="1"/>
  <c r="R1579" i="1"/>
  <c r="S1579" i="1" s="1"/>
  <c r="V1579" i="1" s="1"/>
  <c r="P1579" i="1"/>
  <c r="A1579" i="1"/>
  <c r="R1578" i="1"/>
  <c r="S1578" i="1" s="1"/>
  <c r="V1578" i="1" s="1"/>
  <c r="P1578" i="1"/>
  <c r="A1578" i="1"/>
  <c r="R1577" i="1"/>
  <c r="S1577" i="1" s="1"/>
  <c r="V1577" i="1" s="1"/>
  <c r="P1577" i="1"/>
  <c r="A1577" i="1"/>
  <c r="A1576" i="1"/>
  <c r="S1575" i="1"/>
  <c r="V1575" i="1" s="1"/>
  <c r="R1575" i="1"/>
  <c r="P1575" i="1"/>
  <c r="A1575" i="1"/>
  <c r="R1574" i="1"/>
  <c r="P1574" i="1"/>
  <c r="S1574" i="1" s="1"/>
  <c r="V1574" i="1" s="1"/>
  <c r="A1574" i="1"/>
  <c r="V1573" i="1"/>
  <c r="R1573" i="1"/>
  <c r="P1573" i="1"/>
  <c r="S1573" i="1" s="1"/>
  <c r="A1573" i="1"/>
  <c r="V1572" i="1"/>
  <c r="R1572" i="1"/>
  <c r="P1572" i="1"/>
  <c r="S1572" i="1" s="1"/>
  <c r="A1572" i="1"/>
  <c r="S1571" i="1"/>
  <c r="V1571" i="1" s="1"/>
  <c r="R1571" i="1"/>
  <c r="P1571" i="1"/>
  <c r="A1571" i="1"/>
  <c r="S1570" i="1"/>
  <c r="V1570" i="1" s="1"/>
  <c r="R1570" i="1"/>
  <c r="P1570" i="1"/>
  <c r="A1570" i="1"/>
  <c r="R1569" i="1"/>
  <c r="P1569" i="1"/>
  <c r="A1569" i="1"/>
  <c r="R1568" i="1"/>
  <c r="P1568" i="1"/>
  <c r="S1568" i="1" s="1"/>
  <c r="V1568" i="1" s="1"/>
  <c r="A1568" i="1"/>
  <c r="R1567" i="1"/>
  <c r="P1567" i="1"/>
  <c r="S1567" i="1" s="1"/>
  <c r="V1567" i="1" s="1"/>
  <c r="A1567" i="1"/>
  <c r="R1566" i="1"/>
  <c r="P1566" i="1"/>
  <c r="S1566" i="1" s="1"/>
  <c r="V1566" i="1" s="1"/>
  <c r="A1566" i="1"/>
  <c r="S1565" i="1"/>
  <c r="V1565" i="1" s="1"/>
  <c r="R1565" i="1"/>
  <c r="P1565" i="1"/>
  <c r="A1565" i="1"/>
  <c r="R1564" i="1"/>
  <c r="P1564" i="1"/>
  <c r="S1564" i="1" s="1"/>
  <c r="V1564" i="1" s="1"/>
  <c r="A1564" i="1"/>
  <c r="R1563" i="1"/>
  <c r="P1563" i="1"/>
  <c r="S1563" i="1" s="1"/>
  <c r="V1563" i="1" s="1"/>
  <c r="A1563" i="1"/>
  <c r="S1562" i="1"/>
  <c r="V1562" i="1" s="1"/>
  <c r="R1562" i="1"/>
  <c r="P1562" i="1"/>
  <c r="A1562" i="1"/>
  <c r="R1561" i="1"/>
  <c r="P1561" i="1"/>
  <c r="S1561" i="1" s="1"/>
  <c r="V1561" i="1" s="1"/>
  <c r="A1561" i="1"/>
  <c r="R1560" i="1"/>
  <c r="P1560" i="1"/>
  <c r="S1560" i="1" s="1"/>
  <c r="V1560" i="1" s="1"/>
  <c r="A1560" i="1"/>
  <c r="A1559" i="1"/>
  <c r="A1558" i="1"/>
  <c r="A1557" i="1"/>
  <c r="A1556" i="1"/>
  <c r="R1555" i="1"/>
  <c r="P1555" i="1"/>
  <c r="S1555" i="1" s="1"/>
  <c r="V1555" i="1" s="1"/>
  <c r="A1555" i="1"/>
  <c r="A1554" i="1"/>
  <c r="A1553" i="1"/>
  <c r="S1552" i="1"/>
  <c r="V1552" i="1" s="1"/>
  <c r="R1552" i="1"/>
  <c r="P1552" i="1"/>
  <c r="A1552" i="1"/>
  <c r="A1551" i="1"/>
  <c r="R1550" i="1"/>
  <c r="S1550" i="1" s="1"/>
  <c r="V1550" i="1" s="1"/>
  <c r="P1550" i="1"/>
  <c r="A1550" i="1"/>
  <c r="A1549" i="1"/>
  <c r="A1548" i="1"/>
  <c r="R1547" i="1"/>
  <c r="S1547" i="1" s="1"/>
  <c r="V1547" i="1" s="1"/>
  <c r="P1547" i="1"/>
  <c r="A1547" i="1"/>
  <c r="A1546" i="1"/>
  <c r="V1545" i="1"/>
  <c r="S1545" i="1"/>
  <c r="R1545" i="1"/>
  <c r="P1545" i="1"/>
  <c r="A1545" i="1"/>
  <c r="A1544" i="1"/>
  <c r="R1543" i="1"/>
  <c r="S1543" i="1" s="1"/>
  <c r="V1543" i="1" s="1"/>
  <c r="P1543" i="1"/>
  <c r="A1543" i="1"/>
  <c r="A1542" i="1"/>
  <c r="V1541" i="1"/>
  <c r="S1541" i="1"/>
  <c r="R1541" i="1"/>
  <c r="P1541" i="1"/>
  <c r="A1541" i="1"/>
  <c r="S1540" i="1"/>
  <c r="V1540" i="1" s="1"/>
  <c r="R1540" i="1"/>
  <c r="P1540" i="1"/>
  <c r="A1540" i="1"/>
  <c r="A1539" i="1"/>
  <c r="R1538" i="1"/>
  <c r="S1538" i="1" s="1"/>
  <c r="V1538" i="1" s="1"/>
  <c r="P1538" i="1"/>
  <c r="A1538" i="1"/>
  <c r="A1537" i="1"/>
  <c r="V1536" i="1"/>
  <c r="S1536" i="1"/>
  <c r="R1536" i="1"/>
  <c r="P1536" i="1"/>
  <c r="A1536" i="1"/>
  <c r="A1535" i="1"/>
  <c r="A1534" i="1"/>
  <c r="S1533" i="1"/>
  <c r="V1533" i="1" s="1"/>
  <c r="R1533" i="1"/>
  <c r="P1533" i="1"/>
  <c r="A1533" i="1"/>
  <c r="A1532" i="1"/>
  <c r="R1531" i="1"/>
  <c r="S1531" i="1" s="1"/>
  <c r="V1531" i="1" s="1"/>
  <c r="P1531" i="1"/>
  <c r="A1531" i="1"/>
  <c r="A1530" i="1"/>
  <c r="A1529" i="1"/>
  <c r="R1528" i="1"/>
  <c r="P1528" i="1"/>
  <c r="S1528" i="1" s="1"/>
  <c r="V1528" i="1" s="1"/>
  <c r="A1528" i="1"/>
  <c r="S1527" i="1"/>
  <c r="V1527" i="1" s="1"/>
  <c r="R1527" i="1"/>
  <c r="P1527" i="1"/>
  <c r="A1527" i="1"/>
  <c r="R1526" i="1"/>
  <c r="S1526" i="1" s="1"/>
  <c r="V1526" i="1" s="1"/>
  <c r="P1526" i="1"/>
  <c r="A1526" i="1"/>
  <c r="R1525" i="1"/>
  <c r="P1525" i="1"/>
  <c r="S1525" i="1" s="1"/>
  <c r="V1525" i="1" s="1"/>
  <c r="A1525" i="1"/>
  <c r="A1524" i="1"/>
  <c r="A1523" i="1"/>
  <c r="R1522" i="1"/>
  <c r="S1522" i="1" s="1"/>
  <c r="V1522" i="1" s="1"/>
  <c r="P1522" i="1"/>
  <c r="A1522" i="1"/>
  <c r="A1521" i="1"/>
  <c r="R1520" i="1"/>
  <c r="S1520" i="1" s="1"/>
  <c r="V1520" i="1" s="1"/>
  <c r="P1520" i="1"/>
  <c r="A1520" i="1"/>
  <c r="A1519" i="1"/>
  <c r="A1518" i="1"/>
  <c r="S1517" i="1"/>
  <c r="V1517" i="1" s="1"/>
  <c r="R1517" i="1"/>
  <c r="P1517" i="1"/>
  <c r="A1517" i="1"/>
  <c r="A1516" i="1"/>
  <c r="V1515" i="1"/>
  <c r="S1515" i="1"/>
  <c r="R1515" i="1"/>
  <c r="P1515" i="1"/>
  <c r="A1515" i="1"/>
  <c r="R1514" i="1"/>
  <c r="P1514" i="1"/>
  <c r="A1514" i="1"/>
  <c r="A1513" i="1"/>
  <c r="A1512" i="1"/>
  <c r="S1511" i="1"/>
  <c r="V1511" i="1" s="1"/>
  <c r="R1511" i="1"/>
  <c r="P1511" i="1"/>
  <c r="A1511" i="1"/>
  <c r="A1510" i="1"/>
  <c r="R1509" i="1"/>
  <c r="S1509" i="1" s="1"/>
  <c r="V1509" i="1" s="1"/>
  <c r="P1509" i="1"/>
  <c r="A1509" i="1"/>
  <c r="R1508" i="1"/>
  <c r="S1508" i="1" s="1"/>
  <c r="V1508" i="1" s="1"/>
  <c r="P1508" i="1"/>
  <c r="A1508" i="1"/>
  <c r="R1507" i="1"/>
  <c r="P1507" i="1"/>
  <c r="S1507" i="1" s="1"/>
  <c r="V1507" i="1" s="1"/>
  <c r="A1507" i="1"/>
  <c r="R1506" i="1"/>
  <c r="P1506" i="1"/>
  <c r="S1506" i="1" s="1"/>
  <c r="V1506" i="1" s="1"/>
  <c r="A1506" i="1"/>
  <c r="A1505" i="1"/>
  <c r="S1504" i="1"/>
  <c r="V1504" i="1" s="1"/>
  <c r="R1504" i="1"/>
  <c r="P1504" i="1"/>
  <c r="A1504" i="1"/>
  <c r="R1503" i="1"/>
  <c r="P1503" i="1"/>
  <c r="S1503" i="1" s="1"/>
  <c r="V1503" i="1" s="1"/>
  <c r="A1503" i="1"/>
  <c r="S1502" i="1"/>
  <c r="V1502" i="1" s="1"/>
  <c r="R1502" i="1"/>
  <c r="P1502" i="1"/>
  <c r="A1502" i="1"/>
  <c r="R1501" i="1"/>
  <c r="S1501" i="1" s="1"/>
  <c r="V1501" i="1" s="1"/>
  <c r="P1501" i="1"/>
  <c r="A1501" i="1"/>
  <c r="A1500" i="1"/>
  <c r="A1499" i="1"/>
  <c r="R1498" i="1"/>
  <c r="P1498" i="1"/>
  <c r="S1498" i="1" s="1"/>
  <c r="V1498" i="1" s="1"/>
  <c r="A1498" i="1"/>
  <c r="R1497" i="1"/>
  <c r="S1497" i="1" s="1"/>
  <c r="V1497" i="1" s="1"/>
  <c r="P1497" i="1"/>
  <c r="A1497" i="1"/>
  <c r="R1496" i="1"/>
  <c r="P1496" i="1"/>
  <c r="S1496" i="1" s="1"/>
  <c r="V1496" i="1" s="1"/>
  <c r="A1496" i="1"/>
  <c r="A1495" i="1"/>
  <c r="V1494" i="1"/>
  <c r="S1494" i="1"/>
  <c r="R1494" i="1"/>
  <c r="P1494" i="1"/>
  <c r="A1494" i="1"/>
  <c r="R1493" i="1"/>
  <c r="P1493" i="1"/>
  <c r="S1493" i="1" s="1"/>
  <c r="V1493" i="1" s="1"/>
  <c r="A1493" i="1"/>
  <c r="R1492" i="1"/>
  <c r="S1492" i="1" s="1"/>
  <c r="V1492" i="1" s="1"/>
  <c r="P1492" i="1"/>
  <c r="A1492" i="1"/>
  <c r="R1491" i="1"/>
  <c r="P1491" i="1"/>
  <c r="S1491" i="1" s="1"/>
  <c r="V1491" i="1" s="1"/>
  <c r="A1491" i="1"/>
  <c r="R1490" i="1"/>
  <c r="P1490" i="1"/>
  <c r="S1490" i="1" s="1"/>
  <c r="V1490" i="1" s="1"/>
  <c r="A1490" i="1"/>
  <c r="V1489" i="1"/>
  <c r="S1489" i="1"/>
  <c r="R1489" i="1"/>
  <c r="P1489" i="1"/>
  <c r="A1489" i="1"/>
  <c r="R1488" i="1"/>
  <c r="S1488" i="1" s="1"/>
  <c r="V1488" i="1" s="1"/>
  <c r="P1488" i="1"/>
  <c r="A1488" i="1"/>
  <c r="S1487" i="1"/>
  <c r="V1487" i="1" s="1"/>
  <c r="R1487" i="1"/>
  <c r="P1487" i="1"/>
  <c r="A1487" i="1"/>
  <c r="A1486" i="1"/>
  <c r="R1485" i="1"/>
  <c r="P1485" i="1"/>
  <c r="A1485" i="1"/>
  <c r="S1484" i="1"/>
  <c r="V1484" i="1" s="1"/>
  <c r="R1484" i="1"/>
  <c r="P1484" i="1"/>
  <c r="A1484" i="1"/>
  <c r="R1483" i="1"/>
  <c r="P1483" i="1"/>
  <c r="A1483" i="1"/>
  <c r="R1482" i="1"/>
  <c r="P1482" i="1"/>
  <c r="S1482" i="1" s="1"/>
  <c r="V1482" i="1" s="1"/>
  <c r="A1482" i="1"/>
  <c r="S1481" i="1"/>
  <c r="V1481" i="1" s="1"/>
  <c r="R1481" i="1"/>
  <c r="P1481" i="1"/>
  <c r="A1481" i="1"/>
  <c r="R1480" i="1"/>
  <c r="P1480" i="1"/>
  <c r="S1480" i="1" s="1"/>
  <c r="V1480" i="1" s="1"/>
  <c r="A1480" i="1"/>
  <c r="R1479" i="1"/>
  <c r="P1479" i="1"/>
  <c r="A1479" i="1"/>
  <c r="A1478" i="1"/>
  <c r="R1477" i="1"/>
  <c r="P1477" i="1"/>
  <c r="S1477" i="1" s="1"/>
  <c r="V1477" i="1" s="1"/>
  <c r="A1477" i="1"/>
  <c r="R1476" i="1"/>
  <c r="P1476" i="1"/>
  <c r="S1476" i="1" s="1"/>
  <c r="V1476" i="1" s="1"/>
  <c r="A1476" i="1"/>
  <c r="R1475" i="1"/>
  <c r="P1475" i="1"/>
  <c r="A1475" i="1"/>
  <c r="R1474" i="1"/>
  <c r="P1474" i="1"/>
  <c r="S1474" i="1" s="1"/>
  <c r="V1474" i="1" s="1"/>
  <c r="A1474" i="1"/>
  <c r="S1473" i="1"/>
  <c r="V1473" i="1" s="1"/>
  <c r="R1473" i="1"/>
  <c r="P1473" i="1"/>
  <c r="A1473" i="1"/>
  <c r="V1472" i="1"/>
  <c r="S1472" i="1"/>
  <c r="R1472" i="1"/>
  <c r="P1472" i="1"/>
  <c r="A1472" i="1"/>
  <c r="R1471" i="1"/>
  <c r="P1471" i="1"/>
  <c r="S1471" i="1" s="1"/>
  <c r="V1471" i="1" s="1"/>
  <c r="A1471" i="1"/>
  <c r="S1470" i="1"/>
  <c r="V1470" i="1" s="1"/>
  <c r="R1470" i="1"/>
  <c r="P1470" i="1"/>
  <c r="A1470" i="1"/>
  <c r="R1469" i="1"/>
  <c r="P1469" i="1"/>
  <c r="S1469" i="1" s="1"/>
  <c r="V1469" i="1" s="1"/>
  <c r="A1469" i="1"/>
  <c r="R1468" i="1"/>
  <c r="P1468" i="1"/>
  <c r="S1468" i="1" s="1"/>
  <c r="V1468" i="1" s="1"/>
  <c r="A1468" i="1"/>
  <c r="V1467" i="1"/>
  <c r="S1467" i="1"/>
  <c r="R1467" i="1"/>
  <c r="P1467" i="1"/>
  <c r="A1467" i="1"/>
  <c r="A1466" i="1"/>
  <c r="R1465" i="1"/>
  <c r="S1465" i="1" s="1"/>
  <c r="V1465" i="1" s="1"/>
  <c r="P1465" i="1"/>
  <c r="A1465" i="1"/>
  <c r="S1464" i="1"/>
  <c r="V1464" i="1" s="1"/>
  <c r="R1464" i="1"/>
  <c r="P1464" i="1"/>
  <c r="A1464" i="1"/>
  <c r="A1463" i="1"/>
  <c r="R1462" i="1"/>
  <c r="S1462" i="1" s="1"/>
  <c r="V1462" i="1" s="1"/>
  <c r="P1462" i="1"/>
  <c r="A1462" i="1"/>
  <c r="A1461" i="1"/>
  <c r="V1460" i="1"/>
  <c r="S1460" i="1"/>
  <c r="R1460" i="1"/>
  <c r="P1460" i="1"/>
  <c r="A1460" i="1"/>
  <c r="A1459" i="1"/>
  <c r="S1458" i="1"/>
  <c r="V1458" i="1" s="1"/>
  <c r="R1458" i="1"/>
  <c r="P1458" i="1"/>
  <c r="A1458" i="1"/>
  <c r="R1457" i="1"/>
  <c r="S1457" i="1" s="1"/>
  <c r="V1457" i="1" s="1"/>
  <c r="P1457" i="1"/>
  <c r="A1457" i="1"/>
  <c r="A1456" i="1"/>
  <c r="R1455" i="1"/>
  <c r="P1455" i="1"/>
  <c r="A1455" i="1"/>
  <c r="R1454" i="1"/>
  <c r="S1454" i="1" s="1"/>
  <c r="V1454" i="1" s="1"/>
  <c r="P1454" i="1"/>
  <c r="A1454" i="1"/>
  <c r="R1453" i="1"/>
  <c r="P1453" i="1"/>
  <c r="A1453" i="1"/>
  <c r="A1452" i="1"/>
  <c r="R1451" i="1"/>
  <c r="P1451" i="1"/>
  <c r="S1451" i="1" s="1"/>
  <c r="V1451" i="1" s="1"/>
  <c r="A1451" i="1"/>
  <c r="S1450" i="1"/>
  <c r="V1450" i="1" s="1"/>
  <c r="R1450" i="1"/>
  <c r="P1450" i="1"/>
  <c r="A1450" i="1"/>
  <c r="R1449" i="1"/>
  <c r="S1449" i="1" s="1"/>
  <c r="V1449" i="1" s="1"/>
  <c r="P1449" i="1"/>
  <c r="A1449" i="1"/>
  <c r="R1448" i="1"/>
  <c r="P1448" i="1"/>
  <c r="S1448" i="1" s="1"/>
  <c r="V1448" i="1" s="1"/>
  <c r="A1448" i="1"/>
  <c r="S1447" i="1"/>
  <c r="V1447" i="1" s="1"/>
  <c r="R1447" i="1"/>
  <c r="P1447" i="1"/>
  <c r="A1447" i="1"/>
  <c r="S1446" i="1"/>
  <c r="V1446" i="1" s="1"/>
  <c r="R1446" i="1"/>
  <c r="P1446" i="1"/>
  <c r="A1446" i="1"/>
  <c r="R1445" i="1"/>
  <c r="P1445" i="1"/>
  <c r="S1445" i="1" s="1"/>
  <c r="V1445" i="1" s="1"/>
  <c r="A1445" i="1"/>
  <c r="A1444" i="1"/>
  <c r="R1443" i="1"/>
  <c r="P1443" i="1"/>
  <c r="S1443" i="1" s="1"/>
  <c r="V1443" i="1" s="1"/>
  <c r="A1443" i="1"/>
  <c r="V1442" i="1"/>
  <c r="R1442" i="1"/>
  <c r="P1442" i="1"/>
  <c r="S1442" i="1" s="1"/>
  <c r="A1442" i="1"/>
  <c r="A1441" i="1"/>
  <c r="S1440" i="1"/>
  <c r="V1440" i="1" s="1"/>
  <c r="R1440" i="1"/>
  <c r="P1440" i="1"/>
  <c r="A1440" i="1"/>
  <c r="R1439" i="1"/>
  <c r="S1439" i="1" s="1"/>
  <c r="V1439" i="1" s="1"/>
  <c r="P1439" i="1"/>
  <c r="A1439" i="1"/>
  <c r="V1438" i="1"/>
  <c r="S1438" i="1"/>
  <c r="R1438" i="1"/>
  <c r="P1438" i="1"/>
  <c r="A1438" i="1"/>
  <c r="R1437" i="1"/>
  <c r="P1437" i="1"/>
  <c r="A1437" i="1"/>
  <c r="A1436" i="1"/>
  <c r="A1435" i="1"/>
  <c r="A1434" i="1"/>
  <c r="R1433" i="1"/>
  <c r="S1433" i="1" s="1"/>
  <c r="V1433" i="1" s="1"/>
  <c r="P1433" i="1"/>
  <c r="A1433" i="1"/>
  <c r="A1432" i="1"/>
  <c r="S1431" i="1"/>
  <c r="V1431" i="1" s="1"/>
  <c r="R1431" i="1"/>
  <c r="P1431" i="1"/>
  <c r="A1431" i="1"/>
  <c r="A1430" i="1"/>
  <c r="R1429" i="1"/>
  <c r="S1429" i="1" s="1"/>
  <c r="V1429" i="1" s="1"/>
  <c r="P1429" i="1"/>
  <c r="A1429" i="1"/>
  <c r="A1428" i="1"/>
  <c r="V1427" i="1"/>
  <c r="R1427" i="1"/>
  <c r="S1427" i="1" s="1"/>
  <c r="P1427" i="1"/>
  <c r="A1427" i="1"/>
  <c r="A1426" i="1"/>
  <c r="V1425" i="1"/>
  <c r="R1425" i="1"/>
  <c r="S1425" i="1" s="1"/>
  <c r="P1425" i="1"/>
  <c r="A1425" i="1"/>
  <c r="A1424" i="1"/>
  <c r="S1423" i="1"/>
  <c r="V1423" i="1" s="1"/>
  <c r="R1423" i="1"/>
  <c r="P1423" i="1"/>
  <c r="A1423" i="1"/>
  <c r="A1422" i="1"/>
  <c r="R1421" i="1"/>
  <c r="S1421" i="1" s="1"/>
  <c r="V1421" i="1" s="1"/>
  <c r="P1421" i="1"/>
  <c r="A1421" i="1"/>
  <c r="A1420" i="1"/>
  <c r="V1419" i="1"/>
  <c r="S1419" i="1"/>
  <c r="R1419" i="1"/>
  <c r="P1419" i="1"/>
  <c r="A1419" i="1"/>
  <c r="A1418" i="1"/>
  <c r="R1417" i="1"/>
  <c r="S1417" i="1" s="1"/>
  <c r="V1417" i="1" s="1"/>
  <c r="P1417" i="1"/>
  <c r="A1417" i="1"/>
  <c r="A1416" i="1"/>
  <c r="R1415" i="1"/>
  <c r="S1415" i="1" s="1"/>
  <c r="V1415" i="1" s="1"/>
  <c r="P1415" i="1"/>
  <c r="A1415" i="1"/>
  <c r="A1414" i="1"/>
  <c r="R1413" i="1"/>
  <c r="S1413" i="1" s="1"/>
  <c r="V1413" i="1" s="1"/>
  <c r="P1413" i="1"/>
  <c r="A1413" i="1"/>
  <c r="A1412" i="1"/>
  <c r="A1411" i="1"/>
  <c r="R1410" i="1"/>
  <c r="P1410" i="1"/>
  <c r="S1410" i="1" s="1"/>
  <c r="V1410" i="1" s="1"/>
  <c r="A1410" i="1"/>
  <c r="A1409" i="1"/>
  <c r="S1408" i="1"/>
  <c r="V1408" i="1" s="1"/>
  <c r="R1408" i="1"/>
  <c r="P1408" i="1"/>
  <c r="A1408" i="1"/>
  <c r="A1407" i="1"/>
  <c r="S1406" i="1"/>
  <c r="V1406" i="1" s="1"/>
  <c r="R1406" i="1"/>
  <c r="P1406" i="1"/>
  <c r="A1406" i="1"/>
  <c r="A1405" i="1"/>
  <c r="S1404" i="1"/>
  <c r="V1404" i="1" s="1"/>
  <c r="R1404" i="1"/>
  <c r="P1404" i="1"/>
  <c r="A1404" i="1"/>
  <c r="R1403" i="1"/>
  <c r="S1403" i="1" s="1"/>
  <c r="V1403" i="1" s="1"/>
  <c r="P1403" i="1"/>
  <c r="A1403" i="1"/>
  <c r="A1402" i="1"/>
  <c r="V1401" i="1"/>
  <c r="R1401" i="1"/>
  <c r="S1401" i="1" s="1"/>
  <c r="P1401" i="1"/>
  <c r="A1401" i="1"/>
  <c r="A1400" i="1"/>
  <c r="S1399" i="1"/>
  <c r="V1399" i="1" s="1"/>
  <c r="R1399" i="1"/>
  <c r="P1399" i="1"/>
  <c r="A1399" i="1"/>
  <c r="A1398" i="1"/>
  <c r="A1397" i="1"/>
  <c r="S1396" i="1"/>
  <c r="V1396" i="1" s="1"/>
  <c r="R1396" i="1"/>
  <c r="P1396" i="1"/>
  <c r="A1396" i="1"/>
  <c r="A1395" i="1"/>
  <c r="S1394" i="1"/>
  <c r="V1394" i="1" s="1"/>
  <c r="R1394" i="1"/>
  <c r="P1394" i="1"/>
  <c r="A1394" i="1"/>
  <c r="A1393" i="1"/>
  <c r="A1392" i="1"/>
  <c r="V1391" i="1"/>
  <c r="R1391" i="1"/>
  <c r="P1391" i="1"/>
  <c r="S1391" i="1" s="1"/>
  <c r="A1391" i="1"/>
  <c r="R1390" i="1"/>
  <c r="P1390" i="1"/>
  <c r="S1390" i="1" s="1"/>
  <c r="V1390" i="1" s="1"/>
  <c r="A1390" i="1"/>
  <c r="V1389" i="1"/>
  <c r="S1389" i="1"/>
  <c r="R1389" i="1"/>
  <c r="P1389" i="1"/>
  <c r="A1389" i="1"/>
  <c r="A1388" i="1"/>
  <c r="R1387" i="1"/>
  <c r="S1387" i="1" s="1"/>
  <c r="V1387" i="1" s="1"/>
  <c r="P1387" i="1"/>
  <c r="A1387" i="1"/>
  <c r="A1386" i="1"/>
  <c r="S1385" i="1"/>
  <c r="V1385" i="1" s="1"/>
  <c r="R1385" i="1"/>
  <c r="P1385" i="1"/>
  <c r="A1385" i="1"/>
  <c r="A1384" i="1"/>
  <c r="A1383" i="1"/>
  <c r="R1382" i="1"/>
  <c r="P1382" i="1"/>
  <c r="S1382" i="1" s="1"/>
  <c r="V1382" i="1" s="1"/>
  <c r="A1382" i="1"/>
  <c r="A1381" i="1"/>
  <c r="V1380" i="1"/>
  <c r="S1380" i="1"/>
  <c r="R1380" i="1"/>
  <c r="P1380" i="1"/>
  <c r="A1380" i="1"/>
  <c r="R1379" i="1"/>
  <c r="S1379" i="1" s="1"/>
  <c r="V1379" i="1" s="1"/>
  <c r="P1379" i="1"/>
  <c r="A1379" i="1"/>
  <c r="A1378" i="1"/>
  <c r="S1377" i="1"/>
  <c r="V1377" i="1" s="1"/>
  <c r="R1377" i="1"/>
  <c r="P1377" i="1"/>
  <c r="A1377" i="1"/>
  <c r="S1376" i="1"/>
  <c r="V1376" i="1" s="1"/>
  <c r="R1376" i="1"/>
  <c r="P1376" i="1"/>
  <c r="A1376" i="1"/>
  <c r="A1375" i="1"/>
  <c r="R1374" i="1"/>
  <c r="S1374" i="1" s="1"/>
  <c r="V1374" i="1" s="1"/>
  <c r="P1374" i="1"/>
  <c r="A1374" i="1"/>
  <c r="A1373" i="1"/>
  <c r="R1372" i="1"/>
  <c r="S1372" i="1" s="1"/>
  <c r="V1372" i="1" s="1"/>
  <c r="P1372" i="1"/>
  <c r="A1372" i="1"/>
  <c r="A1371" i="1"/>
  <c r="R1370" i="1"/>
  <c r="S1370" i="1" s="1"/>
  <c r="V1370" i="1" s="1"/>
  <c r="P1370" i="1"/>
  <c r="A1370" i="1"/>
  <c r="A1369" i="1"/>
  <c r="S1368" i="1"/>
  <c r="V1368" i="1" s="1"/>
  <c r="R1368" i="1"/>
  <c r="P1368" i="1"/>
  <c r="A1368" i="1"/>
  <c r="A1367" i="1"/>
  <c r="A1366" i="1"/>
  <c r="V1365" i="1"/>
  <c r="S1365" i="1"/>
  <c r="R1365" i="1"/>
  <c r="P1365" i="1"/>
  <c r="A1365" i="1"/>
  <c r="A1364" i="1"/>
  <c r="A1363" i="1"/>
  <c r="S1362" i="1"/>
  <c r="V1362" i="1" s="1"/>
  <c r="R1362" i="1"/>
  <c r="P1362" i="1"/>
  <c r="A1362" i="1"/>
  <c r="A1361" i="1"/>
  <c r="V1360" i="1"/>
  <c r="S1360" i="1"/>
  <c r="R1360" i="1"/>
  <c r="P1360" i="1"/>
  <c r="A1360" i="1"/>
  <c r="A1359" i="1"/>
  <c r="A1358" i="1"/>
  <c r="V1357" i="1"/>
  <c r="R1357" i="1"/>
  <c r="P1357" i="1"/>
  <c r="S1357" i="1" s="1"/>
  <c r="A1357" i="1"/>
  <c r="A1356" i="1"/>
  <c r="R1355" i="1"/>
  <c r="P1355" i="1"/>
  <c r="A1355" i="1"/>
  <c r="S1354" i="1"/>
  <c r="V1354" i="1" s="1"/>
  <c r="R1354" i="1"/>
  <c r="P1354" i="1"/>
  <c r="A1354" i="1"/>
  <c r="R1353" i="1"/>
  <c r="S1353" i="1" s="1"/>
  <c r="V1353" i="1" s="1"/>
  <c r="P1353" i="1"/>
  <c r="A1353" i="1"/>
  <c r="R1352" i="1"/>
  <c r="P1352" i="1"/>
  <c r="S1352" i="1" s="1"/>
  <c r="V1352" i="1" s="1"/>
  <c r="A1352" i="1"/>
  <c r="A1351" i="1"/>
  <c r="R1350" i="1"/>
  <c r="S1350" i="1" s="1"/>
  <c r="V1350" i="1" s="1"/>
  <c r="P1350" i="1"/>
  <c r="A1350" i="1"/>
  <c r="V1349" i="1"/>
  <c r="S1349" i="1"/>
  <c r="R1349" i="1"/>
  <c r="P1349" i="1"/>
  <c r="A1349" i="1"/>
  <c r="R1348" i="1"/>
  <c r="P1348" i="1"/>
  <c r="S1348" i="1" s="1"/>
  <c r="V1348" i="1" s="1"/>
  <c r="A1348" i="1"/>
  <c r="V1347" i="1"/>
  <c r="R1347" i="1"/>
  <c r="P1347" i="1"/>
  <c r="S1347" i="1" s="1"/>
  <c r="A1347" i="1"/>
  <c r="A1346" i="1"/>
  <c r="R1345" i="1"/>
  <c r="P1345" i="1"/>
  <c r="S1345" i="1" s="1"/>
  <c r="V1345" i="1" s="1"/>
  <c r="A1345" i="1"/>
  <c r="V1344" i="1"/>
  <c r="S1344" i="1"/>
  <c r="R1344" i="1"/>
  <c r="P1344" i="1"/>
  <c r="A1344" i="1"/>
  <c r="V1343" i="1"/>
  <c r="S1343" i="1"/>
  <c r="R1343" i="1"/>
  <c r="P1343" i="1"/>
  <c r="A1343" i="1"/>
  <c r="A1342" i="1"/>
  <c r="V1341" i="1"/>
  <c r="S1341" i="1"/>
  <c r="R1341" i="1"/>
  <c r="P1341" i="1"/>
  <c r="A1341" i="1"/>
  <c r="V1340" i="1"/>
  <c r="S1340" i="1"/>
  <c r="R1340" i="1"/>
  <c r="P1340" i="1"/>
  <c r="A1340" i="1"/>
  <c r="S1339" i="1"/>
  <c r="V1339" i="1" s="1"/>
  <c r="R1339" i="1"/>
  <c r="P1339" i="1"/>
  <c r="A1339" i="1"/>
  <c r="R1338" i="1"/>
  <c r="S1338" i="1" s="1"/>
  <c r="V1338" i="1" s="1"/>
  <c r="P1338" i="1"/>
  <c r="A1338" i="1"/>
  <c r="A1337" i="1"/>
  <c r="S1336" i="1"/>
  <c r="V1336" i="1" s="1"/>
  <c r="R1336" i="1"/>
  <c r="P1336" i="1"/>
  <c r="A1336" i="1"/>
  <c r="R1335" i="1"/>
  <c r="P1335" i="1"/>
  <c r="A1335" i="1"/>
  <c r="V1334" i="1"/>
  <c r="S1334" i="1"/>
  <c r="R1334" i="1"/>
  <c r="P1334" i="1"/>
  <c r="A1334" i="1"/>
  <c r="R1333" i="1"/>
  <c r="S1333" i="1" s="1"/>
  <c r="V1333" i="1" s="1"/>
  <c r="P1333" i="1"/>
  <c r="A1333" i="1"/>
  <c r="A1332" i="1"/>
  <c r="V1331" i="1"/>
  <c r="S1331" i="1"/>
  <c r="R1331" i="1"/>
  <c r="P1331" i="1"/>
  <c r="A1331" i="1"/>
  <c r="R1330" i="1"/>
  <c r="P1330" i="1"/>
  <c r="S1330" i="1" s="1"/>
  <c r="V1330" i="1" s="1"/>
  <c r="A1330" i="1"/>
  <c r="R1329" i="1"/>
  <c r="P1329" i="1"/>
  <c r="S1329" i="1" s="1"/>
  <c r="V1329" i="1" s="1"/>
  <c r="A1329" i="1"/>
  <c r="S1328" i="1"/>
  <c r="V1328" i="1" s="1"/>
  <c r="R1328" i="1"/>
  <c r="P1328" i="1"/>
  <c r="A1328" i="1"/>
  <c r="A1327" i="1"/>
  <c r="A1326" i="1"/>
  <c r="R1325" i="1"/>
  <c r="P1325" i="1"/>
  <c r="S1325" i="1" s="1"/>
  <c r="V1325" i="1" s="1"/>
  <c r="A1325" i="1"/>
  <c r="R1324" i="1"/>
  <c r="S1324" i="1" s="1"/>
  <c r="V1324" i="1" s="1"/>
  <c r="P1324" i="1"/>
  <c r="A1324" i="1"/>
  <c r="R1323" i="1"/>
  <c r="P1323" i="1"/>
  <c r="S1323" i="1" s="1"/>
  <c r="V1323" i="1" s="1"/>
  <c r="A1323" i="1"/>
  <c r="R1322" i="1"/>
  <c r="P1322" i="1"/>
  <c r="S1322" i="1" s="1"/>
  <c r="V1322" i="1" s="1"/>
  <c r="A1322" i="1"/>
  <c r="V1321" i="1"/>
  <c r="R1321" i="1"/>
  <c r="S1321" i="1" s="1"/>
  <c r="P1321" i="1"/>
  <c r="A1321" i="1"/>
  <c r="S1320" i="1"/>
  <c r="V1320" i="1" s="1"/>
  <c r="R1320" i="1"/>
  <c r="P1320" i="1"/>
  <c r="A1320" i="1"/>
  <c r="R1319" i="1"/>
  <c r="S1319" i="1" s="1"/>
  <c r="V1319" i="1" s="1"/>
  <c r="P1319" i="1"/>
  <c r="A1319" i="1"/>
  <c r="R1318" i="1"/>
  <c r="P1318" i="1"/>
  <c r="S1318" i="1" s="1"/>
  <c r="V1318" i="1" s="1"/>
  <c r="A1318" i="1"/>
  <c r="R1317" i="1"/>
  <c r="P1317" i="1"/>
  <c r="S1317" i="1" s="1"/>
  <c r="V1317" i="1" s="1"/>
  <c r="A1317" i="1"/>
  <c r="V1316" i="1"/>
  <c r="S1316" i="1"/>
  <c r="R1316" i="1"/>
  <c r="P1316" i="1"/>
  <c r="A1316" i="1"/>
  <c r="R1315" i="1"/>
  <c r="S1315" i="1" s="1"/>
  <c r="V1315" i="1" s="1"/>
  <c r="P1315" i="1"/>
  <c r="A1315" i="1"/>
  <c r="A1314" i="1"/>
  <c r="V1313" i="1"/>
  <c r="S1313" i="1"/>
  <c r="R1313" i="1"/>
  <c r="P1313" i="1"/>
  <c r="A1313" i="1"/>
  <c r="R1312" i="1"/>
  <c r="S1312" i="1" s="1"/>
  <c r="V1312" i="1" s="1"/>
  <c r="P1312" i="1"/>
  <c r="A1312" i="1"/>
  <c r="R1311" i="1"/>
  <c r="P1311" i="1"/>
  <c r="S1311" i="1" s="1"/>
  <c r="V1311" i="1" s="1"/>
  <c r="A1311" i="1"/>
  <c r="S1310" i="1"/>
  <c r="V1310" i="1" s="1"/>
  <c r="R1310" i="1"/>
  <c r="P1310" i="1"/>
  <c r="A1310" i="1"/>
  <c r="A1309" i="1"/>
  <c r="S1308" i="1"/>
  <c r="V1308" i="1" s="1"/>
  <c r="R1308" i="1"/>
  <c r="P1308" i="1"/>
  <c r="A1308" i="1"/>
  <c r="V1307" i="1"/>
  <c r="R1307" i="1"/>
  <c r="P1307" i="1"/>
  <c r="S1307" i="1" s="1"/>
  <c r="A1307" i="1"/>
  <c r="R1306" i="1"/>
  <c r="P1306" i="1"/>
  <c r="S1306" i="1" s="1"/>
  <c r="V1306" i="1" s="1"/>
  <c r="A1306" i="1"/>
  <c r="A1305" i="1"/>
  <c r="S1304" i="1"/>
  <c r="V1304" i="1" s="1"/>
  <c r="R1304" i="1"/>
  <c r="P1304" i="1"/>
  <c r="A1304" i="1"/>
  <c r="R1303" i="1"/>
  <c r="P1303" i="1"/>
  <c r="A1303" i="1"/>
  <c r="V1302" i="1"/>
  <c r="S1302" i="1"/>
  <c r="R1302" i="1"/>
  <c r="P1302" i="1"/>
  <c r="A1302" i="1"/>
  <c r="S1301" i="1"/>
  <c r="V1301" i="1" s="1"/>
  <c r="R1301" i="1"/>
  <c r="P1301" i="1"/>
  <c r="A1301" i="1"/>
  <c r="R1300" i="1"/>
  <c r="S1300" i="1" s="1"/>
  <c r="V1300" i="1" s="1"/>
  <c r="P1300" i="1"/>
  <c r="A1300" i="1"/>
  <c r="R1299" i="1"/>
  <c r="P1299" i="1"/>
  <c r="A1299" i="1"/>
  <c r="R1298" i="1"/>
  <c r="P1298" i="1"/>
  <c r="S1298" i="1" s="1"/>
  <c r="V1298" i="1" s="1"/>
  <c r="A1298" i="1"/>
  <c r="V1297" i="1"/>
  <c r="S1297" i="1"/>
  <c r="R1297" i="1"/>
  <c r="P1297" i="1"/>
  <c r="A1297" i="1"/>
  <c r="A1296" i="1"/>
  <c r="R1295" i="1"/>
  <c r="P1295" i="1"/>
  <c r="S1295" i="1" s="1"/>
  <c r="V1295" i="1" s="1"/>
  <c r="A1295" i="1"/>
  <c r="R1294" i="1"/>
  <c r="P1294" i="1"/>
  <c r="S1294" i="1" s="1"/>
  <c r="V1294" i="1" s="1"/>
  <c r="A1294" i="1"/>
  <c r="V1293" i="1"/>
  <c r="R1293" i="1"/>
  <c r="S1293" i="1" s="1"/>
  <c r="P1293" i="1"/>
  <c r="A1293" i="1"/>
  <c r="R1292" i="1"/>
  <c r="P1292" i="1"/>
  <c r="S1292" i="1" s="1"/>
  <c r="V1292" i="1" s="1"/>
  <c r="A1292" i="1"/>
  <c r="R1291" i="1"/>
  <c r="P1291" i="1"/>
  <c r="A1291" i="1"/>
  <c r="R1290" i="1"/>
  <c r="P1290" i="1"/>
  <c r="S1290" i="1" s="1"/>
  <c r="V1290" i="1" s="1"/>
  <c r="A1290" i="1"/>
  <c r="R1289" i="1"/>
  <c r="S1289" i="1" s="1"/>
  <c r="V1289" i="1" s="1"/>
  <c r="P1289" i="1"/>
  <c r="A1289" i="1"/>
  <c r="A1288" i="1"/>
  <c r="S1287" i="1"/>
  <c r="V1287" i="1" s="1"/>
  <c r="R1287" i="1"/>
  <c r="P1287" i="1"/>
  <c r="A1287" i="1"/>
  <c r="R1286" i="1"/>
  <c r="S1286" i="1" s="1"/>
  <c r="V1286" i="1" s="1"/>
  <c r="P1286" i="1"/>
  <c r="A1286" i="1"/>
  <c r="S1285" i="1"/>
  <c r="V1285" i="1" s="1"/>
  <c r="R1285" i="1"/>
  <c r="P1285" i="1"/>
  <c r="A1285" i="1"/>
  <c r="R1284" i="1"/>
  <c r="P1284" i="1"/>
  <c r="S1284" i="1" s="1"/>
  <c r="V1284" i="1" s="1"/>
  <c r="A1284" i="1"/>
  <c r="V1283" i="1"/>
  <c r="R1283" i="1"/>
  <c r="P1283" i="1"/>
  <c r="S1283" i="1" s="1"/>
  <c r="A1283" i="1"/>
  <c r="S1282" i="1"/>
  <c r="V1282" i="1" s="1"/>
  <c r="R1282" i="1"/>
  <c r="P1282" i="1"/>
  <c r="A1282" i="1"/>
  <c r="R1281" i="1"/>
  <c r="S1281" i="1" s="1"/>
  <c r="V1281" i="1" s="1"/>
  <c r="P1281" i="1"/>
  <c r="A1281" i="1"/>
  <c r="S1280" i="1"/>
  <c r="V1280" i="1" s="1"/>
  <c r="R1280" i="1"/>
  <c r="P1280" i="1"/>
  <c r="A1280" i="1"/>
  <c r="R1279" i="1"/>
  <c r="P1279" i="1"/>
  <c r="S1279" i="1" s="1"/>
  <c r="V1279" i="1" s="1"/>
  <c r="A1279" i="1"/>
  <c r="S1278" i="1"/>
  <c r="V1278" i="1" s="1"/>
  <c r="R1278" i="1"/>
  <c r="P1278" i="1"/>
  <c r="A1278" i="1"/>
  <c r="S1277" i="1"/>
  <c r="V1277" i="1" s="1"/>
  <c r="R1277" i="1"/>
  <c r="P1277" i="1"/>
  <c r="A1277" i="1"/>
  <c r="A1276" i="1"/>
  <c r="R1275" i="1"/>
  <c r="P1275" i="1"/>
  <c r="S1275" i="1" s="1"/>
  <c r="V1275" i="1" s="1"/>
  <c r="A1275" i="1"/>
  <c r="S1274" i="1"/>
  <c r="V1274" i="1" s="1"/>
  <c r="R1274" i="1"/>
  <c r="P1274" i="1"/>
  <c r="A1274" i="1"/>
  <c r="A1273" i="1"/>
  <c r="S1272" i="1"/>
  <c r="V1272" i="1" s="1"/>
  <c r="R1272" i="1"/>
  <c r="P1272" i="1"/>
  <c r="A1272" i="1"/>
  <c r="A1271" i="1"/>
  <c r="S1270" i="1"/>
  <c r="V1270" i="1" s="1"/>
  <c r="R1270" i="1"/>
  <c r="P1270" i="1"/>
  <c r="A1270" i="1"/>
  <c r="A1269" i="1"/>
  <c r="V1268" i="1"/>
  <c r="S1268" i="1"/>
  <c r="R1268" i="1"/>
  <c r="P1268" i="1"/>
  <c r="A1268" i="1"/>
  <c r="R1267" i="1"/>
  <c r="S1267" i="1" s="1"/>
  <c r="V1267" i="1" s="1"/>
  <c r="P1267" i="1"/>
  <c r="A1267" i="1"/>
  <c r="A1266" i="1"/>
  <c r="S1265" i="1"/>
  <c r="V1265" i="1" s="1"/>
  <c r="R1265" i="1"/>
  <c r="P1265" i="1"/>
  <c r="A1265" i="1"/>
  <c r="V1264" i="1"/>
  <c r="S1264" i="1"/>
  <c r="R1264" i="1"/>
  <c r="P1264" i="1"/>
  <c r="A1264" i="1"/>
  <c r="R1263" i="1"/>
  <c r="P1263" i="1"/>
  <c r="S1263" i="1" s="1"/>
  <c r="V1263" i="1" s="1"/>
  <c r="A1263" i="1"/>
  <c r="A1262" i="1"/>
  <c r="V1261" i="1"/>
  <c r="S1261" i="1"/>
  <c r="R1261" i="1"/>
  <c r="P1261" i="1"/>
  <c r="A1261" i="1"/>
  <c r="S1260" i="1"/>
  <c r="V1260" i="1" s="1"/>
  <c r="R1260" i="1"/>
  <c r="P1260" i="1"/>
  <c r="A1260" i="1"/>
  <c r="R1259" i="1"/>
  <c r="P1259" i="1"/>
  <c r="S1259" i="1" s="1"/>
  <c r="V1259" i="1" s="1"/>
  <c r="A1259" i="1"/>
  <c r="V1258" i="1"/>
  <c r="S1258" i="1"/>
  <c r="R1258" i="1"/>
  <c r="P1258" i="1"/>
  <c r="A1258" i="1"/>
  <c r="R1257" i="1"/>
  <c r="S1257" i="1" s="1"/>
  <c r="V1257" i="1" s="1"/>
  <c r="P1257" i="1"/>
  <c r="A1257" i="1"/>
  <c r="R1256" i="1"/>
  <c r="P1256" i="1"/>
  <c r="S1256" i="1" s="1"/>
  <c r="V1256" i="1" s="1"/>
  <c r="A1256" i="1"/>
  <c r="S1255" i="1"/>
  <c r="V1255" i="1" s="1"/>
  <c r="R1255" i="1"/>
  <c r="P1255" i="1"/>
  <c r="A1255" i="1"/>
  <c r="A1254" i="1"/>
  <c r="R1253" i="1"/>
  <c r="P1253" i="1"/>
  <c r="S1253" i="1" s="1"/>
  <c r="V1253" i="1" s="1"/>
  <c r="A1253" i="1"/>
  <c r="R1252" i="1"/>
  <c r="S1252" i="1" s="1"/>
  <c r="V1252" i="1" s="1"/>
  <c r="P1252" i="1"/>
  <c r="A1252" i="1"/>
  <c r="A1251" i="1"/>
  <c r="S1250" i="1"/>
  <c r="V1250" i="1" s="1"/>
  <c r="R1250" i="1"/>
  <c r="P1250" i="1"/>
  <c r="A1250" i="1"/>
  <c r="R1249" i="1"/>
  <c r="S1249" i="1" s="1"/>
  <c r="V1249" i="1" s="1"/>
  <c r="P1249" i="1"/>
  <c r="A1249" i="1"/>
  <c r="A1248" i="1"/>
  <c r="R1247" i="1"/>
  <c r="P1247" i="1"/>
  <c r="S1247" i="1" s="1"/>
  <c r="V1247" i="1" s="1"/>
  <c r="A1247" i="1"/>
  <c r="S1246" i="1"/>
  <c r="V1246" i="1" s="1"/>
  <c r="R1246" i="1"/>
  <c r="P1246" i="1"/>
  <c r="A1246" i="1"/>
  <c r="S1245" i="1"/>
  <c r="V1245" i="1" s="1"/>
  <c r="R1245" i="1"/>
  <c r="P1245" i="1"/>
  <c r="A1245" i="1"/>
  <c r="R1244" i="1"/>
  <c r="S1244" i="1" s="1"/>
  <c r="V1244" i="1" s="1"/>
  <c r="P1244" i="1"/>
  <c r="A1244" i="1"/>
  <c r="A1243" i="1"/>
  <c r="A1242" i="1"/>
  <c r="A1241" i="1"/>
  <c r="R1240" i="1"/>
  <c r="P1240" i="1"/>
  <c r="S1240" i="1" s="1"/>
  <c r="V1240" i="1" s="1"/>
  <c r="A1240" i="1"/>
  <c r="A1239" i="1"/>
  <c r="R1238" i="1"/>
  <c r="S1238" i="1" s="1"/>
  <c r="V1238" i="1" s="1"/>
  <c r="P1238" i="1"/>
  <c r="A1238" i="1"/>
  <c r="S1237" i="1"/>
  <c r="V1237" i="1" s="1"/>
  <c r="R1237" i="1"/>
  <c r="P1237" i="1"/>
  <c r="A1237" i="1"/>
  <c r="R1236" i="1"/>
  <c r="P1236" i="1"/>
  <c r="S1236" i="1" s="1"/>
  <c r="V1236" i="1" s="1"/>
  <c r="A1236" i="1"/>
  <c r="V1235" i="1"/>
  <c r="S1235" i="1"/>
  <c r="R1235" i="1"/>
  <c r="P1235" i="1"/>
  <c r="A1235" i="1"/>
  <c r="R1234" i="1"/>
  <c r="P1234" i="1"/>
  <c r="S1234" i="1" s="1"/>
  <c r="V1234" i="1" s="1"/>
  <c r="A1234" i="1"/>
  <c r="R1233" i="1"/>
  <c r="P1233" i="1"/>
  <c r="S1233" i="1" s="1"/>
  <c r="V1233" i="1" s="1"/>
  <c r="A1233" i="1"/>
  <c r="A1232" i="1"/>
  <c r="R1231" i="1"/>
  <c r="P1231" i="1"/>
  <c r="A1231" i="1"/>
  <c r="R1230" i="1"/>
  <c r="S1230" i="1" s="1"/>
  <c r="V1230" i="1" s="1"/>
  <c r="P1230" i="1"/>
  <c r="A1230" i="1"/>
  <c r="S1229" i="1"/>
  <c r="V1229" i="1" s="1"/>
  <c r="R1229" i="1"/>
  <c r="P1229" i="1"/>
  <c r="A1229" i="1"/>
  <c r="R1228" i="1"/>
  <c r="P1228" i="1"/>
  <c r="S1228" i="1" s="1"/>
  <c r="V1228" i="1" s="1"/>
  <c r="A1228" i="1"/>
  <c r="S1227" i="1"/>
  <c r="V1227" i="1" s="1"/>
  <c r="R1227" i="1"/>
  <c r="P1227" i="1"/>
  <c r="A1227" i="1"/>
  <c r="S1226" i="1"/>
  <c r="V1226" i="1" s="1"/>
  <c r="R1226" i="1"/>
  <c r="P1226" i="1"/>
  <c r="A1226" i="1"/>
  <c r="A1225" i="1"/>
  <c r="A1224" i="1"/>
  <c r="R1223" i="1"/>
  <c r="S1223" i="1" s="1"/>
  <c r="V1223" i="1" s="1"/>
  <c r="P1223" i="1"/>
  <c r="A1223" i="1"/>
  <c r="S1222" i="1"/>
  <c r="V1222" i="1" s="1"/>
  <c r="R1222" i="1"/>
  <c r="P1222" i="1"/>
  <c r="A1222" i="1"/>
  <c r="A1221" i="1"/>
  <c r="A1220" i="1"/>
  <c r="A1219" i="1"/>
  <c r="V1218" i="1"/>
  <c r="R1218" i="1"/>
  <c r="S1218" i="1" s="1"/>
  <c r="P1218" i="1"/>
  <c r="A1218" i="1"/>
  <c r="V1217" i="1"/>
  <c r="S1217" i="1"/>
  <c r="R1217" i="1"/>
  <c r="P1217" i="1"/>
  <c r="A1217" i="1"/>
  <c r="R1216" i="1"/>
  <c r="P1216" i="1"/>
  <c r="S1216" i="1" s="1"/>
  <c r="V1216" i="1" s="1"/>
  <c r="A1216" i="1"/>
  <c r="A1215" i="1"/>
  <c r="A1214" i="1"/>
  <c r="V1213" i="1"/>
  <c r="S1213" i="1"/>
  <c r="R1213" i="1"/>
  <c r="P1213" i="1"/>
  <c r="A1213" i="1"/>
  <c r="A1212" i="1"/>
  <c r="S1211" i="1"/>
  <c r="V1211" i="1" s="1"/>
  <c r="R1211" i="1"/>
  <c r="P1211" i="1"/>
  <c r="A1211" i="1"/>
  <c r="S1210" i="1"/>
  <c r="V1210" i="1" s="1"/>
  <c r="R1210" i="1"/>
  <c r="P1210" i="1"/>
  <c r="A1210" i="1"/>
  <c r="S1209" i="1"/>
  <c r="V1209" i="1" s="1"/>
  <c r="R1209" i="1"/>
  <c r="P1209" i="1"/>
  <c r="A1209" i="1"/>
  <c r="V1208" i="1"/>
  <c r="R1208" i="1"/>
  <c r="P1208" i="1"/>
  <c r="S1208" i="1" s="1"/>
  <c r="A1208" i="1"/>
  <c r="A1207" i="1"/>
  <c r="R1206" i="1"/>
  <c r="P1206" i="1"/>
  <c r="A1206" i="1"/>
  <c r="A1205" i="1"/>
  <c r="R1204" i="1"/>
  <c r="P1204" i="1"/>
  <c r="S1204" i="1" s="1"/>
  <c r="V1204" i="1" s="1"/>
  <c r="A1204" i="1"/>
  <c r="R1203" i="1"/>
  <c r="P1203" i="1"/>
  <c r="S1203" i="1" s="1"/>
  <c r="V1203" i="1" s="1"/>
  <c r="A1203" i="1"/>
  <c r="R1202" i="1"/>
  <c r="S1202" i="1" s="1"/>
  <c r="V1202" i="1" s="1"/>
  <c r="P1202" i="1"/>
  <c r="A1202" i="1"/>
  <c r="A1201" i="1"/>
  <c r="A1200" i="1"/>
  <c r="A1199" i="1"/>
  <c r="R1198" i="1"/>
  <c r="P1198" i="1"/>
  <c r="A1198" i="1"/>
  <c r="S1197" i="1"/>
  <c r="V1197" i="1" s="1"/>
  <c r="R1197" i="1"/>
  <c r="P1197" i="1"/>
  <c r="A1197" i="1"/>
  <c r="V1196" i="1"/>
  <c r="S1196" i="1"/>
  <c r="R1196" i="1"/>
  <c r="P1196" i="1"/>
  <c r="A1196" i="1"/>
  <c r="V1195" i="1"/>
  <c r="S1195" i="1"/>
  <c r="R1195" i="1"/>
  <c r="P1195" i="1"/>
  <c r="A1195" i="1"/>
  <c r="A1194" i="1"/>
  <c r="V1193" i="1"/>
  <c r="S1193" i="1"/>
  <c r="R1193" i="1"/>
  <c r="P1193" i="1"/>
  <c r="A1193" i="1"/>
  <c r="S1192" i="1"/>
  <c r="V1192" i="1" s="1"/>
  <c r="R1192" i="1"/>
  <c r="P1192" i="1"/>
  <c r="A1192" i="1"/>
  <c r="R1191" i="1"/>
  <c r="P1191" i="1"/>
  <c r="A1191" i="1"/>
  <c r="A1190" i="1"/>
  <c r="A1189" i="1"/>
  <c r="R1188" i="1"/>
  <c r="P1188" i="1"/>
  <c r="S1188" i="1" s="1"/>
  <c r="V1188" i="1" s="1"/>
  <c r="A1188" i="1"/>
  <c r="R1187" i="1"/>
  <c r="P1187" i="1"/>
  <c r="A1187" i="1"/>
  <c r="V1186" i="1"/>
  <c r="S1186" i="1"/>
  <c r="R1186" i="1"/>
  <c r="P1186" i="1"/>
  <c r="A1186" i="1"/>
  <c r="S1185" i="1"/>
  <c r="V1185" i="1" s="1"/>
  <c r="R1185" i="1"/>
  <c r="P1185" i="1"/>
  <c r="A1185" i="1"/>
  <c r="S1184" i="1"/>
  <c r="V1184" i="1" s="1"/>
  <c r="R1184" i="1"/>
  <c r="P1184" i="1"/>
  <c r="A1184" i="1"/>
  <c r="R1183" i="1"/>
  <c r="P1183" i="1"/>
  <c r="S1183" i="1" s="1"/>
  <c r="V1183" i="1" s="1"/>
  <c r="A1183" i="1"/>
  <c r="R1182" i="1"/>
  <c r="P1182" i="1"/>
  <c r="S1182" i="1" s="1"/>
  <c r="V1182" i="1" s="1"/>
  <c r="A1182" i="1"/>
  <c r="V1181" i="1"/>
  <c r="S1181" i="1"/>
  <c r="R1181" i="1"/>
  <c r="P1181" i="1"/>
  <c r="A1181" i="1"/>
  <c r="R1180" i="1"/>
  <c r="P1180" i="1"/>
  <c r="S1180" i="1" s="1"/>
  <c r="V1180" i="1" s="1"/>
  <c r="A1180" i="1"/>
  <c r="V1179" i="1"/>
  <c r="S1179" i="1"/>
  <c r="R1179" i="1"/>
  <c r="P1179" i="1"/>
  <c r="A1179" i="1"/>
  <c r="R1178" i="1"/>
  <c r="P1178" i="1"/>
  <c r="A1178" i="1"/>
  <c r="R1177" i="1"/>
  <c r="P1177" i="1"/>
  <c r="A1177" i="1"/>
  <c r="R1176" i="1"/>
  <c r="P1176" i="1"/>
  <c r="S1176" i="1" s="1"/>
  <c r="V1176" i="1" s="1"/>
  <c r="A1176" i="1"/>
  <c r="R1175" i="1"/>
  <c r="P1175" i="1"/>
  <c r="A1175" i="1"/>
  <c r="S1174" i="1"/>
  <c r="V1174" i="1" s="1"/>
  <c r="R1174" i="1"/>
  <c r="P1174" i="1"/>
  <c r="A1174" i="1"/>
  <c r="S1173" i="1"/>
  <c r="V1173" i="1" s="1"/>
  <c r="R1173" i="1"/>
  <c r="P1173" i="1"/>
  <c r="A1173" i="1"/>
  <c r="R1172" i="1"/>
  <c r="P1172" i="1"/>
  <c r="S1172" i="1" s="1"/>
  <c r="V1172" i="1" s="1"/>
  <c r="A1172" i="1"/>
  <c r="R1171" i="1"/>
  <c r="P1171" i="1"/>
  <c r="S1171" i="1" s="1"/>
  <c r="V1171" i="1" s="1"/>
  <c r="A1171" i="1"/>
  <c r="S1170" i="1"/>
  <c r="V1170" i="1" s="1"/>
  <c r="R1170" i="1"/>
  <c r="P1170" i="1"/>
  <c r="A1170" i="1"/>
  <c r="V1169" i="1"/>
  <c r="S1169" i="1"/>
  <c r="R1169" i="1"/>
  <c r="P1169" i="1"/>
  <c r="A1169" i="1"/>
  <c r="S1168" i="1"/>
  <c r="V1168" i="1" s="1"/>
  <c r="R1168" i="1"/>
  <c r="P1168" i="1"/>
  <c r="A1168" i="1"/>
  <c r="R1167" i="1"/>
  <c r="P1167" i="1"/>
  <c r="S1167" i="1" s="1"/>
  <c r="V1167" i="1" s="1"/>
  <c r="A1167" i="1"/>
  <c r="R1166" i="1"/>
  <c r="P1166" i="1"/>
  <c r="S1166" i="1" s="1"/>
  <c r="V1166" i="1" s="1"/>
  <c r="A1166" i="1"/>
  <c r="S1165" i="1"/>
  <c r="V1165" i="1" s="1"/>
  <c r="R1165" i="1"/>
  <c r="P1165" i="1"/>
  <c r="A1165" i="1"/>
  <c r="S1164" i="1"/>
  <c r="V1164" i="1" s="1"/>
  <c r="R1164" i="1"/>
  <c r="P1164" i="1"/>
  <c r="A1164" i="1"/>
  <c r="R1163" i="1"/>
  <c r="P1163" i="1"/>
  <c r="A1163" i="1"/>
  <c r="S1162" i="1"/>
  <c r="V1162" i="1" s="1"/>
  <c r="R1162" i="1"/>
  <c r="P1162" i="1"/>
  <c r="A1162" i="1"/>
  <c r="V1161" i="1"/>
  <c r="S1161" i="1"/>
  <c r="R1161" i="1"/>
  <c r="P1161" i="1"/>
  <c r="A1161" i="1"/>
  <c r="V1160" i="1"/>
  <c r="S1160" i="1"/>
  <c r="R1160" i="1"/>
  <c r="P1160" i="1"/>
  <c r="A1160" i="1"/>
  <c r="S1159" i="1"/>
  <c r="V1159" i="1" s="1"/>
  <c r="R1159" i="1"/>
  <c r="P1159" i="1"/>
  <c r="A1159" i="1"/>
  <c r="S1158" i="1"/>
  <c r="V1158" i="1" s="1"/>
  <c r="R1158" i="1"/>
  <c r="P1158" i="1"/>
  <c r="A1158" i="1"/>
  <c r="S1157" i="1"/>
  <c r="V1157" i="1" s="1"/>
  <c r="R1157" i="1"/>
  <c r="P1157" i="1"/>
  <c r="A1157" i="1"/>
  <c r="R1156" i="1"/>
  <c r="P1156" i="1"/>
  <c r="S1156" i="1" s="1"/>
  <c r="V1156" i="1" s="1"/>
  <c r="A1156" i="1"/>
  <c r="S1155" i="1"/>
  <c r="V1155" i="1" s="1"/>
  <c r="R1155" i="1"/>
  <c r="P1155" i="1"/>
  <c r="A1155" i="1"/>
  <c r="V1154" i="1"/>
  <c r="S1154" i="1"/>
  <c r="R1154" i="1"/>
  <c r="P1154" i="1"/>
  <c r="A1154" i="1"/>
  <c r="S1153" i="1"/>
  <c r="V1153" i="1" s="1"/>
  <c r="R1153" i="1"/>
  <c r="P1153" i="1"/>
  <c r="A1153" i="1"/>
  <c r="V1152" i="1"/>
  <c r="R1152" i="1"/>
  <c r="S1152" i="1" s="1"/>
  <c r="P1152" i="1"/>
  <c r="A1152" i="1"/>
  <c r="R1151" i="1"/>
  <c r="P1151" i="1"/>
  <c r="S1151" i="1" s="1"/>
  <c r="V1151" i="1" s="1"/>
  <c r="A1151" i="1"/>
  <c r="S1150" i="1"/>
  <c r="V1150" i="1" s="1"/>
  <c r="R1150" i="1"/>
  <c r="P1150" i="1"/>
  <c r="A1150" i="1"/>
  <c r="S1149" i="1"/>
  <c r="V1149" i="1" s="1"/>
  <c r="R1149" i="1"/>
  <c r="P1149" i="1"/>
  <c r="A1149" i="1"/>
  <c r="R1148" i="1"/>
  <c r="P1148" i="1"/>
  <c r="A1148" i="1"/>
  <c r="S1147" i="1"/>
  <c r="V1147" i="1" s="1"/>
  <c r="R1147" i="1"/>
  <c r="P1147" i="1"/>
  <c r="A1147" i="1"/>
  <c r="R1146" i="1"/>
  <c r="P1146" i="1"/>
  <c r="S1146" i="1" s="1"/>
  <c r="V1146" i="1" s="1"/>
  <c r="A1146" i="1"/>
  <c r="R1145" i="1"/>
  <c r="P1145" i="1"/>
  <c r="S1145" i="1" s="1"/>
  <c r="V1145" i="1" s="1"/>
  <c r="A1145" i="1"/>
  <c r="V1144" i="1"/>
  <c r="S1144" i="1"/>
  <c r="R1144" i="1"/>
  <c r="P1144" i="1"/>
  <c r="A1144" i="1"/>
  <c r="R1143" i="1"/>
  <c r="P1143" i="1"/>
  <c r="S1143" i="1" s="1"/>
  <c r="V1143" i="1" s="1"/>
  <c r="A1143" i="1"/>
  <c r="R1142" i="1"/>
  <c r="S1142" i="1" s="1"/>
  <c r="V1142" i="1" s="1"/>
  <c r="P1142" i="1"/>
  <c r="A1142" i="1"/>
  <c r="R1141" i="1"/>
  <c r="P1141" i="1"/>
  <c r="S1141" i="1" s="1"/>
  <c r="V1141" i="1" s="1"/>
  <c r="A1141" i="1"/>
  <c r="R1140" i="1"/>
  <c r="P1140" i="1"/>
  <c r="S1140" i="1" s="1"/>
  <c r="V1140" i="1" s="1"/>
  <c r="A1140" i="1"/>
  <c r="R1139" i="1"/>
  <c r="P1139" i="1"/>
  <c r="A1139" i="1"/>
  <c r="R1138" i="1"/>
  <c r="P1138" i="1"/>
  <c r="S1138" i="1" s="1"/>
  <c r="V1138" i="1" s="1"/>
  <c r="A1138" i="1"/>
  <c r="R1137" i="1"/>
  <c r="S1137" i="1" s="1"/>
  <c r="V1137" i="1" s="1"/>
  <c r="P1137" i="1"/>
  <c r="A1137" i="1"/>
  <c r="R1136" i="1"/>
  <c r="P1136" i="1"/>
  <c r="S1136" i="1" s="1"/>
  <c r="V1136" i="1" s="1"/>
  <c r="A1136" i="1"/>
  <c r="R1135" i="1"/>
  <c r="P1135" i="1"/>
  <c r="S1135" i="1" s="1"/>
  <c r="V1135" i="1" s="1"/>
  <c r="A1135" i="1"/>
  <c r="R1134" i="1"/>
  <c r="S1134" i="1" s="1"/>
  <c r="V1134" i="1" s="1"/>
  <c r="P1134" i="1"/>
  <c r="A1134" i="1"/>
  <c r="S1133" i="1"/>
  <c r="V1133" i="1" s="1"/>
  <c r="R1133" i="1"/>
  <c r="P1133" i="1"/>
  <c r="A1133" i="1"/>
  <c r="V1132" i="1"/>
  <c r="S1132" i="1"/>
  <c r="R1132" i="1"/>
  <c r="P1132" i="1"/>
  <c r="A1132" i="1"/>
  <c r="R1131" i="1"/>
  <c r="P1131" i="1"/>
  <c r="S1131" i="1" s="1"/>
  <c r="V1131" i="1" s="1"/>
  <c r="A1131" i="1"/>
  <c r="R1130" i="1"/>
  <c r="P1130" i="1"/>
  <c r="S1130" i="1" s="1"/>
  <c r="V1130" i="1" s="1"/>
  <c r="A1130" i="1"/>
  <c r="V1129" i="1"/>
  <c r="S1129" i="1"/>
  <c r="R1129" i="1"/>
  <c r="P1129" i="1"/>
  <c r="A1129" i="1"/>
  <c r="R1128" i="1"/>
  <c r="S1128" i="1" s="1"/>
  <c r="V1128" i="1" s="1"/>
  <c r="P1128" i="1"/>
  <c r="A1128" i="1"/>
  <c r="R1127" i="1"/>
  <c r="P1127" i="1"/>
  <c r="S1127" i="1" s="1"/>
  <c r="V1127" i="1" s="1"/>
  <c r="A1127" i="1"/>
  <c r="R1126" i="1"/>
  <c r="P1126" i="1"/>
  <c r="A1126" i="1"/>
  <c r="V1125" i="1"/>
  <c r="R1125" i="1"/>
  <c r="S1125" i="1" s="1"/>
  <c r="P1125" i="1"/>
  <c r="A1125" i="1"/>
  <c r="S1124" i="1"/>
  <c r="V1124" i="1" s="1"/>
  <c r="R1124" i="1"/>
  <c r="P1124" i="1"/>
  <c r="A1124" i="1"/>
  <c r="V1123" i="1"/>
  <c r="S1123" i="1"/>
  <c r="R1123" i="1"/>
  <c r="P1123" i="1"/>
  <c r="A1123" i="1"/>
  <c r="R1122" i="1"/>
  <c r="P1122" i="1"/>
  <c r="S1122" i="1" s="1"/>
  <c r="V1122" i="1" s="1"/>
  <c r="A1122" i="1"/>
  <c r="R1121" i="1"/>
  <c r="P1121" i="1"/>
  <c r="S1121" i="1" s="1"/>
  <c r="V1121" i="1" s="1"/>
  <c r="A1121" i="1"/>
  <c r="S1120" i="1"/>
  <c r="V1120" i="1" s="1"/>
  <c r="R1120" i="1"/>
  <c r="P1120" i="1"/>
  <c r="A1120" i="1"/>
  <c r="S1119" i="1"/>
  <c r="V1119" i="1" s="1"/>
  <c r="R1119" i="1"/>
  <c r="P1119" i="1"/>
  <c r="A1119" i="1"/>
  <c r="R1118" i="1"/>
  <c r="S1118" i="1" s="1"/>
  <c r="V1118" i="1" s="1"/>
  <c r="P1118" i="1"/>
  <c r="A1118" i="1"/>
  <c r="S1117" i="1"/>
  <c r="V1117" i="1" s="1"/>
  <c r="R1117" i="1"/>
  <c r="P1117" i="1"/>
  <c r="A1117" i="1"/>
  <c r="R1116" i="1"/>
  <c r="P1116" i="1"/>
  <c r="S1116" i="1" s="1"/>
  <c r="V1116" i="1" s="1"/>
  <c r="A1116" i="1"/>
  <c r="R1115" i="1"/>
  <c r="S1115" i="1" s="1"/>
  <c r="V1115" i="1" s="1"/>
  <c r="P1115" i="1"/>
  <c r="A1115" i="1"/>
  <c r="R1114" i="1"/>
  <c r="P1114" i="1"/>
  <c r="S1114" i="1" s="1"/>
  <c r="V1114" i="1" s="1"/>
  <c r="A1114" i="1"/>
  <c r="R1113" i="1"/>
  <c r="P1113" i="1"/>
  <c r="S1113" i="1" s="1"/>
  <c r="V1113" i="1" s="1"/>
  <c r="A1113" i="1"/>
  <c r="V1112" i="1"/>
  <c r="R1112" i="1"/>
  <c r="S1112" i="1" s="1"/>
  <c r="P1112" i="1"/>
  <c r="A1112" i="1"/>
  <c r="R1111" i="1"/>
  <c r="S1111" i="1" s="1"/>
  <c r="V1111" i="1" s="1"/>
  <c r="P1111" i="1"/>
  <c r="A1111" i="1"/>
  <c r="R1110" i="1"/>
  <c r="S1110" i="1" s="1"/>
  <c r="V1110" i="1" s="1"/>
  <c r="P1110" i="1"/>
  <c r="A1110" i="1"/>
  <c r="R1109" i="1"/>
  <c r="P1109" i="1"/>
  <c r="S1109" i="1" s="1"/>
  <c r="V1109" i="1" s="1"/>
  <c r="A1109" i="1"/>
  <c r="S1108" i="1"/>
  <c r="V1108" i="1" s="1"/>
  <c r="R1108" i="1"/>
  <c r="P1108" i="1"/>
  <c r="A1108" i="1"/>
  <c r="A1107" i="1"/>
  <c r="A1106" i="1"/>
  <c r="R1105" i="1"/>
  <c r="P1105" i="1"/>
  <c r="S1105" i="1" s="1"/>
  <c r="V1105" i="1" s="1"/>
  <c r="A1105" i="1"/>
  <c r="R1104" i="1"/>
  <c r="P1104" i="1"/>
  <c r="S1104" i="1" s="1"/>
  <c r="V1104" i="1" s="1"/>
  <c r="A1104" i="1"/>
  <c r="V1103" i="1"/>
  <c r="S1103" i="1"/>
  <c r="R1103" i="1"/>
  <c r="P1103" i="1"/>
  <c r="A1103" i="1"/>
  <c r="V1102" i="1"/>
  <c r="R1102" i="1"/>
  <c r="P1102" i="1"/>
  <c r="S1102" i="1" s="1"/>
  <c r="A1102" i="1"/>
  <c r="S1101" i="1"/>
  <c r="V1101" i="1" s="1"/>
  <c r="R1101" i="1"/>
  <c r="P1101" i="1"/>
  <c r="A1101" i="1"/>
  <c r="R1100" i="1"/>
  <c r="P1100" i="1"/>
  <c r="S1100" i="1" s="1"/>
  <c r="V1100" i="1" s="1"/>
  <c r="A1100" i="1"/>
  <c r="R1099" i="1"/>
  <c r="P1099" i="1"/>
  <c r="A1099" i="1"/>
  <c r="V1098" i="1"/>
  <c r="R1098" i="1"/>
  <c r="P1098" i="1"/>
  <c r="S1098" i="1" s="1"/>
  <c r="A1098" i="1"/>
  <c r="S1097" i="1"/>
  <c r="V1097" i="1" s="1"/>
  <c r="R1097" i="1"/>
  <c r="P1097" i="1"/>
  <c r="A1097" i="1"/>
  <c r="S1096" i="1"/>
  <c r="V1096" i="1" s="1"/>
  <c r="R1096" i="1"/>
  <c r="P1096" i="1"/>
  <c r="A1096" i="1"/>
  <c r="V1095" i="1"/>
  <c r="S1095" i="1"/>
  <c r="R1095" i="1"/>
  <c r="P1095" i="1"/>
  <c r="A1095" i="1"/>
  <c r="R1094" i="1"/>
  <c r="P1094" i="1"/>
  <c r="S1094" i="1" s="1"/>
  <c r="V1094" i="1" s="1"/>
  <c r="A1094" i="1"/>
  <c r="R1093" i="1"/>
  <c r="P1093" i="1"/>
  <c r="A1093" i="1"/>
  <c r="V1092" i="1"/>
  <c r="R1092" i="1"/>
  <c r="S1092" i="1" s="1"/>
  <c r="P1092" i="1"/>
  <c r="A1092" i="1"/>
  <c r="S1091" i="1"/>
  <c r="V1091" i="1" s="1"/>
  <c r="R1091" i="1"/>
  <c r="P1091" i="1"/>
  <c r="A1091" i="1"/>
  <c r="S1090" i="1"/>
  <c r="V1090" i="1" s="1"/>
  <c r="R1090" i="1"/>
  <c r="P1090" i="1"/>
  <c r="A1090" i="1"/>
  <c r="A1089" i="1"/>
  <c r="R1088" i="1"/>
  <c r="S1088" i="1" s="1"/>
  <c r="V1088" i="1" s="1"/>
  <c r="P1088" i="1"/>
  <c r="A1088" i="1"/>
  <c r="R1087" i="1"/>
  <c r="P1087" i="1"/>
  <c r="A1087" i="1"/>
  <c r="R1086" i="1"/>
  <c r="P1086" i="1"/>
  <c r="S1086" i="1" s="1"/>
  <c r="V1086" i="1" s="1"/>
  <c r="A1086" i="1"/>
  <c r="R1085" i="1"/>
  <c r="P1085" i="1"/>
  <c r="S1085" i="1" s="1"/>
  <c r="V1085" i="1" s="1"/>
  <c r="A1085" i="1"/>
  <c r="R1084" i="1"/>
  <c r="S1084" i="1" s="1"/>
  <c r="V1084" i="1" s="1"/>
  <c r="P1084" i="1"/>
  <c r="A1084" i="1"/>
  <c r="S1083" i="1"/>
  <c r="V1083" i="1" s="1"/>
  <c r="R1083" i="1"/>
  <c r="P1083" i="1"/>
  <c r="A1083" i="1"/>
  <c r="S1082" i="1"/>
  <c r="V1082" i="1" s="1"/>
  <c r="R1082" i="1"/>
  <c r="P1082" i="1"/>
  <c r="A1082" i="1"/>
  <c r="S1081" i="1"/>
  <c r="V1081" i="1" s="1"/>
  <c r="R1081" i="1"/>
  <c r="P1081" i="1"/>
  <c r="A1081" i="1"/>
  <c r="S1080" i="1"/>
  <c r="V1080" i="1" s="1"/>
  <c r="R1080" i="1"/>
  <c r="P1080" i="1"/>
  <c r="A1080" i="1"/>
  <c r="V1079" i="1"/>
  <c r="S1079" i="1"/>
  <c r="R1079" i="1"/>
  <c r="P1079" i="1"/>
  <c r="A1079" i="1"/>
  <c r="R1078" i="1"/>
  <c r="P1078" i="1"/>
  <c r="S1078" i="1" s="1"/>
  <c r="V1078" i="1" s="1"/>
  <c r="A1078" i="1"/>
  <c r="V1077" i="1"/>
  <c r="R1077" i="1"/>
  <c r="S1077" i="1" s="1"/>
  <c r="P1077" i="1"/>
  <c r="A1077" i="1"/>
  <c r="V1076" i="1"/>
  <c r="R1076" i="1"/>
  <c r="S1076" i="1" s="1"/>
  <c r="P1076" i="1"/>
  <c r="A1076" i="1"/>
  <c r="R1075" i="1"/>
  <c r="P1075" i="1"/>
  <c r="S1075" i="1" s="1"/>
  <c r="V1075" i="1" s="1"/>
  <c r="A1075" i="1"/>
  <c r="A1074" i="1"/>
  <c r="V1073" i="1"/>
  <c r="S1073" i="1"/>
  <c r="R1073" i="1"/>
  <c r="P1073" i="1"/>
  <c r="A1073" i="1"/>
  <c r="R1072" i="1"/>
  <c r="P1072" i="1"/>
  <c r="S1072" i="1" s="1"/>
  <c r="V1072" i="1" s="1"/>
  <c r="A1072" i="1"/>
  <c r="R1071" i="1"/>
  <c r="S1071" i="1" s="1"/>
  <c r="V1071" i="1" s="1"/>
  <c r="P1071" i="1"/>
  <c r="A1071" i="1"/>
  <c r="V1070" i="1"/>
  <c r="R1070" i="1"/>
  <c r="P1070" i="1"/>
  <c r="S1070" i="1" s="1"/>
  <c r="A1070" i="1"/>
  <c r="R1069" i="1"/>
  <c r="P1069" i="1"/>
  <c r="S1069" i="1" s="1"/>
  <c r="V1069" i="1" s="1"/>
  <c r="A1069" i="1"/>
  <c r="R1068" i="1"/>
  <c r="S1068" i="1" s="1"/>
  <c r="V1068" i="1" s="1"/>
  <c r="P1068" i="1"/>
  <c r="A1068" i="1"/>
  <c r="R1067" i="1"/>
  <c r="P1067" i="1"/>
  <c r="S1067" i="1" s="1"/>
  <c r="V1067" i="1" s="1"/>
  <c r="A1067" i="1"/>
  <c r="R1066" i="1"/>
  <c r="P1066" i="1"/>
  <c r="S1066" i="1" s="1"/>
  <c r="V1066" i="1" s="1"/>
  <c r="A1066" i="1"/>
  <c r="R1065" i="1"/>
  <c r="P1065" i="1"/>
  <c r="S1065" i="1" s="1"/>
  <c r="V1065" i="1" s="1"/>
  <c r="A1065" i="1"/>
  <c r="A1064" i="1"/>
  <c r="S1063" i="1"/>
  <c r="V1063" i="1" s="1"/>
  <c r="R1063" i="1"/>
  <c r="P1063" i="1"/>
  <c r="A1063" i="1"/>
  <c r="R1062" i="1"/>
  <c r="P1062" i="1"/>
  <c r="S1062" i="1" s="1"/>
  <c r="V1062" i="1" s="1"/>
  <c r="A1062" i="1"/>
  <c r="R1061" i="1"/>
  <c r="P1061" i="1"/>
  <c r="S1061" i="1" s="1"/>
  <c r="V1061" i="1" s="1"/>
  <c r="A1061" i="1"/>
  <c r="V1060" i="1"/>
  <c r="S1060" i="1"/>
  <c r="R1060" i="1"/>
  <c r="P1060" i="1"/>
  <c r="A1060" i="1"/>
  <c r="R1059" i="1"/>
  <c r="S1059" i="1" s="1"/>
  <c r="V1059" i="1" s="1"/>
  <c r="P1059" i="1"/>
  <c r="A1059" i="1"/>
  <c r="S1058" i="1"/>
  <c r="V1058" i="1" s="1"/>
  <c r="R1058" i="1"/>
  <c r="P1058" i="1"/>
  <c r="A1058" i="1"/>
  <c r="R1057" i="1"/>
  <c r="P1057" i="1"/>
  <c r="S1057" i="1" s="1"/>
  <c r="V1057" i="1" s="1"/>
  <c r="A1057" i="1"/>
  <c r="A1056" i="1"/>
  <c r="A1055" i="1"/>
  <c r="R1054" i="1"/>
  <c r="P1054" i="1"/>
  <c r="S1054" i="1" s="1"/>
  <c r="V1054" i="1" s="1"/>
  <c r="A1054" i="1"/>
  <c r="V1053" i="1"/>
  <c r="R1053" i="1"/>
  <c r="S1053" i="1" s="1"/>
  <c r="P1053" i="1"/>
  <c r="A1053" i="1"/>
  <c r="R1052" i="1"/>
  <c r="P1052" i="1"/>
  <c r="S1052" i="1" s="1"/>
  <c r="V1052" i="1" s="1"/>
  <c r="A1052" i="1"/>
  <c r="R1051" i="1"/>
  <c r="P1051" i="1"/>
  <c r="S1051" i="1" s="1"/>
  <c r="V1051" i="1" s="1"/>
  <c r="A1051" i="1"/>
  <c r="V1050" i="1"/>
  <c r="R1050" i="1"/>
  <c r="S1050" i="1" s="1"/>
  <c r="P1050" i="1"/>
  <c r="A1050" i="1"/>
  <c r="S1049" i="1"/>
  <c r="V1049" i="1" s="1"/>
  <c r="R1049" i="1"/>
  <c r="P1049" i="1"/>
  <c r="A1049" i="1"/>
  <c r="S1048" i="1"/>
  <c r="V1048" i="1" s="1"/>
  <c r="R1048" i="1"/>
  <c r="P1048" i="1"/>
  <c r="A1048" i="1"/>
  <c r="R1047" i="1"/>
  <c r="P1047" i="1"/>
  <c r="A1047" i="1"/>
  <c r="R1046" i="1"/>
  <c r="P1046" i="1"/>
  <c r="S1046" i="1" s="1"/>
  <c r="V1046" i="1" s="1"/>
  <c r="A1046" i="1"/>
  <c r="S1045" i="1"/>
  <c r="V1045" i="1" s="1"/>
  <c r="R1045" i="1"/>
  <c r="P1045" i="1"/>
  <c r="A1045" i="1"/>
  <c r="R1044" i="1"/>
  <c r="P1044" i="1"/>
  <c r="S1044" i="1" s="1"/>
  <c r="V1044" i="1" s="1"/>
  <c r="A1044" i="1"/>
  <c r="R1043" i="1"/>
  <c r="P1043" i="1"/>
  <c r="S1043" i="1" s="1"/>
  <c r="V1043" i="1" s="1"/>
  <c r="A1043" i="1"/>
  <c r="R1042" i="1"/>
  <c r="S1042" i="1" s="1"/>
  <c r="V1042" i="1" s="1"/>
  <c r="P1042" i="1"/>
  <c r="A1042" i="1"/>
  <c r="R1041" i="1"/>
  <c r="S1041" i="1" s="1"/>
  <c r="V1041" i="1" s="1"/>
  <c r="P1041" i="1"/>
  <c r="A1041" i="1"/>
  <c r="V1040" i="1"/>
  <c r="R1040" i="1"/>
  <c r="P1040" i="1"/>
  <c r="S1040" i="1" s="1"/>
  <c r="A1040" i="1"/>
  <c r="R1039" i="1"/>
  <c r="P1039" i="1"/>
  <c r="S1039" i="1" s="1"/>
  <c r="V1039" i="1" s="1"/>
  <c r="A1039" i="1"/>
  <c r="R1038" i="1"/>
  <c r="S1038" i="1" s="1"/>
  <c r="V1038" i="1" s="1"/>
  <c r="P1038" i="1"/>
  <c r="A1038" i="1"/>
  <c r="A1037" i="1"/>
  <c r="A1036" i="1"/>
  <c r="S1035" i="1"/>
  <c r="V1035" i="1" s="1"/>
  <c r="R1035" i="1"/>
  <c r="P1035" i="1"/>
  <c r="A1035" i="1"/>
  <c r="R1034" i="1"/>
  <c r="S1034" i="1" s="1"/>
  <c r="V1034" i="1" s="1"/>
  <c r="P1034" i="1"/>
  <c r="A1034" i="1"/>
  <c r="V1033" i="1"/>
  <c r="R1033" i="1"/>
  <c r="S1033" i="1" s="1"/>
  <c r="P1033" i="1"/>
  <c r="A1033" i="1"/>
  <c r="R1032" i="1"/>
  <c r="S1032" i="1" s="1"/>
  <c r="V1032" i="1" s="1"/>
  <c r="P1032" i="1"/>
  <c r="A1032" i="1"/>
  <c r="R1031" i="1"/>
  <c r="P1031" i="1"/>
  <c r="S1031" i="1" s="1"/>
  <c r="V1031" i="1" s="1"/>
  <c r="A1031" i="1"/>
  <c r="S1030" i="1"/>
  <c r="V1030" i="1" s="1"/>
  <c r="R1030" i="1"/>
  <c r="P1030" i="1"/>
  <c r="A1030" i="1"/>
  <c r="S1029" i="1"/>
  <c r="V1029" i="1" s="1"/>
  <c r="R1029" i="1"/>
  <c r="P1029" i="1"/>
  <c r="A1029" i="1"/>
  <c r="R1028" i="1"/>
  <c r="P1028" i="1"/>
  <c r="S1028" i="1" s="1"/>
  <c r="V1028" i="1" s="1"/>
  <c r="A1028" i="1"/>
  <c r="S1027" i="1"/>
  <c r="V1027" i="1" s="1"/>
  <c r="R1027" i="1"/>
  <c r="P1027" i="1"/>
  <c r="A1027" i="1"/>
  <c r="R1026" i="1"/>
  <c r="P1026" i="1"/>
  <c r="S1026" i="1" s="1"/>
  <c r="V1026" i="1" s="1"/>
  <c r="A1026" i="1"/>
  <c r="S1025" i="1"/>
  <c r="V1025" i="1" s="1"/>
  <c r="R1025" i="1"/>
  <c r="P1025" i="1"/>
  <c r="A1025" i="1"/>
  <c r="R1024" i="1"/>
  <c r="P1024" i="1"/>
  <c r="S1024" i="1" s="1"/>
  <c r="V1024" i="1" s="1"/>
  <c r="A1024" i="1"/>
  <c r="A1023" i="1"/>
  <c r="A1022" i="1"/>
  <c r="R1021" i="1"/>
  <c r="P1021" i="1"/>
  <c r="S1021" i="1" s="1"/>
  <c r="V1021" i="1" s="1"/>
  <c r="A1021" i="1"/>
  <c r="A1020" i="1"/>
  <c r="R1019" i="1"/>
  <c r="P1019" i="1"/>
  <c r="A1019" i="1"/>
  <c r="R1018" i="1"/>
  <c r="P1018" i="1"/>
  <c r="S1018" i="1" s="1"/>
  <c r="V1018" i="1" s="1"/>
  <c r="A1018" i="1"/>
  <c r="S1017" i="1"/>
  <c r="V1017" i="1" s="1"/>
  <c r="R1017" i="1"/>
  <c r="P1017" i="1"/>
  <c r="A1017" i="1"/>
  <c r="R1016" i="1"/>
  <c r="P1016" i="1"/>
  <c r="S1016" i="1" s="1"/>
  <c r="V1016" i="1" s="1"/>
  <c r="A1016" i="1"/>
  <c r="R1015" i="1"/>
  <c r="P1015" i="1"/>
  <c r="S1015" i="1" s="1"/>
  <c r="V1015" i="1" s="1"/>
  <c r="A1015" i="1"/>
  <c r="A1014" i="1"/>
  <c r="R1013" i="1"/>
  <c r="P1013" i="1"/>
  <c r="S1013" i="1" s="1"/>
  <c r="V1013" i="1" s="1"/>
  <c r="A1013" i="1"/>
  <c r="R1012" i="1"/>
  <c r="S1012" i="1" s="1"/>
  <c r="V1012" i="1" s="1"/>
  <c r="P1012" i="1"/>
  <c r="A1012" i="1"/>
  <c r="R1011" i="1"/>
  <c r="P1011" i="1"/>
  <c r="A1011" i="1"/>
  <c r="R1010" i="1"/>
  <c r="P1010" i="1"/>
  <c r="S1010" i="1" s="1"/>
  <c r="V1010" i="1" s="1"/>
  <c r="A1010" i="1"/>
  <c r="A1009" i="1"/>
  <c r="R1008" i="1"/>
  <c r="P1008" i="1"/>
  <c r="S1008" i="1" s="1"/>
  <c r="V1008" i="1" s="1"/>
  <c r="A1008" i="1"/>
  <c r="S1007" i="1"/>
  <c r="V1007" i="1" s="1"/>
  <c r="R1007" i="1"/>
  <c r="P1007" i="1"/>
  <c r="A1007" i="1"/>
  <c r="R1006" i="1"/>
  <c r="S1006" i="1" s="1"/>
  <c r="V1006" i="1" s="1"/>
  <c r="P1006" i="1"/>
  <c r="A1006" i="1"/>
  <c r="R1005" i="1"/>
  <c r="S1005" i="1" s="1"/>
  <c r="V1005" i="1" s="1"/>
  <c r="P1005" i="1"/>
  <c r="A1005" i="1"/>
  <c r="R1004" i="1"/>
  <c r="S1004" i="1" s="1"/>
  <c r="V1004" i="1" s="1"/>
  <c r="P1004" i="1"/>
  <c r="A1004" i="1"/>
  <c r="R1003" i="1"/>
  <c r="P1003" i="1"/>
  <c r="A1003" i="1"/>
  <c r="V1002" i="1"/>
  <c r="S1002" i="1"/>
  <c r="R1002" i="1"/>
  <c r="P1002" i="1"/>
  <c r="A1002" i="1"/>
  <c r="S1001" i="1"/>
  <c r="V1001" i="1" s="1"/>
  <c r="R1001" i="1"/>
  <c r="P1001" i="1"/>
  <c r="A1001" i="1"/>
  <c r="R1000" i="1"/>
  <c r="P1000" i="1"/>
  <c r="S1000" i="1" s="1"/>
  <c r="V1000" i="1" s="1"/>
  <c r="A1000" i="1"/>
  <c r="S999" i="1"/>
  <c r="V999" i="1" s="1"/>
  <c r="R999" i="1"/>
  <c r="P999" i="1"/>
  <c r="A999" i="1"/>
  <c r="R998" i="1"/>
  <c r="P998" i="1"/>
  <c r="S998" i="1" s="1"/>
  <c r="V998" i="1" s="1"/>
  <c r="A998" i="1"/>
  <c r="R997" i="1"/>
  <c r="S997" i="1" s="1"/>
  <c r="V997" i="1" s="1"/>
  <c r="P997" i="1"/>
  <c r="A997" i="1"/>
  <c r="R996" i="1"/>
  <c r="P996" i="1"/>
  <c r="S996" i="1" s="1"/>
  <c r="V996" i="1" s="1"/>
  <c r="A996" i="1"/>
  <c r="R995" i="1"/>
  <c r="P995" i="1"/>
  <c r="S995" i="1" s="1"/>
  <c r="V995" i="1" s="1"/>
  <c r="A995" i="1"/>
  <c r="V994" i="1"/>
  <c r="R994" i="1"/>
  <c r="S994" i="1" s="1"/>
  <c r="P994" i="1"/>
  <c r="A994" i="1"/>
  <c r="R993" i="1"/>
  <c r="P993" i="1"/>
  <c r="A993" i="1"/>
  <c r="R992" i="1"/>
  <c r="S992" i="1" s="1"/>
  <c r="V992" i="1" s="1"/>
  <c r="P992" i="1"/>
  <c r="A992" i="1"/>
  <c r="A991" i="1"/>
  <c r="R990" i="1"/>
  <c r="P990" i="1"/>
  <c r="S990" i="1" s="1"/>
  <c r="V990" i="1" s="1"/>
  <c r="A990" i="1"/>
  <c r="R989" i="1"/>
  <c r="P989" i="1"/>
  <c r="S989" i="1" s="1"/>
  <c r="V989" i="1" s="1"/>
  <c r="A989" i="1"/>
  <c r="R988" i="1"/>
  <c r="P988" i="1"/>
  <c r="S988" i="1" s="1"/>
  <c r="V988" i="1" s="1"/>
  <c r="A988" i="1"/>
  <c r="R987" i="1"/>
  <c r="P987" i="1"/>
  <c r="A987" i="1"/>
  <c r="A986" i="1"/>
  <c r="S985" i="1"/>
  <c r="V985" i="1" s="1"/>
  <c r="R985" i="1"/>
  <c r="P985" i="1"/>
  <c r="A985" i="1"/>
  <c r="R984" i="1"/>
  <c r="P984" i="1"/>
  <c r="S984" i="1" s="1"/>
  <c r="V984" i="1" s="1"/>
  <c r="A984" i="1"/>
  <c r="R983" i="1"/>
  <c r="P983" i="1"/>
  <c r="S983" i="1" s="1"/>
  <c r="V983" i="1" s="1"/>
  <c r="A983" i="1"/>
  <c r="R982" i="1"/>
  <c r="P982" i="1"/>
  <c r="S982" i="1" s="1"/>
  <c r="V982" i="1" s="1"/>
  <c r="A982" i="1"/>
  <c r="A981" i="1"/>
  <c r="R980" i="1"/>
  <c r="S980" i="1" s="1"/>
  <c r="V980" i="1" s="1"/>
  <c r="P980" i="1"/>
  <c r="A980" i="1"/>
  <c r="R979" i="1"/>
  <c r="P979" i="1"/>
  <c r="S979" i="1" s="1"/>
  <c r="V979" i="1" s="1"/>
  <c r="A979" i="1"/>
  <c r="S978" i="1"/>
  <c r="V978" i="1" s="1"/>
  <c r="R978" i="1"/>
  <c r="P978" i="1"/>
  <c r="A978" i="1"/>
  <c r="S977" i="1"/>
  <c r="V977" i="1" s="1"/>
  <c r="R977" i="1"/>
  <c r="P977" i="1"/>
  <c r="A977" i="1"/>
  <c r="R976" i="1"/>
  <c r="S976" i="1" s="1"/>
  <c r="V976" i="1" s="1"/>
  <c r="P976" i="1"/>
  <c r="A976" i="1"/>
  <c r="R975" i="1"/>
  <c r="P975" i="1"/>
  <c r="S975" i="1" s="1"/>
  <c r="V975" i="1" s="1"/>
  <c r="A975" i="1"/>
  <c r="R974" i="1"/>
  <c r="P974" i="1"/>
  <c r="S974" i="1" s="1"/>
  <c r="V974" i="1" s="1"/>
  <c r="A974" i="1"/>
  <c r="A973" i="1"/>
  <c r="S972" i="1"/>
  <c r="V972" i="1" s="1"/>
  <c r="R972" i="1"/>
  <c r="P972" i="1"/>
  <c r="A972" i="1"/>
  <c r="R971" i="1"/>
  <c r="P971" i="1"/>
  <c r="A971" i="1"/>
  <c r="R970" i="1"/>
  <c r="S970" i="1" s="1"/>
  <c r="V970" i="1" s="1"/>
  <c r="P970" i="1"/>
  <c r="A970" i="1"/>
  <c r="A969" i="1"/>
  <c r="R968" i="1"/>
  <c r="P968" i="1"/>
  <c r="S968" i="1" s="1"/>
  <c r="V968" i="1" s="1"/>
  <c r="A968" i="1"/>
  <c r="R967" i="1"/>
  <c r="P967" i="1"/>
  <c r="S967" i="1" s="1"/>
  <c r="V967" i="1" s="1"/>
  <c r="A967" i="1"/>
  <c r="V966" i="1"/>
  <c r="R966" i="1"/>
  <c r="S966" i="1" s="1"/>
  <c r="P966" i="1"/>
  <c r="A966" i="1"/>
  <c r="R965" i="1"/>
  <c r="P965" i="1"/>
  <c r="A965" i="1"/>
  <c r="R964" i="1"/>
  <c r="S964" i="1" s="1"/>
  <c r="V964" i="1" s="1"/>
  <c r="P964" i="1"/>
  <c r="A964" i="1"/>
  <c r="R963" i="1"/>
  <c r="P963" i="1"/>
  <c r="A963" i="1"/>
  <c r="R962" i="1"/>
  <c r="P962" i="1"/>
  <c r="S962" i="1" s="1"/>
  <c r="V962" i="1" s="1"/>
  <c r="A962" i="1"/>
  <c r="S961" i="1"/>
  <c r="V961" i="1" s="1"/>
  <c r="R961" i="1"/>
  <c r="P961" i="1"/>
  <c r="A961" i="1"/>
  <c r="A960" i="1"/>
  <c r="A959" i="1"/>
  <c r="R958" i="1"/>
  <c r="P958" i="1"/>
  <c r="A958" i="1"/>
  <c r="S957" i="1"/>
  <c r="V957" i="1" s="1"/>
  <c r="R957" i="1"/>
  <c r="P957" i="1"/>
  <c r="A957" i="1"/>
  <c r="A956" i="1"/>
  <c r="R955" i="1"/>
  <c r="P955" i="1"/>
  <c r="S955" i="1" s="1"/>
  <c r="V955" i="1" s="1"/>
  <c r="A955" i="1"/>
  <c r="V954" i="1"/>
  <c r="R954" i="1"/>
  <c r="S954" i="1" s="1"/>
  <c r="P954" i="1"/>
  <c r="A954" i="1"/>
  <c r="R953" i="1"/>
  <c r="P953" i="1"/>
  <c r="S953" i="1" s="1"/>
  <c r="V953" i="1" s="1"/>
  <c r="A953" i="1"/>
  <c r="R952" i="1"/>
  <c r="S952" i="1" s="1"/>
  <c r="V952" i="1" s="1"/>
  <c r="P952" i="1"/>
  <c r="A952" i="1"/>
  <c r="R951" i="1"/>
  <c r="P951" i="1"/>
  <c r="A951" i="1"/>
  <c r="A950" i="1"/>
  <c r="S949" i="1"/>
  <c r="V949" i="1" s="1"/>
  <c r="R949" i="1"/>
  <c r="P949" i="1"/>
  <c r="A949" i="1"/>
  <c r="R948" i="1"/>
  <c r="P948" i="1"/>
  <c r="S948" i="1" s="1"/>
  <c r="V948" i="1" s="1"/>
  <c r="A948" i="1"/>
  <c r="V947" i="1"/>
  <c r="R947" i="1"/>
  <c r="S947" i="1" s="1"/>
  <c r="P947" i="1"/>
  <c r="A947" i="1"/>
  <c r="V946" i="1"/>
  <c r="R946" i="1"/>
  <c r="S946" i="1" s="1"/>
  <c r="P946" i="1"/>
  <c r="A946" i="1"/>
  <c r="R945" i="1"/>
  <c r="S945" i="1" s="1"/>
  <c r="V945" i="1" s="1"/>
  <c r="P945" i="1"/>
  <c r="A945" i="1"/>
  <c r="A944" i="1"/>
  <c r="S943" i="1"/>
  <c r="V943" i="1" s="1"/>
  <c r="R943" i="1"/>
  <c r="P943" i="1"/>
  <c r="A943" i="1"/>
  <c r="R942" i="1"/>
  <c r="P942" i="1"/>
  <c r="A942" i="1"/>
  <c r="S941" i="1"/>
  <c r="V941" i="1" s="1"/>
  <c r="R941" i="1"/>
  <c r="P941" i="1"/>
  <c r="A941" i="1"/>
  <c r="R940" i="1"/>
  <c r="P940" i="1"/>
  <c r="S940" i="1" s="1"/>
  <c r="V940" i="1" s="1"/>
  <c r="A940" i="1"/>
  <c r="R939" i="1"/>
  <c r="S939" i="1" s="1"/>
  <c r="V939" i="1" s="1"/>
  <c r="P939" i="1"/>
  <c r="A939" i="1"/>
  <c r="V938" i="1"/>
  <c r="R938" i="1"/>
  <c r="S938" i="1" s="1"/>
  <c r="P938" i="1"/>
  <c r="A938" i="1"/>
  <c r="R937" i="1"/>
  <c r="P937" i="1"/>
  <c r="A937" i="1"/>
  <c r="R936" i="1"/>
  <c r="S936" i="1" s="1"/>
  <c r="V936" i="1" s="1"/>
  <c r="P936" i="1"/>
  <c r="A936" i="1"/>
  <c r="R935" i="1"/>
  <c r="P935" i="1"/>
  <c r="A935" i="1"/>
  <c r="S934" i="1"/>
  <c r="V934" i="1" s="1"/>
  <c r="R934" i="1"/>
  <c r="P934" i="1"/>
  <c r="A934" i="1"/>
  <c r="S933" i="1"/>
  <c r="V933" i="1" s="1"/>
  <c r="R933" i="1"/>
  <c r="P933" i="1"/>
  <c r="A933" i="1"/>
  <c r="V932" i="1"/>
  <c r="R932" i="1"/>
  <c r="P932" i="1"/>
  <c r="S932" i="1" s="1"/>
  <c r="A932" i="1"/>
  <c r="R931" i="1"/>
  <c r="P931" i="1"/>
  <c r="S931" i="1" s="1"/>
  <c r="V931" i="1" s="1"/>
  <c r="A931" i="1"/>
  <c r="R930" i="1"/>
  <c r="P930" i="1"/>
  <c r="S930" i="1" s="1"/>
  <c r="V930" i="1" s="1"/>
  <c r="A930" i="1"/>
  <c r="R929" i="1"/>
  <c r="P929" i="1"/>
  <c r="A929" i="1"/>
  <c r="V928" i="1"/>
  <c r="R928" i="1"/>
  <c r="P928" i="1"/>
  <c r="S928" i="1" s="1"/>
  <c r="A928" i="1"/>
  <c r="S927" i="1"/>
  <c r="V927" i="1" s="1"/>
  <c r="R927" i="1"/>
  <c r="P927" i="1"/>
  <c r="A927" i="1"/>
  <c r="R926" i="1"/>
  <c r="S926" i="1" s="1"/>
  <c r="V926" i="1" s="1"/>
  <c r="P926" i="1"/>
  <c r="A926" i="1"/>
  <c r="V925" i="1"/>
  <c r="S925" i="1"/>
  <c r="R925" i="1"/>
  <c r="P925" i="1"/>
  <c r="A925" i="1"/>
  <c r="R924" i="1"/>
  <c r="S924" i="1" s="1"/>
  <c r="V924" i="1" s="1"/>
  <c r="P924" i="1"/>
  <c r="A924" i="1"/>
  <c r="R923" i="1"/>
  <c r="P923" i="1"/>
  <c r="S923" i="1" s="1"/>
  <c r="V923" i="1" s="1"/>
  <c r="A923" i="1"/>
  <c r="S922" i="1"/>
  <c r="V922" i="1" s="1"/>
  <c r="R922" i="1"/>
  <c r="P922" i="1"/>
  <c r="A922" i="1"/>
  <c r="S921" i="1"/>
  <c r="V921" i="1" s="1"/>
  <c r="R921" i="1"/>
  <c r="P921" i="1"/>
  <c r="A921" i="1"/>
  <c r="S920" i="1"/>
  <c r="V920" i="1" s="1"/>
  <c r="R920" i="1"/>
  <c r="P920" i="1"/>
  <c r="A920" i="1"/>
  <c r="S919" i="1"/>
  <c r="V919" i="1" s="1"/>
  <c r="R919" i="1"/>
  <c r="P919" i="1"/>
  <c r="A919" i="1"/>
  <c r="R918" i="1"/>
  <c r="P918" i="1"/>
  <c r="S918" i="1" s="1"/>
  <c r="V918" i="1" s="1"/>
  <c r="A918" i="1"/>
  <c r="R917" i="1"/>
  <c r="S917" i="1" s="1"/>
  <c r="V917" i="1" s="1"/>
  <c r="P917" i="1"/>
  <c r="A917" i="1"/>
  <c r="R916" i="1"/>
  <c r="P916" i="1"/>
  <c r="S916" i="1" s="1"/>
  <c r="V916" i="1" s="1"/>
  <c r="A916" i="1"/>
  <c r="R915" i="1"/>
  <c r="P915" i="1"/>
  <c r="A915" i="1"/>
  <c r="V914" i="1"/>
  <c r="R914" i="1"/>
  <c r="S914" i="1" s="1"/>
  <c r="P914" i="1"/>
  <c r="A914" i="1"/>
  <c r="R913" i="1"/>
  <c r="P913" i="1"/>
  <c r="S913" i="1" s="1"/>
  <c r="V913" i="1" s="1"/>
  <c r="A913" i="1"/>
  <c r="R912" i="1"/>
  <c r="S912" i="1" s="1"/>
  <c r="V912" i="1" s="1"/>
  <c r="P912" i="1"/>
  <c r="A912" i="1"/>
  <c r="A911" i="1"/>
  <c r="R910" i="1"/>
  <c r="P910" i="1"/>
  <c r="S910" i="1" s="1"/>
  <c r="V910" i="1" s="1"/>
  <c r="A910" i="1"/>
  <c r="S909" i="1"/>
  <c r="V909" i="1" s="1"/>
  <c r="R909" i="1"/>
  <c r="P909" i="1"/>
  <c r="A909" i="1"/>
  <c r="R908" i="1"/>
  <c r="P908" i="1"/>
  <c r="S908" i="1" s="1"/>
  <c r="V908" i="1" s="1"/>
  <c r="A908" i="1"/>
  <c r="R907" i="1"/>
  <c r="P907" i="1"/>
  <c r="S907" i="1" s="1"/>
  <c r="V907" i="1" s="1"/>
  <c r="A907" i="1"/>
  <c r="R906" i="1"/>
  <c r="S906" i="1" s="1"/>
  <c r="V906" i="1" s="1"/>
  <c r="P906" i="1"/>
  <c r="A906" i="1"/>
  <c r="S905" i="1"/>
  <c r="V905" i="1" s="1"/>
  <c r="R905" i="1"/>
  <c r="P905" i="1"/>
  <c r="A905" i="1"/>
  <c r="S904" i="1"/>
  <c r="V904" i="1" s="1"/>
  <c r="R904" i="1"/>
  <c r="P904" i="1"/>
  <c r="A904" i="1"/>
  <c r="R903" i="1"/>
  <c r="P903" i="1"/>
  <c r="S903" i="1" s="1"/>
  <c r="V903" i="1" s="1"/>
  <c r="A903" i="1"/>
  <c r="R902" i="1"/>
  <c r="P902" i="1"/>
  <c r="S902" i="1" s="1"/>
  <c r="V902" i="1" s="1"/>
  <c r="A902" i="1"/>
  <c r="S901" i="1"/>
  <c r="V901" i="1" s="1"/>
  <c r="R901" i="1"/>
  <c r="P901" i="1"/>
  <c r="A901" i="1"/>
  <c r="R900" i="1"/>
  <c r="P900" i="1"/>
  <c r="S900" i="1" s="1"/>
  <c r="V900" i="1" s="1"/>
  <c r="A900" i="1"/>
  <c r="R899" i="1"/>
  <c r="P899" i="1"/>
  <c r="S899" i="1" s="1"/>
  <c r="V899" i="1" s="1"/>
  <c r="A899" i="1"/>
  <c r="R898" i="1"/>
  <c r="P898" i="1"/>
  <c r="S898" i="1" s="1"/>
  <c r="V898" i="1" s="1"/>
  <c r="A898" i="1"/>
  <c r="V897" i="1"/>
  <c r="S897" i="1"/>
  <c r="R897" i="1"/>
  <c r="P897" i="1"/>
  <c r="A897" i="1"/>
  <c r="V896" i="1"/>
  <c r="R896" i="1"/>
  <c r="P896" i="1"/>
  <c r="S896" i="1" s="1"/>
  <c r="A896" i="1"/>
  <c r="R895" i="1"/>
  <c r="P895" i="1"/>
  <c r="S895" i="1" s="1"/>
  <c r="V895" i="1" s="1"/>
  <c r="A895" i="1"/>
  <c r="V894" i="1"/>
  <c r="R894" i="1"/>
  <c r="S894" i="1" s="1"/>
  <c r="P894" i="1"/>
  <c r="A894" i="1"/>
  <c r="V893" i="1"/>
  <c r="R893" i="1"/>
  <c r="P893" i="1"/>
  <c r="S893" i="1" s="1"/>
  <c r="A893" i="1"/>
  <c r="S892" i="1"/>
  <c r="V892" i="1" s="1"/>
  <c r="R892" i="1"/>
  <c r="P892" i="1"/>
  <c r="A892" i="1"/>
  <c r="R891" i="1"/>
  <c r="P891" i="1"/>
  <c r="S891" i="1" s="1"/>
  <c r="V891" i="1" s="1"/>
  <c r="A891" i="1"/>
  <c r="R890" i="1"/>
  <c r="P890" i="1"/>
  <c r="S890" i="1" s="1"/>
  <c r="V890" i="1" s="1"/>
  <c r="A890" i="1"/>
  <c r="S889" i="1"/>
  <c r="V889" i="1" s="1"/>
  <c r="R889" i="1"/>
  <c r="P889" i="1"/>
  <c r="A889" i="1"/>
  <c r="R888" i="1"/>
  <c r="P888" i="1"/>
  <c r="S888" i="1" s="1"/>
  <c r="V888" i="1" s="1"/>
  <c r="A888" i="1"/>
  <c r="S887" i="1"/>
  <c r="V887" i="1" s="1"/>
  <c r="R887" i="1"/>
  <c r="P887" i="1"/>
  <c r="A887" i="1"/>
  <c r="R886" i="1"/>
  <c r="P886" i="1"/>
  <c r="S886" i="1" s="1"/>
  <c r="V886" i="1" s="1"/>
  <c r="A886" i="1"/>
  <c r="R885" i="1"/>
  <c r="S885" i="1" s="1"/>
  <c r="V885" i="1" s="1"/>
  <c r="P885" i="1"/>
  <c r="A885" i="1"/>
  <c r="V884" i="1"/>
  <c r="R884" i="1"/>
  <c r="P884" i="1"/>
  <c r="S884" i="1" s="1"/>
  <c r="A884" i="1"/>
  <c r="R883" i="1"/>
  <c r="P883" i="1"/>
  <c r="S883" i="1" s="1"/>
  <c r="V883" i="1" s="1"/>
  <c r="A883" i="1"/>
  <c r="V882" i="1"/>
  <c r="R882" i="1"/>
  <c r="S882" i="1" s="1"/>
  <c r="P882" i="1"/>
  <c r="A882" i="1"/>
  <c r="S881" i="1"/>
  <c r="V881" i="1" s="1"/>
  <c r="R881" i="1"/>
  <c r="P881" i="1"/>
  <c r="A881" i="1"/>
  <c r="S880" i="1"/>
  <c r="V880" i="1" s="1"/>
  <c r="R880" i="1"/>
  <c r="P880" i="1"/>
  <c r="A880" i="1"/>
  <c r="R879" i="1"/>
  <c r="P879" i="1"/>
  <c r="A879" i="1"/>
  <c r="A878" i="1"/>
  <c r="A877" i="1"/>
  <c r="R876" i="1"/>
  <c r="S876" i="1" s="1"/>
  <c r="V876" i="1" s="1"/>
  <c r="P876" i="1"/>
  <c r="A876" i="1"/>
  <c r="R875" i="1"/>
  <c r="P875" i="1"/>
  <c r="A875" i="1"/>
  <c r="S874" i="1"/>
  <c r="V874" i="1" s="1"/>
  <c r="R874" i="1"/>
  <c r="P874" i="1"/>
  <c r="A874" i="1"/>
  <c r="S873" i="1"/>
  <c r="V873" i="1" s="1"/>
  <c r="R873" i="1"/>
  <c r="P873" i="1"/>
  <c r="A873" i="1"/>
  <c r="R872" i="1"/>
  <c r="P872" i="1"/>
  <c r="S872" i="1" s="1"/>
  <c r="V872" i="1" s="1"/>
  <c r="A872" i="1"/>
  <c r="R871" i="1"/>
  <c r="P871" i="1"/>
  <c r="S871" i="1" s="1"/>
  <c r="V871" i="1" s="1"/>
  <c r="A871" i="1"/>
  <c r="R870" i="1"/>
  <c r="P870" i="1"/>
  <c r="A870" i="1"/>
  <c r="A869" i="1"/>
  <c r="R868" i="1"/>
  <c r="S868" i="1" s="1"/>
  <c r="V868" i="1" s="1"/>
  <c r="P868" i="1"/>
  <c r="A868" i="1"/>
  <c r="R867" i="1"/>
  <c r="P867" i="1"/>
  <c r="S867" i="1" s="1"/>
  <c r="V867" i="1" s="1"/>
  <c r="A867" i="1"/>
  <c r="V866" i="1"/>
  <c r="R866" i="1"/>
  <c r="P866" i="1"/>
  <c r="S866" i="1" s="1"/>
  <c r="A866" i="1"/>
  <c r="S865" i="1"/>
  <c r="V865" i="1" s="1"/>
  <c r="R865" i="1"/>
  <c r="P865" i="1"/>
  <c r="A865" i="1"/>
  <c r="A864" i="1"/>
  <c r="R863" i="1"/>
  <c r="P863" i="1"/>
  <c r="S863" i="1" s="1"/>
  <c r="V863" i="1" s="1"/>
  <c r="A863" i="1"/>
  <c r="V862" i="1"/>
  <c r="R862" i="1"/>
  <c r="S862" i="1" s="1"/>
  <c r="P862" i="1"/>
  <c r="A862" i="1"/>
  <c r="R861" i="1"/>
  <c r="P861" i="1"/>
  <c r="S861" i="1" s="1"/>
  <c r="V861" i="1" s="1"/>
  <c r="A861" i="1"/>
  <c r="R860" i="1"/>
  <c r="P860" i="1"/>
  <c r="S860" i="1" s="1"/>
  <c r="V860" i="1" s="1"/>
  <c r="A860" i="1"/>
  <c r="A859" i="1"/>
  <c r="R858" i="1"/>
  <c r="P858" i="1"/>
  <c r="S858" i="1" s="1"/>
  <c r="V858" i="1" s="1"/>
  <c r="A858" i="1"/>
  <c r="S857" i="1"/>
  <c r="V857" i="1" s="1"/>
  <c r="R857" i="1"/>
  <c r="P857" i="1"/>
  <c r="A857" i="1"/>
  <c r="R856" i="1"/>
  <c r="P856" i="1"/>
  <c r="S856" i="1" s="1"/>
  <c r="V856" i="1" s="1"/>
  <c r="A856" i="1"/>
  <c r="R855" i="1"/>
  <c r="P855" i="1"/>
  <c r="S855" i="1" s="1"/>
  <c r="V855" i="1" s="1"/>
  <c r="A855" i="1"/>
  <c r="A854" i="1"/>
  <c r="V853" i="1"/>
  <c r="S853" i="1"/>
  <c r="R853" i="1"/>
  <c r="P853" i="1"/>
  <c r="A853" i="1"/>
  <c r="R852" i="1"/>
  <c r="P852" i="1"/>
  <c r="S852" i="1" s="1"/>
  <c r="V852" i="1" s="1"/>
  <c r="A852" i="1"/>
  <c r="S851" i="1"/>
  <c r="V851" i="1" s="1"/>
  <c r="R851" i="1"/>
  <c r="P851" i="1"/>
  <c r="A851" i="1"/>
  <c r="S850" i="1"/>
  <c r="V850" i="1" s="1"/>
  <c r="R850" i="1"/>
  <c r="P850" i="1"/>
  <c r="A850" i="1"/>
  <c r="A849" i="1"/>
  <c r="R848" i="1"/>
  <c r="P848" i="1"/>
  <c r="S848" i="1" s="1"/>
  <c r="V848" i="1" s="1"/>
  <c r="A848" i="1"/>
  <c r="R847" i="1"/>
  <c r="P847" i="1"/>
  <c r="S847" i="1" s="1"/>
  <c r="V847" i="1" s="1"/>
  <c r="A847" i="1"/>
  <c r="R846" i="1"/>
  <c r="P846" i="1"/>
  <c r="S846" i="1" s="1"/>
  <c r="V846" i="1" s="1"/>
  <c r="A846" i="1"/>
  <c r="S845" i="1"/>
  <c r="V845" i="1" s="1"/>
  <c r="R845" i="1"/>
  <c r="P845" i="1"/>
  <c r="A845" i="1"/>
  <c r="S844" i="1"/>
  <c r="V844" i="1" s="1"/>
  <c r="R844" i="1"/>
  <c r="P844" i="1"/>
  <c r="A844" i="1"/>
  <c r="R843" i="1"/>
  <c r="P843" i="1"/>
  <c r="S843" i="1" s="1"/>
  <c r="V843" i="1" s="1"/>
  <c r="A843" i="1"/>
  <c r="R842" i="1"/>
  <c r="S842" i="1" s="1"/>
  <c r="V842" i="1" s="1"/>
  <c r="P842" i="1"/>
  <c r="A842" i="1"/>
  <c r="V841" i="1"/>
  <c r="R841" i="1"/>
  <c r="P841" i="1"/>
  <c r="S841" i="1" s="1"/>
  <c r="A841" i="1"/>
  <c r="R840" i="1"/>
  <c r="P840" i="1"/>
  <c r="S840" i="1" s="1"/>
  <c r="V840" i="1" s="1"/>
  <c r="A840" i="1"/>
  <c r="S839" i="1"/>
  <c r="V839" i="1" s="1"/>
  <c r="R839" i="1"/>
  <c r="P839" i="1"/>
  <c r="A839" i="1"/>
  <c r="R838" i="1"/>
  <c r="S838" i="1" s="1"/>
  <c r="V838" i="1" s="1"/>
  <c r="P838" i="1"/>
  <c r="A838" i="1"/>
  <c r="S837" i="1"/>
  <c r="V837" i="1" s="1"/>
  <c r="R837" i="1"/>
  <c r="P837" i="1"/>
  <c r="A837" i="1"/>
  <c r="V836" i="1"/>
  <c r="R836" i="1"/>
  <c r="P836" i="1"/>
  <c r="S836" i="1" s="1"/>
  <c r="A836" i="1"/>
  <c r="R835" i="1"/>
  <c r="P835" i="1"/>
  <c r="A835" i="1"/>
  <c r="R834" i="1"/>
  <c r="P834" i="1"/>
  <c r="S834" i="1" s="1"/>
  <c r="V834" i="1" s="1"/>
  <c r="A834" i="1"/>
  <c r="V833" i="1"/>
  <c r="S833" i="1"/>
  <c r="R833" i="1"/>
  <c r="P833" i="1"/>
  <c r="A833" i="1"/>
  <c r="S832" i="1"/>
  <c r="V832" i="1" s="1"/>
  <c r="R832" i="1"/>
  <c r="P832" i="1"/>
  <c r="A832" i="1"/>
  <c r="V831" i="1"/>
  <c r="S831" i="1"/>
  <c r="R831" i="1"/>
  <c r="P831" i="1"/>
  <c r="A831" i="1"/>
  <c r="S830" i="1"/>
  <c r="V830" i="1" s="1"/>
  <c r="R830" i="1"/>
  <c r="P830" i="1"/>
  <c r="A830" i="1"/>
  <c r="S829" i="1"/>
  <c r="V829" i="1" s="1"/>
  <c r="R829" i="1"/>
  <c r="P829" i="1"/>
  <c r="A829" i="1"/>
  <c r="R828" i="1"/>
  <c r="P828" i="1"/>
  <c r="S828" i="1" s="1"/>
  <c r="V828" i="1" s="1"/>
  <c r="A828" i="1"/>
  <c r="R827" i="1"/>
  <c r="P827" i="1"/>
  <c r="S827" i="1" s="1"/>
  <c r="V827" i="1" s="1"/>
  <c r="A827" i="1"/>
  <c r="R826" i="1"/>
  <c r="S826" i="1" s="1"/>
  <c r="V826" i="1" s="1"/>
  <c r="P826" i="1"/>
  <c r="A826" i="1"/>
  <c r="R825" i="1"/>
  <c r="P825" i="1"/>
  <c r="S825" i="1" s="1"/>
  <c r="V825" i="1" s="1"/>
  <c r="A825" i="1"/>
  <c r="R824" i="1"/>
  <c r="P824" i="1"/>
  <c r="S824" i="1" s="1"/>
  <c r="V824" i="1" s="1"/>
  <c r="A824" i="1"/>
  <c r="R823" i="1"/>
  <c r="P823" i="1"/>
  <c r="A823" i="1"/>
  <c r="R822" i="1"/>
  <c r="P822" i="1"/>
  <c r="S822" i="1" s="1"/>
  <c r="V822" i="1" s="1"/>
  <c r="A822" i="1"/>
  <c r="V821" i="1"/>
  <c r="S821" i="1"/>
  <c r="R821" i="1"/>
  <c r="P821" i="1"/>
  <c r="A821" i="1"/>
  <c r="R820" i="1"/>
  <c r="P820" i="1"/>
  <c r="A820" i="1"/>
  <c r="S819" i="1"/>
  <c r="V819" i="1" s="1"/>
  <c r="R819" i="1"/>
  <c r="P819" i="1"/>
  <c r="A819" i="1"/>
  <c r="S818" i="1"/>
  <c r="V818" i="1" s="1"/>
  <c r="R818" i="1"/>
  <c r="P818" i="1"/>
  <c r="A818" i="1"/>
  <c r="S817" i="1"/>
  <c r="V817" i="1" s="1"/>
  <c r="R817" i="1"/>
  <c r="P817" i="1"/>
  <c r="A817" i="1"/>
  <c r="R816" i="1"/>
  <c r="P816" i="1"/>
  <c r="S816" i="1" s="1"/>
  <c r="V816" i="1" s="1"/>
  <c r="A816" i="1"/>
  <c r="R815" i="1"/>
  <c r="P815" i="1"/>
  <c r="S815" i="1" s="1"/>
  <c r="V815" i="1" s="1"/>
  <c r="A815" i="1"/>
  <c r="S814" i="1"/>
  <c r="V814" i="1" s="1"/>
  <c r="R814" i="1"/>
  <c r="P814" i="1"/>
  <c r="A814" i="1"/>
  <c r="V813" i="1"/>
  <c r="S813" i="1"/>
  <c r="R813" i="1"/>
  <c r="P813" i="1"/>
  <c r="A813" i="1"/>
  <c r="R812" i="1"/>
  <c r="P812" i="1"/>
  <c r="S812" i="1" s="1"/>
  <c r="V812" i="1" s="1"/>
  <c r="A812" i="1"/>
  <c r="R811" i="1"/>
  <c r="P811" i="1"/>
  <c r="S811" i="1" s="1"/>
  <c r="V811" i="1" s="1"/>
  <c r="A811" i="1"/>
  <c r="R810" i="1"/>
  <c r="P810" i="1"/>
  <c r="S810" i="1" s="1"/>
  <c r="V810" i="1" s="1"/>
  <c r="A810" i="1"/>
  <c r="V809" i="1"/>
  <c r="S809" i="1"/>
  <c r="R809" i="1"/>
  <c r="P809" i="1"/>
  <c r="A809" i="1"/>
  <c r="S808" i="1"/>
  <c r="V808" i="1" s="1"/>
  <c r="R808" i="1"/>
  <c r="P808" i="1"/>
  <c r="A808" i="1"/>
  <c r="R807" i="1"/>
  <c r="P807" i="1"/>
  <c r="S807" i="1" s="1"/>
  <c r="V807" i="1" s="1"/>
  <c r="A807" i="1"/>
  <c r="S806" i="1"/>
  <c r="V806" i="1" s="1"/>
  <c r="R806" i="1"/>
  <c r="P806" i="1"/>
  <c r="A806" i="1"/>
  <c r="V805" i="1"/>
  <c r="R805" i="1"/>
  <c r="P805" i="1"/>
  <c r="S805" i="1" s="1"/>
  <c r="A805" i="1"/>
  <c r="R804" i="1"/>
  <c r="P804" i="1"/>
  <c r="S804" i="1" s="1"/>
  <c r="V804" i="1" s="1"/>
  <c r="A804" i="1"/>
  <c r="V803" i="1"/>
  <c r="S803" i="1"/>
  <c r="R803" i="1"/>
  <c r="P803" i="1"/>
  <c r="A803" i="1"/>
  <c r="R802" i="1"/>
  <c r="S802" i="1" s="1"/>
  <c r="V802" i="1" s="1"/>
  <c r="P802" i="1"/>
  <c r="A802" i="1"/>
  <c r="S801" i="1"/>
  <c r="V801" i="1" s="1"/>
  <c r="R801" i="1"/>
  <c r="P801" i="1"/>
  <c r="A801" i="1"/>
  <c r="V800" i="1"/>
  <c r="R800" i="1"/>
  <c r="P800" i="1"/>
  <c r="S800" i="1" s="1"/>
  <c r="A800" i="1"/>
  <c r="R799" i="1"/>
  <c r="P799" i="1"/>
  <c r="A799" i="1"/>
  <c r="R798" i="1"/>
  <c r="S798" i="1" s="1"/>
  <c r="V798" i="1" s="1"/>
  <c r="P798" i="1"/>
  <c r="A798" i="1"/>
  <c r="V797" i="1"/>
  <c r="S797" i="1"/>
  <c r="R797" i="1"/>
  <c r="P797" i="1"/>
  <c r="A797" i="1"/>
  <c r="R796" i="1"/>
  <c r="P796" i="1"/>
  <c r="S796" i="1" s="1"/>
  <c r="V796" i="1" s="1"/>
  <c r="A796" i="1"/>
  <c r="S795" i="1"/>
  <c r="V795" i="1" s="1"/>
  <c r="R795" i="1"/>
  <c r="P795" i="1"/>
  <c r="A795" i="1"/>
  <c r="S794" i="1"/>
  <c r="V794" i="1" s="1"/>
  <c r="R794" i="1"/>
  <c r="P794" i="1"/>
  <c r="A794" i="1"/>
  <c r="R793" i="1"/>
  <c r="P793" i="1"/>
  <c r="S793" i="1" s="1"/>
  <c r="V793" i="1" s="1"/>
  <c r="A793" i="1"/>
  <c r="R792" i="1"/>
  <c r="P792" i="1"/>
  <c r="S792" i="1" s="1"/>
  <c r="V792" i="1" s="1"/>
  <c r="A792" i="1"/>
  <c r="R791" i="1"/>
  <c r="P791" i="1"/>
  <c r="S791" i="1" s="1"/>
  <c r="V791" i="1" s="1"/>
  <c r="A791" i="1"/>
  <c r="V790" i="1"/>
  <c r="R790" i="1"/>
  <c r="S790" i="1" s="1"/>
  <c r="P790" i="1"/>
  <c r="A790" i="1"/>
  <c r="R789" i="1"/>
  <c r="P789" i="1"/>
  <c r="S789" i="1" s="1"/>
  <c r="V789" i="1" s="1"/>
  <c r="A789" i="1"/>
  <c r="R788" i="1"/>
  <c r="P788" i="1"/>
  <c r="S788" i="1" s="1"/>
  <c r="V788" i="1" s="1"/>
  <c r="A788" i="1"/>
  <c r="R787" i="1"/>
  <c r="P787" i="1"/>
  <c r="A787" i="1"/>
  <c r="R786" i="1"/>
  <c r="P786" i="1"/>
  <c r="S786" i="1" s="1"/>
  <c r="V786" i="1" s="1"/>
  <c r="A786" i="1"/>
  <c r="V785" i="1"/>
  <c r="S785" i="1"/>
  <c r="R785" i="1"/>
  <c r="P785" i="1"/>
  <c r="A785" i="1"/>
  <c r="A784" i="1"/>
  <c r="S783" i="1"/>
  <c r="V783" i="1" s="1"/>
  <c r="R783" i="1"/>
  <c r="P783" i="1"/>
  <c r="A783" i="1"/>
  <c r="R782" i="1"/>
  <c r="S782" i="1" s="1"/>
  <c r="V782" i="1" s="1"/>
  <c r="P782" i="1"/>
  <c r="A782" i="1"/>
  <c r="R781" i="1"/>
  <c r="P781" i="1"/>
  <c r="S781" i="1" s="1"/>
  <c r="V781" i="1" s="1"/>
  <c r="A781" i="1"/>
  <c r="R780" i="1"/>
  <c r="P780" i="1"/>
  <c r="S780" i="1" s="1"/>
  <c r="V780" i="1" s="1"/>
  <c r="A780" i="1"/>
  <c r="R779" i="1"/>
  <c r="P779" i="1"/>
  <c r="S779" i="1" s="1"/>
  <c r="V779" i="1" s="1"/>
  <c r="A779" i="1"/>
  <c r="R778" i="1"/>
  <c r="P778" i="1"/>
  <c r="S778" i="1" s="1"/>
  <c r="V778" i="1" s="1"/>
  <c r="A778" i="1"/>
  <c r="S777" i="1"/>
  <c r="V777" i="1" s="1"/>
  <c r="R777" i="1"/>
  <c r="P777" i="1"/>
  <c r="A777" i="1"/>
  <c r="R776" i="1"/>
  <c r="P776" i="1"/>
  <c r="S776" i="1" s="1"/>
  <c r="V776" i="1" s="1"/>
  <c r="A776" i="1"/>
  <c r="V775" i="1"/>
  <c r="S775" i="1"/>
  <c r="R775" i="1"/>
  <c r="P775" i="1"/>
  <c r="A775" i="1"/>
  <c r="R774" i="1"/>
  <c r="P774" i="1"/>
  <c r="S774" i="1" s="1"/>
  <c r="V774" i="1" s="1"/>
  <c r="A774" i="1"/>
  <c r="R773" i="1"/>
  <c r="P773" i="1"/>
  <c r="S773" i="1" s="1"/>
  <c r="V773" i="1" s="1"/>
  <c r="A773" i="1"/>
  <c r="V772" i="1"/>
  <c r="R772" i="1"/>
  <c r="P772" i="1"/>
  <c r="S772" i="1" s="1"/>
  <c r="A772" i="1"/>
  <c r="V771" i="1"/>
  <c r="S771" i="1"/>
  <c r="R771" i="1"/>
  <c r="P771" i="1"/>
  <c r="A771" i="1"/>
  <c r="S770" i="1"/>
  <c r="V770" i="1" s="1"/>
  <c r="R770" i="1"/>
  <c r="P770" i="1"/>
  <c r="A770" i="1"/>
  <c r="V769" i="1"/>
  <c r="S769" i="1"/>
  <c r="R769" i="1"/>
  <c r="P769" i="1"/>
  <c r="A769" i="1"/>
  <c r="R768" i="1"/>
  <c r="P768" i="1"/>
  <c r="S768" i="1" s="1"/>
  <c r="V768" i="1" s="1"/>
  <c r="A768" i="1"/>
  <c r="R767" i="1"/>
  <c r="P767" i="1"/>
  <c r="A767" i="1"/>
  <c r="S766" i="1"/>
  <c r="V766" i="1" s="1"/>
  <c r="R766" i="1"/>
  <c r="P766" i="1"/>
  <c r="A766" i="1"/>
  <c r="S765" i="1"/>
  <c r="V765" i="1" s="1"/>
  <c r="R765" i="1"/>
  <c r="P765" i="1"/>
  <c r="A765" i="1"/>
  <c r="R764" i="1"/>
  <c r="P764" i="1"/>
  <c r="S764" i="1" s="1"/>
  <c r="V764" i="1" s="1"/>
  <c r="A764" i="1"/>
  <c r="R763" i="1"/>
  <c r="P763" i="1"/>
  <c r="S763" i="1" s="1"/>
  <c r="V763" i="1" s="1"/>
  <c r="A763" i="1"/>
  <c r="R762" i="1"/>
  <c r="P762" i="1"/>
  <c r="S762" i="1" s="1"/>
  <c r="V762" i="1" s="1"/>
  <c r="A762" i="1"/>
  <c r="V761" i="1"/>
  <c r="R761" i="1"/>
  <c r="S761" i="1" s="1"/>
  <c r="P761" i="1"/>
  <c r="A761" i="1"/>
  <c r="R760" i="1"/>
  <c r="P760" i="1"/>
  <c r="S760" i="1" s="1"/>
  <c r="V760" i="1" s="1"/>
  <c r="A760" i="1"/>
  <c r="R759" i="1"/>
  <c r="S759" i="1" s="1"/>
  <c r="V759" i="1" s="1"/>
  <c r="P759" i="1"/>
  <c r="A759" i="1"/>
  <c r="V758" i="1"/>
  <c r="S758" i="1"/>
  <c r="R758" i="1"/>
  <c r="P758" i="1"/>
  <c r="A758" i="1"/>
  <c r="R757" i="1"/>
  <c r="P757" i="1"/>
  <c r="S757" i="1" s="1"/>
  <c r="V757" i="1" s="1"/>
  <c r="A757" i="1"/>
  <c r="S756" i="1"/>
  <c r="V756" i="1" s="1"/>
  <c r="R756" i="1"/>
  <c r="P756" i="1"/>
  <c r="A756" i="1"/>
  <c r="R755" i="1"/>
  <c r="P755" i="1"/>
  <c r="S755" i="1" s="1"/>
  <c r="V755" i="1" s="1"/>
  <c r="A755" i="1"/>
  <c r="R754" i="1"/>
  <c r="P754" i="1"/>
  <c r="S754" i="1" s="1"/>
  <c r="V754" i="1" s="1"/>
  <c r="A754" i="1"/>
  <c r="V753" i="1"/>
  <c r="S753" i="1"/>
  <c r="R753" i="1"/>
  <c r="P753" i="1"/>
  <c r="A753" i="1"/>
  <c r="S752" i="1"/>
  <c r="V752" i="1" s="1"/>
  <c r="R752" i="1"/>
  <c r="P752" i="1"/>
  <c r="A752" i="1"/>
  <c r="R751" i="1"/>
  <c r="P751" i="1"/>
  <c r="S751" i="1" s="1"/>
  <c r="V751" i="1" s="1"/>
  <c r="A751" i="1"/>
  <c r="R750" i="1"/>
  <c r="P750" i="1"/>
  <c r="S750" i="1" s="1"/>
  <c r="V750" i="1" s="1"/>
  <c r="A750" i="1"/>
  <c r="R749" i="1"/>
  <c r="P749" i="1"/>
  <c r="S749" i="1" s="1"/>
  <c r="V749" i="1" s="1"/>
  <c r="A749" i="1"/>
  <c r="V748" i="1"/>
  <c r="R748" i="1"/>
  <c r="P748" i="1"/>
  <c r="S748" i="1" s="1"/>
  <c r="A748" i="1"/>
  <c r="R747" i="1"/>
  <c r="P747" i="1"/>
  <c r="S747" i="1" s="1"/>
  <c r="V747" i="1" s="1"/>
  <c r="A747" i="1"/>
  <c r="R746" i="1"/>
  <c r="S746" i="1" s="1"/>
  <c r="V746" i="1" s="1"/>
  <c r="P746" i="1"/>
  <c r="A746" i="1"/>
  <c r="R745" i="1"/>
  <c r="P745" i="1"/>
  <c r="S745" i="1" s="1"/>
  <c r="V745" i="1" s="1"/>
  <c r="A745" i="1"/>
  <c r="R744" i="1"/>
  <c r="P744" i="1"/>
  <c r="S744" i="1" s="1"/>
  <c r="V744" i="1" s="1"/>
  <c r="A744" i="1"/>
  <c r="R743" i="1"/>
  <c r="P743" i="1"/>
  <c r="S743" i="1" s="1"/>
  <c r="V743" i="1" s="1"/>
  <c r="A743" i="1"/>
  <c r="R742" i="1"/>
  <c r="P742" i="1"/>
  <c r="S742" i="1" s="1"/>
  <c r="V742" i="1" s="1"/>
  <c r="A742" i="1"/>
  <c r="S741" i="1"/>
  <c r="V741" i="1" s="1"/>
  <c r="R741" i="1"/>
  <c r="P741" i="1"/>
  <c r="A741" i="1"/>
  <c r="R740" i="1"/>
  <c r="P740" i="1"/>
  <c r="S740" i="1" s="1"/>
  <c r="V740" i="1" s="1"/>
  <c r="A740" i="1"/>
  <c r="S739" i="1"/>
  <c r="V739" i="1" s="1"/>
  <c r="R739" i="1"/>
  <c r="P739" i="1"/>
  <c r="A739" i="1"/>
  <c r="R738" i="1"/>
  <c r="P738" i="1"/>
  <c r="A738" i="1"/>
  <c r="R737" i="1"/>
  <c r="P737" i="1"/>
  <c r="S737" i="1" s="1"/>
  <c r="V737" i="1" s="1"/>
  <c r="A737" i="1"/>
  <c r="R736" i="1"/>
  <c r="P736" i="1"/>
  <c r="S736" i="1" s="1"/>
  <c r="V736" i="1" s="1"/>
  <c r="A736" i="1"/>
  <c r="S735" i="1"/>
  <c r="V735" i="1" s="1"/>
  <c r="R735" i="1"/>
  <c r="P735" i="1"/>
  <c r="A735" i="1"/>
  <c r="R734" i="1"/>
  <c r="S734" i="1" s="1"/>
  <c r="V734" i="1" s="1"/>
  <c r="P734" i="1"/>
  <c r="A734" i="1"/>
  <c r="R733" i="1"/>
  <c r="P733" i="1"/>
  <c r="S733" i="1" s="1"/>
  <c r="V733" i="1" s="1"/>
  <c r="A733" i="1"/>
  <c r="R732" i="1"/>
  <c r="P732" i="1"/>
  <c r="A732" i="1"/>
  <c r="R731" i="1"/>
  <c r="P731" i="1"/>
  <c r="S731" i="1" s="1"/>
  <c r="V731" i="1" s="1"/>
  <c r="A731" i="1"/>
  <c r="V730" i="1"/>
  <c r="R730" i="1"/>
  <c r="S730" i="1" s="1"/>
  <c r="P730" i="1"/>
  <c r="A730" i="1"/>
  <c r="S729" i="1"/>
  <c r="V729" i="1" s="1"/>
  <c r="R729" i="1"/>
  <c r="P729" i="1"/>
  <c r="A729" i="1"/>
  <c r="R728" i="1"/>
  <c r="P728" i="1"/>
  <c r="S728" i="1" s="1"/>
  <c r="V728" i="1" s="1"/>
  <c r="A728" i="1"/>
  <c r="R727" i="1"/>
  <c r="P727" i="1"/>
  <c r="S727" i="1" s="1"/>
  <c r="V727" i="1" s="1"/>
  <c r="A727" i="1"/>
  <c r="S726" i="1"/>
  <c r="V726" i="1" s="1"/>
  <c r="R726" i="1"/>
  <c r="P726" i="1"/>
  <c r="A726" i="1"/>
  <c r="S725" i="1"/>
  <c r="V725" i="1" s="1"/>
  <c r="R725" i="1"/>
  <c r="P725" i="1"/>
  <c r="A725" i="1"/>
  <c r="R724" i="1"/>
  <c r="P724" i="1"/>
  <c r="S724" i="1" s="1"/>
  <c r="V724" i="1" s="1"/>
  <c r="A724" i="1"/>
  <c r="V723" i="1"/>
  <c r="S723" i="1"/>
  <c r="R723" i="1"/>
  <c r="P723" i="1"/>
  <c r="A723" i="1"/>
  <c r="V722" i="1"/>
  <c r="S722" i="1"/>
  <c r="R722" i="1"/>
  <c r="P722" i="1"/>
  <c r="A722" i="1"/>
  <c r="S721" i="1"/>
  <c r="V721" i="1" s="1"/>
  <c r="R721" i="1"/>
  <c r="P721" i="1"/>
  <c r="A721" i="1"/>
  <c r="R720" i="1"/>
  <c r="S720" i="1" s="1"/>
  <c r="V720" i="1" s="1"/>
  <c r="P720" i="1"/>
  <c r="A720" i="1"/>
  <c r="A719" i="1"/>
  <c r="A718" i="1"/>
  <c r="A717" i="1"/>
  <c r="S716" i="1"/>
  <c r="V716" i="1" s="1"/>
  <c r="R716" i="1"/>
  <c r="P716" i="1"/>
  <c r="A716" i="1"/>
  <c r="S715" i="1"/>
  <c r="V715" i="1" s="1"/>
  <c r="R715" i="1"/>
  <c r="P715" i="1"/>
  <c r="A715" i="1"/>
  <c r="S714" i="1"/>
  <c r="V714" i="1" s="1"/>
  <c r="R714" i="1"/>
  <c r="P714" i="1"/>
  <c r="A714" i="1"/>
  <c r="A713" i="1"/>
  <c r="R712" i="1"/>
  <c r="P712" i="1"/>
  <c r="S712" i="1" s="1"/>
  <c r="V712" i="1" s="1"/>
  <c r="A712" i="1"/>
  <c r="R711" i="1"/>
  <c r="P711" i="1"/>
  <c r="S711" i="1" s="1"/>
  <c r="V711" i="1" s="1"/>
  <c r="A711" i="1"/>
  <c r="S710" i="1"/>
  <c r="V710" i="1" s="1"/>
  <c r="R710" i="1"/>
  <c r="P710" i="1"/>
  <c r="A710" i="1"/>
  <c r="S709" i="1"/>
  <c r="V709" i="1" s="1"/>
  <c r="R709" i="1"/>
  <c r="P709" i="1"/>
  <c r="A709" i="1"/>
  <c r="A708" i="1"/>
  <c r="A707" i="1"/>
  <c r="R706" i="1"/>
  <c r="S706" i="1" s="1"/>
  <c r="V706" i="1" s="1"/>
  <c r="P706" i="1"/>
  <c r="A706" i="1"/>
  <c r="S705" i="1"/>
  <c r="V705" i="1" s="1"/>
  <c r="R705" i="1"/>
  <c r="P705" i="1"/>
  <c r="A705" i="1"/>
  <c r="A704" i="1"/>
  <c r="R703" i="1"/>
  <c r="S703" i="1" s="1"/>
  <c r="V703" i="1" s="1"/>
  <c r="P703" i="1"/>
  <c r="A703" i="1"/>
  <c r="A702" i="1"/>
  <c r="A701" i="1"/>
  <c r="V700" i="1"/>
  <c r="R700" i="1"/>
  <c r="P700" i="1"/>
  <c r="S700" i="1" s="1"/>
  <c r="A700" i="1"/>
  <c r="R699" i="1"/>
  <c r="P699" i="1"/>
  <c r="S699" i="1" s="1"/>
  <c r="V699" i="1" s="1"/>
  <c r="A699" i="1"/>
  <c r="V698" i="1"/>
  <c r="S698" i="1"/>
  <c r="R698" i="1"/>
  <c r="P698" i="1"/>
  <c r="A698" i="1"/>
  <c r="R697" i="1"/>
  <c r="P697" i="1"/>
  <c r="S697" i="1" s="1"/>
  <c r="V697" i="1" s="1"/>
  <c r="A697" i="1"/>
  <c r="R696" i="1"/>
  <c r="P696" i="1"/>
  <c r="S696" i="1" s="1"/>
  <c r="V696" i="1" s="1"/>
  <c r="A696" i="1"/>
  <c r="R695" i="1"/>
  <c r="P695" i="1"/>
  <c r="A695" i="1"/>
  <c r="A694" i="1"/>
  <c r="R693" i="1"/>
  <c r="P693" i="1"/>
  <c r="S693" i="1" s="1"/>
  <c r="V693" i="1" s="1"/>
  <c r="A693" i="1"/>
  <c r="R692" i="1"/>
  <c r="P692" i="1"/>
  <c r="S692" i="1" s="1"/>
  <c r="V692" i="1" s="1"/>
  <c r="A692" i="1"/>
  <c r="V691" i="1"/>
  <c r="R691" i="1"/>
  <c r="P691" i="1"/>
  <c r="S691" i="1" s="1"/>
  <c r="A691" i="1"/>
  <c r="R690" i="1"/>
  <c r="S690" i="1" s="1"/>
  <c r="V690" i="1" s="1"/>
  <c r="P690" i="1"/>
  <c r="A690" i="1"/>
  <c r="V689" i="1"/>
  <c r="R689" i="1"/>
  <c r="S689" i="1" s="1"/>
  <c r="P689" i="1"/>
  <c r="A689" i="1"/>
  <c r="R688" i="1"/>
  <c r="P688" i="1"/>
  <c r="S688" i="1" s="1"/>
  <c r="V688" i="1" s="1"/>
  <c r="A688" i="1"/>
  <c r="A687" i="1"/>
  <c r="R686" i="1"/>
  <c r="P686" i="1"/>
  <c r="A686" i="1"/>
  <c r="R685" i="1"/>
  <c r="P685" i="1"/>
  <c r="S685" i="1" s="1"/>
  <c r="V685" i="1" s="1"/>
  <c r="A685" i="1"/>
  <c r="R684" i="1"/>
  <c r="P684" i="1"/>
  <c r="S684" i="1" s="1"/>
  <c r="V684" i="1" s="1"/>
  <c r="A684" i="1"/>
  <c r="V683" i="1"/>
  <c r="R683" i="1"/>
  <c r="S683" i="1" s="1"/>
  <c r="P683" i="1"/>
  <c r="A683" i="1"/>
  <c r="A682" i="1"/>
  <c r="A681" i="1"/>
  <c r="A680" i="1"/>
  <c r="R679" i="1"/>
  <c r="P679" i="1"/>
  <c r="S679" i="1" s="1"/>
  <c r="V679" i="1" s="1"/>
  <c r="A679" i="1"/>
  <c r="R678" i="1"/>
  <c r="P678" i="1"/>
  <c r="S678" i="1" s="1"/>
  <c r="V678" i="1" s="1"/>
  <c r="A678" i="1"/>
  <c r="S677" i="1"/>
  <c r="V677" i="1" s="1"/>
  <c r="R677" i="1"/>
  <c r="P677" i="1"/>
  <c r="A677" i="1"/>
  <c r="S676" i="1"/>
  <c r="V676" i="1" s="1"/>
  <c r="R676" i="1"/>
  <c r="P676" i="1"/>
  <c r="A676" i="1"/>
  <c r="R675" i="1"/>
  <c r="P675" i="1"/>
  <c r="S675" i="1" s="1"/>
  <c r="V675" i="1" s="1"/>
  <c r="A675" i="1"/>
  <c r="A674" i="1"/>
  <c r="R673" i="1"/>
  <c r="P673" i="1"/>
  <c r="S673" i="1" s="1"/>
  <c r="V673" i="1" s="1"/>
  <c r="A673" i="1"/>
  <c r="S672" i="1"/>
  <c r="V672" i="1" s="1"/>
  <c r="R672" i="1"/>
  <c r="P672" i="1"/>
  <c r="A672" i="1"/>
  <c r="R671" i="1"/>
  <c r="P671" i="1"/>
  <c r="S671" i="1" s="1"/>
  <c r="V671" i="1" s="1"/>
  <c r="A671" i="1"/>
  <c r="R670" i="1"/>
  <c r="P670" i="1"/>
  <c r="A670" i="1"/>
  <c r="V669" i="1"/>
  <c r="S669" i="1"/>
  <c r="R669" i="1"/>
  <c r="P669" i="1"/>
  <c r="A669" i="1"/>
  <c r="S668" i="1"/>
  <c r="V668" i="1" s="1"/>
  <c r="R668" i="1"/>
  <c r="P668" i="1"/>
  <c r="A668" i="1"/>
  <c r="R667" i="1"/>
  <c r="S667" i="1" s="1"/>
  <c r="V667" i="1" s="1"/>
  <c r="P667" i="1"/>
  <c r="A667" i="1"/>
  <c r="R666" i="1"/>
  <c r="P666" i="1"/>
  <c r="A666" i="1"/>
  <c r="R665" i="1"/>
  <c r="P665" i="1"/>
  <c r="S665" i="1" s="1"/>
  <c r="V665" i="1" s="1"/>
  <c r="A665" i="1"/>
  <c r="V664" i="1"/>
  <c r="R664" i="1"/>
  <c r="P664" i="1"/>
  <c r="S664" i="1" s="1"/>
  <c r="A664" i="1"/>
  <c r="R663" i="1"/>
  <c r="P663" i="1"/>
  <c r="S663" i="1" s="1"/>
  <c r="V663" i="1" s="1"/>
  <c r="A663" i="1"/>
  <c r="S662" i="1"/>
  <c r="V662" i="1" s="1"/>
  <c r="R662" i="1"/>
  <c r="P662" i="1"/>
  <c r="A662" i="1"/>
  <c r="R661" i="1"/>
  <c r="P661" i="1"/>
  <c r="S661" i="1" s="1"/>
  <c r="V661" i="1" s="1"/>
  <c r="A661" i="1"/>
  <c r="S660" i="1"/>
  <c r="V660" i="1" s="1"/>
  <c r="R660" i="1"/>
  <c r="P660" i="1"/>
  <c r="A660" i="1"/>
  <c r="R659" i="1"/>
  <c r="P659" i="1"/>
  <c r="A659" i="1"/>
  <c r="R658" i="1"/>
  <c r="P658" i="1"/>
  <c r="S658" i="1" s="1"/>
  <c r="V658" i="1" s="1"/>
  <c r="A658" i="1"/>
  <c r="S657" i="1"/>
  <c r="V657" i="1" s="1"/>
  <c r="R657" i="1"/>
  <c r="P657" i="1"/>
  <c r="A657" i="1"/>
  <c r="R656" i="1"/>
  <c r="P656" i="1"/>
  <c r="S656" i="1" s="1"/>
  <c r="V656" i="1" s="1"/>
  <c r="A656" i="1"/>
  <c r="R655" i="1"/>
  <c r="P655" i="1"/>
  <c r="S655" i="1" s="1"/>
  <c r="V655" i="1" s="1"/>
  <c r="A655" i="1"/>
  <c r="A654" i="1"/>
  <c r="A653" i="1"/>
  <c r="R652" i="1"/>
  <c r="P652" i="1"/>
  <c r="S652" i="1" s="1"/>
  <c r="V652" i="1" s="1"/>
  <c r="A652" i="1"/>
  <c r="R651" i="1"/>
  <c r="P651" i="1"/>
  <c r="S651" i="1" s="1"/>
  <c r="V651" i="1" s="1"/>
  <c r="A651" i="1"/>
  <c r="R650" i="1"/>
  <c r="S650" i="1" s="1"/>
  <c r="V650" i="1" s="1"/>
  <c r="P650" i="1"/>
  <c r="A650" i="1"/>
  <c r="R649" i="1"/>
  <c r="P649" i="1"/>
  <c r="S649" i="1" s="1"/>
  <c r="V649" i="1" s="1"/>
  <c r="A649" i="1"/>
  <c r="R648" i="1"/>
  <c r="P648" i="1"/>
  <c r="S648" i="1" s="1"/>
  <c r="V648" i="1" s="1"/>
  <c r="A648" i="1"/>
  <c r="V647" i="1"/>
  <c r="R647" i="1"/>
  <c r="P647" i="1"/>
  <c r="S647" i="1" s="1"/>
  <c r="A647" i="1"/>
  <c r="R646" i="1"/>
  <c r="P646" i="1"/>
  <c r="A646" i="1"/>
  <c r="R645" i="1"/>
  <c r="S645" i="1" s="1"/>
  <c r="V645" i="1" s="1"/>
  <c r="P645" i="1"/>
  <c r="A645" i="1"/>
  <c r="R644" i="1"/>
  <c r="S644" i="1" s="1"/>
  <c r="V644" i="1" s="1"/>
  <c r="P644" i="1"/>
  <c r="A644" i="1"/>
  <c r="R643" i="1"/>
  <c r="P643" i="1"/>
  <c r="A643" i="1"/>
  <c r="A642" i="1"/>
  <c r="A641" i="1"/>
  <c r="R640" i="1"/>
  <c r="P640" i="1"/>
  <c r="S640" i="1" s="1"/>
  <c r="V640" i="1" s="1"/>
  <c r="A640" i="1"/>
  <c r="R639" i="1"/>
  <c r="P639" i="1"/>
  <c r="A639" i="1"/>
  <c r="V638" i="1"/>
  <c r="S638" i="1"/>
  <c r="R638" i="1"/>
  <c r="P638" i="1"/>
  <c r="A638" i="1"/>
  <c r="R637" i="1"/>
  <c r="S637" i="1" s="1"/>
  <c r="V637" i="1" s="1"/>
  <c r="P637" i="1"/>
  <c r="A637" i="1"/>
  <c r="R636" i="1"/>
  <c r="S636" i="1" s="1"/>
  <c r="V636" i="1" s="1"/>
  <c r="P636" i="1"/>
  <c r="A636" i="1"/>
  <c r="A635" i="1"/>
  <c r="R634" i="1"/>
  <c r="P634" i="1"/>
  <c r="S634" i="1" s="1"/>
  <c r="V634" i="1" s="1"/>
  <c r="A634" i="1"/>
  <c r="V633" i="1"/>
  <c r="R633" i="1"/>
  <c r="P633" i="1"/>
  <c r="S633" i="1" s="1"/>
  <c r="A633" i="1"/>
  <c r="R632" i="1"/>
  <c r="P632" i="1"/>
  <c r="S632" i="1" s="1"/>
  <c r="V632" i="1" s="1"/>
  <c r="A632" i="1"/>
  <c r="V631" i="1"/>
  <c r="R631" i="1"/>
  <c r="P631" i="1"/>
  <c r="S631" i="1" s="1"/>
  <c r="A631" i="1"/>
  <c r="V630" i="1"/>
  <c r="S630" i="1"/>
  <c r="R630" i="1"/>
  <c r="P630" i="1"/>
  <c r="A630" i="1"/>
  <c r="R629" i="1"/>
  <c r="S629" i="1" s="1"/>
  <c r="V629" i="1" s="1"/>
  <c r="P629" i="1"/>
  <c r="A629" i="1"/>
  <c r="R628" i="1"/>
  <c r="P628" i="1"/>
  <c r="A628" i="1"/>
  <c r="R627" i="1"/>
  <c r="P627" i="1"/>
  <c r="S627" i="1" s="1"/>
  <c r="V627" i="1" s="1"/>
  <c r="A627" i="1"/>
  <c r="R626" i="1"/>
  <c r="P626" i="1"/>
  <c r="S626" i="1" s="1"/>
  <c r="V626" i="1" s="1"/>
  <c r="A626" i="1"/>
  <c r="S625" i="1"/>
  <c r="V625" i="1" s="1"/>
  <c r="R625" i="1"/>
  <c r="P625" i="1"/>
  <c r="A625" i="1"/>
  <c r="R624" i="1"/>
  <c r="P624" i="1"/>
  <c r="S624" i="1" s="1"/>
  <c r="V624" i="1" s="1"/>
  <c r="A624" i="1"/>
  <c r="R623" i="1"/>
  <c r="P623" i="1"/>
  <c r="S623" i="1" s="1"/>
  <c r="V623" i="1" s="1"/>
  <c r="A623" i="1"/>
  <c r="R622" i="1"/>
  <c r="P622" i="1"/>
  <c r="S622" i="1" s="1"/>
  <c r="V622" i="1" s="1"/>
  <c r="A622" i="1"/>
  <c r="S621" i="1"/>
  <c r="V621" i="1" s="1"/>
  <c r="R621" i="1"/>
  <c r="P621" i="1"/>
  <c r="A621" i="1"/>
  <c r="S620" i="1"/>
  <c r="V620" i="1" s="1"/>
  <c r="R620" i="1"/>
  <c r="P620" i="1"/>
  <c r="A620" i="1"/>
  <c r="R619" i="1"/>
  <c r="P619" i="1"/>
  <c r="A619" i="1"/>
  <c r="R618" i="1"/>
  <c r="P618" i="1"/>
  <c r="A618" i="1"/>
  <c r="R617" i="1"/>
  <c r="S617" i="1" s="1"/>
  <c r="V617" i="1" s="1"/>
  <c r="P617" i="1"/>
  <c r="A617" i="1"/>
  <c r="V616" i="1"/>
  <c r="R616" i="1"/>
  <c r="P616" i="1"/>
  <c r="S616" i="1" s="1"/>
  <c r="A616" i="1"/>
  <c r="S615" i="1"/>
  <c r="V615" i="1" s="1"/>
  <c r="R615" i="1"/>
  <c r="P615" i="1"/>
  <c r="A615" i="1"/>
  <c r="A614" i="1"/>
  <c r="A613" i="1"/>
  <c r="A612" i="1"/>
  <c r="R611" i="1"/>
  <c r="P611" i="1"/>
  <c r="S611" i="1" s="1"/>
  <c r="V611" i="1" s="1"/>
  <c r="A611" i="1"/>
  <c r="R610" i="1"/>
  <c r="P610" i="1"/>
  <c r="S610" i="1" s="1"/>
  <c r="V610" i="1" s="1"/>
  <c r="A610" i="1"/>
  <c r="S609" i="1"/>
  <c r="V609" i="1" s="1"/>
  <c r="R609" i="1"/>
  <c r="P609" i="1"/>
  <c r="A609" i="1"/>
  <c r="S608" i="1"/>
  <c r="V608" i="1" s="1"/>
  <c r="R608" i="1"/>
  <c r="P608" i="1"/>
  <c r="A608" i="1"/>
  <c r="R607" i="1"/>
  <c r="P607" i="1"/>
  <c r="A607" i="1"/>
  <c r="V606" i="1"/>
  <c r="R606" i="1"/>
  <c r="P606" i="1"/>
  <c r="S606" i="1" s="1"/>
  <c r="A606" i="1"/>
  <c r="R605" i="1"/>
  <c r="P605" i="1"/>
  <c r="S605" i="1" s="1"/>
  <c r="V605" i="1" s="1"/>
  <c r="A605" i="1"/>
  <c r="R604" i="1"/>
  <c r="P604" i="1"/>
  <c r="S604" i="1" s="1"/>
  <c r="V604" i="1" s="1"/>
  <c r="A604" i="1"/>
  <c r="V603" i="1"/>
  <c r="S603" i="1"/>
  <c r="R603" i="1"/>
  <c r="P603" i="1"/>
  <c r="A603" i="1"/>
  <c r="R602" i="1"/>
  <c r="P602" i="1"/>
  <c r="S602" i="1" s="1"/>
  <c r="V602" i="1" s="1"/>
  <c r="A602" i="1"/>
  <c r="S601" i="1"/>
  <c r="V601" i="1" s="1"/>
  <c r="R601" i="1"/>
  <c r="P601" i="1"/>
  <c r="A601" i="1"/>
  <c r="R600" i="1"/>
  <c r="P600" i="1"/>
  <c r="A600" i="1"/>
  <c r="R599" i="1"/>
  <c r="P599" i="1"/>
  <c r="S599" i="1" s="1"/>
  <c r="V599" i="1" s="1"/>
  <c r="A599" i="1"/>
  <c r="V598" i="1"/>
  <c r="R598" i="1"/>
  <c r="P598" i="1"/>
  <c r="S598" i="1" s="1"/>
  <c r="A598" i="1"/>
  <c r="R597" i="1"/>
  <c r="P597" i="1"/>
  <c r="A597" i="1"/>
  <c r="R596" i="1"/>
  <c r="S596" i="1" s="1"/>
  <c r="V596" i="1" s="1"/>
  <c r="P596" i="1"/>
  <c r="A596" i="1"/>
  <c r="A595" i="1"/>
  <c r="S594" i="1"/>
  <c r="V594" i="1" s="1"/>
  <c r="R594" i="1"/>
  <c r="P594" i="1"/>
  <c r="A594" i="1"/>
  <c r="R593" i="1"/>
  <c r="P593" i="1"/>
  <c r="S593" i="1" s="1"/>
  <c r="V593" i="1" s="1"/>
  <c r="A593" i="1"/>
  <c r="R592" i="1"/>
  <c r="P592" i="1"/>
  <c r="A592" i="1"/>
  <c r="R591" i="1"/>
  <c r="P591" i="1"/>
  <c r="A591" i="1"/>
  <c r="V590" i="1"/>
  <c r="R590" i="1"/>
  <c r="P590" i="1"/>
  <c r="S590" i="1" s="1"/>
  <c r="A590" i="1"/>
  <c r="R589" i="1"/>
  <c r="P589" i="1"/>
  <c r="S589" i="1" s="1"/>
  <c r="V589" i="1" s="1"/>
  <c r="A589" i="1"/>
  <c r="R588" i="1"/>
  <c r="S588" i="1" s="1"/>
  <c r="V588" i="1" s="1"/>
  <c r="P588" i="1"/>
  <c r="A588" i="1"/>
  <c r="R587" i="1"/>
  <c r="S587" i="1" s="1"/>
  <c r="V587" i="1" s="1"/>
  <c r="P587" i="1"/>
  <c r="A587" i="1"/>
  <c r="R586" i="1"/>
  <c r="P586" i="1"/>
  <c r="S586" i="1" s="1"/>
  <c r="V586" i="1" s="1"/>
  <c r="A586" i="1"/>
  <c r="R585" i="1"/>
  <c r="P585" i="1"/>
  <c r="S585" i="1" s="1"/>
  <c r="V585" i="1" s="1"/>
  <c r="A585" i="1"/>
  <c r="S584" i="1"/>
  <c r="V584" i="1" s="1"/>
  <c r="R584" i="1"/>
  <c r="P584" i="1"/>
  <c r="A584" i="1"/>
  <c r="V583" i="1"/>
  <c r="S583" i="1"/>
  <c r="R583" i="1"/>
  <c r="P583" i="1"/>
  <c r="A583" i="1"/>
  <c r="R582" i="1"/>
  <c r="P582" i="1"/>
  <c r="S582" i="1" s="1"/>
  <c r="V582" i="1" s="1"/>
  <c r="A582" i="1"/>
  <c r="R581" i="1"/>
  <c r="S581" i="1" s="1"/>
  <c r="V581" i="1" s="1"/>
  <c r="P581" i="1"/>
  <c r="A581" i="1"/>
  <c r="R580" i="1"/>
  <c r="P580" i="1"/>
  <c r="S580" i="1" s="1"/>
  <c r="V580" i="1" s="1"/>
  <c r="A580" i="1"/>
  <c r="V579" i="1"/>
  <c r="S579" i="1"/>
  <c r="R579" i="1"/>
  <c r="P579" i="1"/>
  <c r="A579" i="1"/>
  <c r="V578" i="1"/>
  <c r="R578" i="1"/>
  <c r="P578" i="1"/>
  <c r="S578" i="1" s="1"/>
  <c r="A578" i="1"/>
  <c r="R577" i="1"/>
  <c r="P577" i="1"/>
  <c r="S577" i="1" s="1"/>
  <c r="V577" i="1" s="1"/>
  <c r="A577" i="1"/>
  <c r="V576" i="1"/>
  <c r="R576" i="1"/>
  <c r="S576" i="1" s="1"/>
  <c r="P576" i="1"/>
  <c r="A576" i="1"/>
  <c r="R575" i="1"/>
  <c r="P575" i="1"/>
  <c r="S575" i="1" s="1"/>
  <c r="V575" i="1" s="1"/>
  <c r="A575" i="1"/>
  <c r="R574" i="1"/>
  <c r="P574" i="1"/>
  <c r="S574" i="1" s="1"/>
  <c r="V574" i="1" s="1"/>
  <c r="A574" i="1"/>
  <c r="R573" i="1"/>
  <c r="P573" i="1"/>
  <c r="S573" i="1" s="1"/>
  <c r="V573" i="1" s="1"/>
  <c r="A573" i="1"/>
  <c r="R572" i="1"/>
  <c r="P572" i="1"/>
  <c r="S572" i="1" s="1"/>
  <c r="V572" i="1" s="1"/>
  <c r="A572" i="1"/>
  <c r="S571" i="1"/>
  <c r="V571" i="1" s="1"/>
  <c r="R571" i="1"/>
  <c r="P571" i="1"/>
  <c r="A571" i="1"/>
  <c r="R570" i="1"/>
  <c r="P570" i="1"/>
  <c r="S570" i="1" s="1"/>
  <c r="V570" i="1" s="1"/>
  <c r="A570" i="1"/>
  <c r="R569" i="1"/>
  <c r="P569" i="1"/>
  <c r="S569" i="1" s="1"/>
  <c r="V569" i="1" s="1"/>
  <c r="A569" i="1"/>
  <c r="R568" i="1"/>
  <c r="P568" i="1"/>
  <c r="A568" i="1"/>
  <c r="R567" i="1"/>
  <c r="P567" i="1"/>
  <c r="A567" i="1"/>
  <c r="V566" i="1"/>
  <c r="R566" i="1"/>
  <c r="P566" i="1"/>
  <c r="S566" i="1" s="1"/>
  <c r="A566" i="1"/>
  <c r="R565" i="1"/>
  <c r="P565" i="1"/>
  <c r="S565" i="1" s="1"/>
  <c r="V565" i="1" s="1"/>
  <c r="A565" i="1"/>
  <c r="V564" i="1"/>
  <c r="R564" i="1"/>
  <c r="S564" i="1" s="1"/>
  <c r="P564" i="1"/>
  <c r="A564" i="1"/>
  <c r="R563" i="1"/>
  <c r="S563" i="1" s="1"/>
  <c r="V563" i="1" s="1"/>
  <c r="P563" i="1"/>
  <c r="A563" i="1"/>
  <c r="R562" i="1"/>
  <c r="P562" i="1"/>
  <c r="S562" i="1" s="1"/>
  <c r="V562" i="1" s="1"/>
  <c r="A562" i="1"/>
  <c r="R561" i="1"/>
  <c r="P561" i="1"/>
  <c r="S561" i="1" s="1"/>
  <c r="V561" i="1" s="1"/>
  <c r="A561" i="1"/>
  <c r="S560" i="1"/>
  <c r="V560" i="1" s="1"/>
  <c r="R560" i="1"/>
  <c r="P560" i="1"/>
  <c r="A560" i="1"/>
  <c r="V559" i="1"/>
  <c r="S559" i="1"/>
  <c r="R559" i="1"/>
  <c r="P559" i="1"/>
  <c r="A559" i="1"/>
  <c r="R558" i="1"/>
  <c r="P558" i="1"/>
  <c r="S558" i="1" s="1"/>
  <c r="V558" i="1" s="1"/>
  <c r="A558" i="1"/>
  <c r="R557" i="1"/>
  <c r="S557" i="1" s="1"/>
  <c r="V557" i="1" s="1"/>
  <c r="P557" i="1"/>
  <c r="A557" i="1"/>
  <c r="R556" i="1"/>
  <c r="P556" i="1"/>
  <c r="A556" i="1"/>
  <c r="V555" i="1"/>
  <c r="S555" i="1"/>
  <c r="R555" i="1"/>
  <c r="P555" i="1"/>
  <c r="A555" i="1"/>
  <c r="V554" i="1"/>
  <c r="R554" i="1"/>
  <c r="P554" i="1"/>
  <c r="S554" i="1" s="1"/>
  <c r="A554" i="1"/>
  <c r="R553" i="1"/>
  <c r="P553" i="1"/>
  <c r="S553" i="1" s="1"/>
  <c r="V553" i="1" s="1"/>
  <c r="A553" i="1"/>
  <c r="R552" i="1"/>
  <c r="S552" i="1" s="1"/>
  <c r="V552" i="1" s="1"/>
  <c r="P552" i="1"/>
  <c r="A552" i="1"/>
  <c r="R551" i="1"/>
  <c r="P551" i="1"/>
  <c r="S551" i="1" s="1"/>
  <c r="V551" i="1" s="1"/>
  <c r="A551" i="1"/>
  <c r="V550" i="1"/>
  <c r="S550" i="1"/>
  <c r="R550" i="1"/>
  <c r="P550" i="1"/>
  <c r="A550" i="1"/>
  <c r="R549" i="1"/>
  <c r="P549" i="1"/>
  <c r="A549" i="1"/>
  <c r="R548" i="1"/>
  <c r="P548" i="1"/>
  <c r="S548" i="1" s="1"/>
  <c r="V548" i="1" s="1"/>
  <c r="A548" i="1"/>
  <c r="V547" i="1"/>
  <c r="S547" i="1"/>
  <c r="R547" i="1"/>
  <c r="P547" i="1"/>
  <c r="A547" i="1"/>
  <c r="R546" i="1"/>
  <c r="P546" i="1"/>
  <c r="S546" i="1" s="1"/>
  <c r="V546" i="1" s="1"/>
  <c r="A546" i="1"/>
  <c r="R545" i="1"/>
  <c r="S545" i="1" s="1"/>
  <c r="V545" i="1" s="1"/>
  <c r="P545" i="1"/>
  <c r="A545" i="1"/>
  <c r="A544" i="1"/>
  <c r="R543" i="1"/>
  <c r="P543" i="1"/>
  <c r="A543" i="1"/>
  <c r="R542" i="1"/>
  <c r="S542" i="1" s="1"/>
  <c r="V542" i="1" s="1"/>
  <c r="P542" i="1"/>
  <c r="A542" i="1"/>
  <c r="R541" i="1"/>
  <c r="P541" i="1"/>
  <c r="S541" i="1" s="1"/>
  <c r="V541" i="1" s="1"/>
  <c r="A541" i="1"/>
  <c r="S540" i="1"/>
  <c r="V540" i="1" s="1"/>
  <c r="R540" i="1"/>
  <c r="P540" i="1"/>
  <c r="A540" i="1"/>
  <c r="S539" i="1"/>
  <c r="V539" i="1" s="1"/>
  <c r="R539" i="1"/>
  <c r="P539" i="1"/>
  <c r="A539" i="1"/>
  <c r="R538" i="1"/>
  <c r="P538" i="1"/>
  <c r="S538" i="1" s="1"/>
  <c r="V538" i="1" s="1"/>
  <c r="A538" i="1"/>
  <c r="R537" i="1"/>
  <c r="P537" i="1"/>
  <c r="S537" i="1" s="1"/>
  <c r="V537" i="1" s="1"/>
  <c r="A537" i="1"/>
  <c r="R536" i="1"/>
  <c r="P536" i="1"/>
  <c r="S536" i="1" s="1"/>
  <c r="V536" i="1" s="1"/>
  <c r="A536" i="1"/>
  <c r="R535" i="1"/>
  <c r="P535" i="1"/>
  <c r="S535" i="1" s="1"/>
  <c r="V535" i="1" s="1"/>
  <c r="A535" i="1"/>
  <c r="R534" i="1"/>
  <c r="P534" i="1"/>
  <c r="S534" i="1" s="1"/>
  <c r="V534" i="1" s="1"/>
  <c r="A534" i="1"/>
  <c r="R533" i="1"/>
  <c r="S533" i="1" s="1"/>
  <c r="V533" i="1" s="1"/>
  <c r="P533" i="1"/>
  <c r="A533" i="1"/>
  <c r="S532" i="1"/>
  <c r="V532" i="1" s="1"/>
  <c r="R532" i="1"/>
  <c r="P532" i="1"/>
  <c r="A532" i="1"/>
  <c r="R531" i="1"/>
  <c r="P531" i="1"/>
  <c r="S531" i="1" s="1"/>
  <c r="V531" i="1" s="1"/>
  <c r="A531" i="1"/>
  <c r="R530" i="1"/>
  <c r="P530" i="1"/>
  <c r="S530" i="1" s="1"/>
  <c r="V530" i="1" s="1"/>
  <c r="A530" i="1"/>
  <c r="R529" i="1"/>
  <c r="P529" i="1"/>
  <c r="A529" i="1"/>
  <c r="R528" i="1"/>
  <c r="P528" i="1"/>
  <c r="A528" i="1"/>
  <c r="A527" i="1"/>
  <c r="R526" i="1"/>
  <c r="P526" i="1"/>
  <c r="S526" i="1" s="1"/>
  <c r="V526" i="1" s="1"/>
  <c r="A526" i="1"/>
  <c r="S525" i="1"/>
  <c r="V525" i="1" s="1"/>
  <c r="R525" i="1"/>
  <c r="P525" i="1"/>
  <c r="A525" i="1"/>
  <c r="V524" i="1"/>
  <c r="R524" i="1"/>
  <c r="S524" i="1" s="1"/>
  <c r="P524" i="1"/>
  <c r="A524" i="1"/>
  <c r="R523" i="1"/>
  <c r="P523" i="1"/>
  <c r="S523" i="1" s="1"/>
  <c r="V523" i="1" s="1"/>
  <c r="A523" i="1"/>
  <c r="S522" i="1"/>
  <c r="V522" i="1" s="1"/>
  <c r="R522" i="1"/>
  <c r="P522" i="1"/>
  <c r="A522" i="1"/>
  <c r="R521" i="1"/>
  <c r="P521" i="1"/>
  <c r="S521" i="1" s="1"/>
  <c r="V521" i="1" s="1"/>
  <c r="A521" i="1"/>
  <c r="S520" i="1"/>
  <c r="V520" i="1" s="1"/>
  <c r="R520" i="1"/>
  <c r="P520" i="1"/>
  <c r="A520" i="1"/>
  <c r="R519" i="1"/>
  <c r="P519" i="1"/>
  <c r="S519" i="1" s="1"/>
  <c r="V519" i="1" s="1"/>
  <c r="A519" i="1"/>
  <c r="R518" i="1"/>
  <c r="P518" i="1"/>
  <c r="S518" i="1" s="1"/>
  <c r="V518" i="1" s="1"/>
  <c r="A518" i="1"/>
  <c r="R517" i="1"/>
  <c r="S517" i="1" s="1"/>
  <c r="V517" i="1" s="1"/>
  <c r="P517" i="1"/>
  <c r="A517" i="1"/>
  <c r="R516" i="1"/>
  <c r="P516" i="1"/>
  <c r="S516" i="1" s="1"/>
  <c r="V516" i="1" s="1"/>
  <c r="A516" i="1"/>
  <c r="V515" i="1"/>
  <c r="R515" i="1"/>
  <c r="P515" i="1"/>
  <c r="S515" i="1" s="1"/>
  <c r="A515" i="1"/>
  <c r="R514" i="1"/>
  <c r="P514" i="1"/>
  <c r="A514" i="1"/>
  <c r="R513" i="1"/>
  <c r="P513" i="1"/>
  <c r="S513" i="1" s="1"/>
  <c r="V513" i="1" s="1"/>
  <c r="A513" i="1"/>
  <c r="S512" i="1"/>
  <c r="V512" i="1" s="1"/>
  <c r="R512" i="1"/>
  <c r="P512" i="1"/>
  <c r="A512" i="1"/>
  <c r="R511" i="1"/>
  <c r="P511" i="1"/>
  <c r="S511" i="1" s="1"/>
  <c r="V511" i="1" s="1"/>
  <c r="A511" i="1"/>
  <c r="R510" i="1"/>
  <c r="P510" i="1"/>
  <c r="S510" i="1" s="1"/>
  <c r="V510" i="1" s="1"/>
  <c r="A510" i="1"/>
  <c r="R509" i="1"/>
  <c r="P509" i="1"/>
  <c r="A509" i="1"/>
  <c r="R508" i="1"/>
  <c r="P508" i="1"/>
  <c r="S508" i="1" s="1"/>
  <c r="V508" i="1" s="1"/>
  <c r="A508" i="1"/>
  <c r="S507" i="1"/>
  <c r="V507" i="1" s="1"/>
  <c r="R507" i="1"/>
  <c r="P507" i="1"/>
  <c r="A507" i="1"/>
  <c r="R506" i="1"/>
  <c r="P506" i="1"/>
  <c r="S506" i="1" s="1"/>
  <c r="V506" i="1" s="1"/>
  <c r="A506" i="1"/>
  <c r="R505" i="1"/>
  <c r="P505" i="1"/>
  <c r="S505" i="1" s="1"/>
  <c r="V505" i="1" s="1"/>
  <c r="A505" i="1"/>
  <c r="R504" i="1"/>
  <c r="P504" i="1"/>
  <c r="S504" i="1" s="1"/>
  <c r="V504" i="1" s="1"/>
  <c r="A504" i="1"/>
  <c r="R503" i="1"/>
  <c r="S503" i="1" s="1"/>
  <c r="V503" i="1" s="1"/>
  <c r="P503" i="1"/>
  <c r="A503" i="1"/>
  <c r="R502" i="1"/>
  <c r="P502" i="1"/>
  <c r="A502" i="1"/>
  <c r="R501" i="1"/>
  <c r="S501" i="1" s="1"/>
  <c r="V501" i="1" s="1"/>
  <c r="P501" i="1"/>
  <c r="A501" i="1"/>
  <c r="V500" i="1"/>
  <c r="S500" i="1"/>
  <c r="R500" i="1"/>
  <c r="P500" i="1"/>
  <c r="A500" i="1"/>
  <c r="S499" i="1"/>
  <c r="V499" i="1" s="1"/>
  <c r="R499" i="1"/>
  <c r="P499" i="1"/>
  <c r="A499" i="1"/>
  <c r="R498" i="1"/>
  <c r="S498" i="1" s="1"/>
  <c r="V498" i="1" s="1"/>
  <c r="P498" i="1"/>
  <c r="A498" i="1"/>
  <c r="R497" i="1"/>
  <c r="S497" i="1" s="1"/>
  <c r="V497" i="1" s="1"/>
  <c r="P497" i="1"/>
  <c r="A497" i="1"/>
  <c r="R496" i="1"/>
  <c r="P496" i="1"/>
  <c r="S496" i="1" s="1"/>
  <c r="V496" i="1" s="1"/>
  <c r="A496" i="1"/>
  <c r="R495" i="1"/>
  <c r="P495" i="1"/>
  <c r="S495" i="1" s="1"/>
  <c r="V495" i="1" s="1"/>
  <c r="A495" i="1"/>
  <c r="S494" i="1"/>
  <c r="V494" i="1" s="1"/>
  <c r="R494" i="1"/>
  <c r="P494" i="1"/>
  <c r="A494" i="1"/>
  <c r="R493" i="1"/>
  <c r="S493" i="1" s="1"/>
  <c r="V493" i="1" s="1"/>
  <c r="P493" i="1"/>
  <c r="A493" i="1"/>
  <c r="V492" i="1"/>
  <c r="R492" i="1"/>
  <c r="P492" i="1"/>
  <c r="S492" i="1" s="1"/>
  <c r="A492" i="1"/>
  <c r="V491" i="1"/>
  <c r="S491" i="1"/>
  <c r="R491" i="1"/>
  <c r="P491" i="1"/>
  <c r="A491" i="1"/>
  <c r="R490" i="1"/>
  <c r="P490" i="1"/>
  <c r="S490" i="1" s="1"/>
  <c r="V490" i="1" s="1"/>
  <c r="A490" i="1"/>
  <c r="R489" i="1"/>
  <c r="P489" i="1"/>
  <c r="S489" i="1" s="1"/>
  <c r="V489" i="1" s="1"/>
  <c r="A489" i="1"/>
  <c r="S488" i="1"/>
  <c r="V488" i="1" s="1"/>
  <c r="R488" i="1"/>
  <c r="P488" i="1"/>
  <c r="A488" i="1"/>
  <c r="R487" i="1"/>
  <c r="P487" i="1"/>
  <c r="S487" i="1" s="1"/>
  <c r="V487" i="1" s="1"/>
  <c r="A487" i="1"/>
  <c r="R486" i="1"/>
  <c r="P486" i="1"/>
  <c r="S486" i="1" s="1"/>
  <c r="V486" i="1" s="1"/>
  <c r="A486" i="1"/>
  <c r="R485" i="1"/>
  <c r="P485" i="1"/>
  <c r="S485" i="1" s="1"/>
  <c r="V485" i="1" s="1"/>
  <c r="A485" i="1"/>
  <c r="R484" i="1"/>
  <c r="P484" i="1"/>
  <c r="S484" i="1" s="1"/>
  <c r="V484" i="1" s="1"/>
  <c r="A484" i="1"/>
  <c r="S483" i="1"/>
  <c r="V483" i="1" s="1"/>
  <c r="R483" i="1"/>
  <c r="P483" i="1"/>
  <c r="A483" i="1"/>
  <c r="S482" i="1"/>
  <c r="V482" i="1" s="1"/>
  <c r="R482" i="1"/>
  <c r="P482" i="1"/>
  <c r="A482" i="1"/>
  <c r="R481" i="1"/>
  <c r="P481" i="1"/>
  <c r="S481" i="1" s="1"/>
  <c r="V481" i="1" s="1"/>
  <c r="A481" i="1"/>
  <c r="R480" i="1"/>
  <c r="P480" i="1"/>
  <c r="A480" i="1"/>
  <c r="R479" i="1"/>
  <c r="P479" i="1"/>
  <c r="A479" i="1"/>
  <c r="S478" i="1"/>
  <c r="V478" i="1" s="1"/>
  <c r="R478" i="1"/>
  <c r="P478" i="1"/>
  <c r="A478" i="1"/>
  <c r="R477" i="1"/>
  <c r="P477" i="1"/>
  <c r="A477" i="1"/>
  <c r="A476" i="1"/>
  <c r="A475" i="1"/>
  <c r="V474" i="1"/>
  <c r="S474" i="1"/>
  <c r="R474" i="1"/>
  <c r="P474" i="1"/>
  <c r="A474" i="1"/>
  <c r="R473" i="1"/>
  <c r="P473" i="1"/>
  <c r="A473" i="1"/>
  <c r="S472" i="1"/>
  <c r="V472" i="1" s="1"/>
  <c r="R472" i="1"/>
  <c r="P472" i="1"/>
  <c r="A472" i="1"/>
  <c r="R471" i="1"/>
  <c r="S471" i="1" s="1"/>
  <c r="V471" i="1" s="1"/>
  <c r="P471" i="1"/>
  <c r="A471" i="1"/>
  <c r="S470" i="1"/>
  <c r="V470" i="1" s="1"/>
  <c r="R470" i="1"/>
  <c r="P470" i="1"/>
  <c r="A470" i="1"/>
  <c r="V469" i="1"/>
  <c r="R469" i="1"/>
  <c r="P469" i="1"/>
  <c r="S469" i="1" s="1"/>
  <c r="A469" i="1"/>
  <c r="R468" i="1"/>
  <c r="P468" i="1"/>
  <c r="S468" i="1" s="1"/>
  <c r="V468" i="1" s="1"/>
  <c r="A468" i="1"/>
  <c r="V467" i="1"/>
  <c r="S467" i="1"/>
  <c r="R467" i="1"/>
  <c r="P467" i="1"/>
  <c r="A467" i="1"/>
  <c r="R466" i="1"/>
  <c r="P466" i="1"/>
  <c r="S466" i="1" s="1"/>
  <c r="V466" i="1" s="1"/>
  <c r="A466" i="1"/>
  <c r="R465" i="1"/>
  <c r="S465" i="1" s="1"/>
  <c r="V465" i="1" s="1"/>
  <c r="P465" i="1"/>
  <c r="A465" i="1"/>
  <c r="R464" i="1"/>
  <c r="P464" i="1"/>
  <c r="S464" i="1" s="1"/>
  <c r="V464" i="1" s="1"/>
  <c r="A464" i="1"/>
  <c r="R463" i="1"/>
  <c r="P463" i="1"/>
  <c r="S463" i="1" s="1"/>
  <c r="V463" i="1" s="1"/>
  <c r="A463" i="1"/>
  <c r="S462" i="1"/>
  <c r="V462" i="1" s="1"/>
  <c r="R462" i="1"/>
  <c r="P462" i="1"/>
  <c r="A462" i="1"/>
  <c r="R461" i="1"/>
  <c r="P461" i="1"/>
  <c r="A461" i="1"/>
  <c r="R460" i="1"/>
  <c r="S460" i="1" s="1"/>
  <c r="V460" i="1" s="1"/>
  <c r="P460" i="1"/>
  <c r="A460" i="1"/>
  <c r="S459" i="1"/>
  <c r="V459" i="1" s="1"/>
  <c r="R459" i="1"/>
  <c r="P459" i="1"/>
  <c r="A459" i="1"/>
  <c r="A458" i="1"/>
  <c r="R457" i="1"/>
  <c r="P457" i="1"/>
  <c r="S457" i="1" s="1"/>
  <c r="V457" i="1" s="1"/>
  <c r="A457" i="1"/>
  <c r="R456" i="1"/>
  <c r="P456" i="1"/>
  <c r="A456" i="1"/>
  <c r="R455" i="1"/>
  <c r="P455" i="1"/>
  <c r="S455" i="1" s="1"/>
  <c r="V455" i="1" s="1"/>
  <c r="A455" i="1"/>
  <c r="S454" i="1"/>
  <c r="V454" i="1" s="1"/>
  <c r="R454" i="1"/>
  <c r="P454" i="1"/>
  <c r="A454" i="1"/>
  <c r="R453" i="1"/>
  <c r="P453" i="1"/>
  <c r="S453" i="1" s="1"/>
  <c r="V453" i="1" s="1"/>
  <c r="A453" i="1"/>
  <c r="R452" i="1"/>
  <c r="S452" i="1" s="1"/>
  <c r="V452" i="1" s="1"/>
  <c r="P452" i="1"/>
  <c r="A452" i="1"/>
  <c r="R451" i="1"/>
  <c r="S451" i="1" s="1"/>
  <c r="V451" i="1" s="1"/>
  <c r="P451" i="1"/>
  <c r="A451" i="1"/>
  <c r="R450" i="1"/>
  <c r="S450" i="1" s="1"/>
  <c r="V450" i="1" s="1"/>
  <c r="P450" i="1"/>
  <c r="A450" i="1"/>
  <c r="V449" i="1"/>
  <c r="R449" i="1"/>
  <c r="P449" i="1"/>
  <c r="S449" i="1" s="1"/>
  <c r="A449" i="1"/>
  <c r="R448" i="1"/>
  <c r="P448" i="1"/>
  <c r="S448" i="1" s="1"/>
  <c r="V448" i="1" s="1"/>
  <c r="A448" i="1"/>
  <c r="S447" i="1"/>
  <c r="V447" i="1" s="1"/>
  <c r="R447" i="1"/>
  <c r="P447" i="1"/>
  <c r="A447" i="1"/>
  <c r="R446" i="1"/>
  <c r="P446" i="1"/>
  <c r="S446" i="1" s="1"/>
  <c r="V446" i="1" s="1"/>
  <c r="A446" i="1"/>
  <c r="S445" i="1"/>
  <c r="V445" i="1" s="1"/>
  <c r="R445" i="1"/>
  <c r="P445" i="1"/>
  <c r="A445" i="1"/>
  <c r="R444" i="1"/>
  <c r="P444" i="1"/>
  <c r="S444" i="1" s="1"/>
  <c r="V444" i="1" s="1"/>
  <c r="A444" i="1"/>
  <c r="R443" i="1"/>
  <c r="P443" i="1"/>
  <c r="A443" i="1"/>
  <c r="S442" i="1"/>
  <c r="V442" i="1" s="1"/>
  <c r="R442" i="1"/>
  <c r="P442" i="1"/>
  <c r="A442" i="1"/>
  <c r="R441" i="1"/>
  <c r="P441" i="1"/>
  <c r="S441" i="1" s="1"/>
  <c r="V441" i="1" s="1"/>
  <c r="A441" i="1"/>
  <c r="R440" i="1"/>
  <c r="P440" i="1"/>
  <c r="S440" i="1" s="1"/>
  <c r="V440" i="1" s="1"/>
  <c r="A440" i="1"/>
  <c r="R439" i="1"/>
  <c r="S439" i="1" s="1"/>
  <c r="V439" i="1" s="1"/>
  <c r="P439" i="1"/>
  <c r="A439" i="1"/>
  <c r="R438" i="1"/>
  <c r="S438" i="1" s="1"/>
  <c r="V438" i="1" s="1"/>
  <c r="P438" i="1"/>
  <c r="A438" i="1"/>
  <c r="R437" i="1"/>
  <c r="P437" i="1"/>
  <c r="S437" i="1" s="1"/>
  <c r="V437" i="1" s="1"/>
  <c r="A437" i="1"/>
  <c r="S436" i="1"/>
  <c r="V436" i="1" s="1"/>
  <c r="R436" i="1"/>
  <c r="P436" i="1"/>
  <c r="A436" i="1"/>
  <c r="S435" i="1"/>
  <c r="V435" i="1" s="1"/>
  <c r="R435" i="1"/>
  <c r="P435" i="1"/>
  <c r="A435" i="1"/>
  <c r="R434" i="1"/>
  <c r="P434" i="1"/>
  <c r="S434" i="1" s="1"/>
  <c r="V434" i="1" s="1"/>
  <c r="A434" i="1"/>
  <c r="R433" i="1"/>
  <c r="P433" i="1"/>
  <c r="S433" i="1" s="1"/>
  <c r="V433" i="1" s="1"/>
  <c r="A433" i="1"/>
  <c r="R432" i="1"/>
  <c r="P432" i="1"/>
  <c r="A432" i="1"/>
  <c r="R431" i="1"/>
  <c r="P431" i="1"/>
  <c r="A431" i="1"/>
  <c r="S430" i="1"/>
  <c r="V430" i="1" s="1"/>
  <c r="R430" i="1"/>
  <c r="P430" i="1"/>
  <c r="A430" i="1"/>
  <c r="R429" i="1"/>
  <c r="P429" i="1"/>
  <c r="S429" i="1" s="1"/>
  <c r="V429" i="1" s="1"/>
  <c r="A429" i="1"/>
  <c r="S428" i="1"/>
  <c r="V428" i="1" s="1"/>
  <c r="R428" i="1"/>
  <c r="P428" i="1"/>
  <c r="A428" i="1"/>
  <c r="R427" i="1"/>
  <c r="S427" i="1" s="1"/>
  <c r="V427" i="1" s="1"/>
  <c r="P427" i="1"/>
  <c r="A427" i="1"/>
  <c r="R426" i="1"/>
  <c r="P426" i="1"/>
  <c r="S426" i="1" s="1"/>
  <c r="V426" i="1" s="1"/>
  <c r="A426" i="1"/>
  <c r="V425" i="1"/>
  <c r="R425" i="1"/>
  <c r="P425" i="1"/>
  <c r="S425" i="1" s="1"/>
  <c r="A425" i="1"/>
  <c r="S424" i="1"/>
  <c r="V424" i="1" s="1"/>
  <c r="R424" i="1"/>
  <c r="P424" i="1"/>
  <c r="A424" i="1"/>
  <c r="R423" i="1"/>
  <c r="S423" i="1" s="1"/>
  <c r="V423" i="1" s="1"/>
  <c r="P423" i="1"/>
  <c r="A423" i="1"/>
  <c r="V422" i="1"/>
  <c r="R422" i="1"/>
  <c r="P422" i="1"/>
  <c r="S422" i="1" s="1"/>
  <c r="A422" i="1"/>
  <c r="R421" i="1"/>
  <c r="P421" i="1"/>
  <c r="S421" i="1" s="1"/>
  <c r="V421" i="1" s="1"/>
  <c r="A421" i="1"/>
  <c r="R420" i="1"/>
  <c r="P420" i="1"/>
  <c r="S420" i="1" s="1"/>
  <c r="V420" i="1" s="1"/>
  <c r="A420" i="1"/>
  <c r="R419" i="1"/>
  <c r="P419" i="1"/>
  <c r="S419" i="1" s="1"/>
  <c r="V419" i="1" s="1"/>
  <c r="A419" i="1"/>
  <c r="S418" i="1"/>
  <c r="V418" i="1" s="1"/>
  <c r="R418" i="1"/>
  <c r="P418" i="1"/>
  <c r="A418" i="1"/>
  <c r="R417" i="1"/>
  <c r="P417" i="1"/>
  <c r="A417" i="1"/>
  <c r="R416" i="1"/>
  <c r="S416" i="1" s="1"/>
  <c r="V416" i="1" s="1"/>
  <c r="P416" i="1"/>
  <c r="A416" i="1"/>
  <c r="R415" i="1"/>
  <c r="S415" i="1" s="1"/>
  <c r="V415" i="1" s="1"/>
  <c r="P415" i="1"/>
  <c r="A415" i="1"/>
  <c r="R414" i="1"/>
  <c r="S414" i="1" s="1"/>
  <c r="V414" i="1" s="1"/>
  <c r="P414" i="1"/>
  <c r="A414" i="1"/>
  <c r="V413" i="1"/>
  <c r="R413" i="1"/>
  <c r="P413" i="1"/>
  <c r="S413" i="1" s="1"/>
  <c r="A413" i="1"/>
  <c r="R412" i="1"/>
  <c r="P412" i="1"/>
  <c r="S412" i="1" s="1"/>
  <c r="V412" i="1" s="1"/>
  <c r="A412" i="1"/>
  <c r="S411" i="1"/>
  <c r="V411" i="1" s="1"/>
  <c r="R411" i="1"/>
  <c r="P411" i="1"/>
  <c r="A411" i="1"/>
  <c r="V410" i="1"/>
  <c r="S410" i="1"/>
  <c r="R410" i="1"/>
  <c r="P410" i="1"/>
  <c r="A410" i="1"/>
  <c r="R409" i="1"/>
  <c r="P409" i="1"/>
  <c r="S409" i="1" s="1"/>
  <c r="V409" i="1" s="1"/>
  <c r="A409" i="1"/>
  <c r="R408" i="1"/>
  <c r="P408" i="1"/>
  <c r="S408" i="1" s="1"/>
  <c r="V408" i="1" s="1"/>
  <c r="A408" i="1"/>
  <c r="A407" i="1"/>
  <c r="A406" i="1"/>
  <c r="R405" i="1"/>
  <c r="S405" i="1" s="1"/>
  <c r="V405" i="1" s="1"/>
  <c r="P405" i="1"/>
  <c r="A405" i="1"/>
  <c r="R404" i="1"/>
  <c r="P404" i="1"/>
  <c r="A404" i="1"/>
  <c r="A403" i="1"/>
  <c r="R402" i="1"/>
  <c r="P402" i="1"/>
  <c r="S402" i="1" s="1"/>
  <c r="V402" i="1" s="1"/>
  <c r="A402" i="1"/>
  <c r="V401" i="1"/>
  <c r="R401" i="1"/>
  <c r="P401" i="1"/>
  <c r="S401" i="1" s="1"/>
  <c r="A401" i="1"/>
  <c r="S400" i="1"/>
  <c r="V400" i="1" s="1"/>
  <c r="R400" i="1"/>
  <c r="P400" i="1"/>
  <c r="A400" i="1"/>
  <c r="R399" i="1"/>
  <c r="S399" i="1" s="1"/>
  <c r="V399" i="1" s="1"/>
  <c r="P399" i="1"/>
  <c r="A399" i="1"/>
  <c r="R398" i="1"/>
  <c r="P398" i="1"/>
  <c r="S398" i="1" s="1"/>
  <c r="V398" i="1" s="1"/>
  <c r="A398" i="1"/>
  <c r="R397" i="1"/>
  <c r="S397" i="1" s="1"/>
  <c r="V397" i="1" s="1"/>
  <c r="P397" i="1"/>
  <c r="A397" i="1"/>
  <c r="A396" i="1"/>
  <c r="A395" i="1"/>
  <c r="V394" i="1"/>
  <c r="S394" i="1"/>
  <c r="R394" i="1"/>
  <c r="P394" i="1"/>
  <c r="A394" i="1"/>
  <c r="R393" i="1"/>
  <c r="S393" i="1" s="1"/>
  <c r="V393" i="1" s="1"/>
  <c r="P393" i="1"/>
  <c r="A393" i="1"/>
  <c r="R392" i="1"/>
  <c r="P392" i="1"/>
  <c r="S392" i="1" s="1"/>
  <c r="V392" i="1" s="1"/>
  <c r="A392" i="1"/>
  <c r="R391" i="1"/>
  <c r="P391" i="1"/>
  <c r="S391" i="1" s="1"/>
  <c r="V391" i="1" s="1"/>
  <c r="A391" i="1"/>
  <c r="S390" i="1"/>
  <c r="V390" i="1" s="1"/>
  <c r="R390" i="1"/>
  <c r="P390" i="1"/>
  <c r="A390" i="1"/>
  <c r="R389" i="1"/>
  <c r="P389" i="1"/>
  <c r="A389" i="1"/>
  <c r="S388" i="1"/>
  <c r="V388" i="1" s="1"/>
  <c r="R388" i="1"/>
  <c r="P388" i="1"/>
  <c r="A388" i="1"/>
  <c r="A387" i="1"/>
  <c r="R386" i="1"/>
  <c r="P386" i="1"/>
  <c r="S386" i="1" s="1"/>
  <c r="V386" i="1" s="1"/>
  <c r="A386" i="1"/>
  <c r="R385" i="1"/>
  <c r="S385" i="1" s="1"/>
  <c r="V385" i="1" s="1"/>
  <c r="P385" i="1"/>
  <c r="A385" i="1"/>
  <c r="R384" i="1"/>
  <c r="P384" i="1"/>
  <c r="A384" i="1"/>
  <c r="R383" i="1"/>
  <c r="P383" i="1"/>
  <c r="S383" i="1" s="1"/>
  <c r="V383" i="1" s="1"/>
  <c r="A383" i="1"/>
  <c r="S382" i="1"/>
  <c r="V382" i="1" s="1"/>
  <c r="R382" i="1"/>
  <c r="P382" i="1"/>
  <c r="A382" i="1"/>
  <c r="R381" i="1"/>
  <c r="P381" i="1"/>
  <c r="A381" i="1"/>
  <c r="R380" i="1"/>
  <c r="P380" i="1"/>
  <c r="S380" i="1" s="1"/>
  <c r="V380" i="1" s="1"/>
  <c r="A380" i="1"/>
  <c r="S379" i="1"/>
  <c r="V379" i="1" s="1"/>
  <c r="R379" i="1"/>
  <c r="P379" i="1"/>
  <c r="A379" i="1"/>
  <c r="R378" i="1"/>
  <c r="P378" i="1"/>
  <c r="S378" i="1" s="1"/>
  <c r="V378" i="1" s="1"/>
  <c r="A378" i="1"/>
  <c r="R377" i="1"/>
  <c r="P377" i="1"/>
  <c r="S377" i="1" s="1"/>
  <c r="V377" i="1" s="1"/>
  <c r="A377" i="1"/>
  <c r="A376" i="1"/>
  <c r="R375" i="1"/>
  <c r="P375" i="1"/>
  <c r="S375" i="1" s="1"/>
  <c r="V375" i="1" s="1"/>
  <c r="A375" i="1"/>
  <c r="S374" i="1"/>
  <c r="V374" i="1" s="1"/>
  <c r="R374" i="1"/>
  <c r="P374" i="1"/>
  <c r="A374" i="1"/>
  <c r="R373" i="1"/>
  <c r="P373" i="1"/>
  <c r="S373" i="1" s="1"/>
  <c r="V373" i="1" s="1"/>
  <c r="A373" i="1"/>
  <c r="R372" i="1"/>
  <c r="S372" i="1" s="1"/>
  <c r="V372" i="1" s="1"/>
  <c r="P372" i="1"/>
  <c r="A372" i="1"/>
  <c r="R371" i="1"/>
  <c r="S371" i="1" s="1"/>
  <c r="V371" i="1" s="1"/>
  <c r="P371" i="1"/>
  <c r="A371" i="1"/>
  <c r="R370" i="1"/>
  <c r="S370" i="1" s="1"/>
  <c r="V370" i="1" s="1"/>
  <c r="P370" i="1"/>
  <c r="A370" i="1"/>
  <c r="V369" i="1"/>
  <c r="R369" i="1"/>
  <c r="P369" i="1"/>
  <c r="S369" i="1" s="1"/>
  <c r="A369" i="1"/>
  <c r="A368" i="1"/>
  <c r="R367" i="1"/>
  <c r="P367" i="1"/>
  <c r="S367" i="1" s="1"/>
  <c r="V367" i="1" s="1"/>
  <c r="A367" i="1"/>
  <c r="V366" i="1"/>
  <c r="S366" i="1"/>
  <c r="R366" i="1"/>
  <c r="P366" i="1"/>
  <c r="A366" i="1"/>
  <c r="R365" i="1"/>
  <c r="P365" i="1"/>
  <c r="A365" i="1"/>
  <c r="R364" i="1"/>
  <c r="P364" i="1"/>
  <c r="S364" i="1" s="1"/>
  <c r="V364" i="1" s="1"/>
  <c r="A364" i="1"/>
  <c r="R363" i="1"/>
  <c r="S363" i="1" s="1"/>
  <c r="V363" i="1" s="1"/>
  <c r="P363" i="1"/>
  <c r="A363" i="1"/>
  <c r="R362" i="1"/>
  <c r="P362" i="1"/>
  <c r="S362" i="1" s="1"/>
  <c r="V362" i="1" s="1"/>
  <c r="A362" i="1"/>
  <c r="V361" i="1"/>
  <c r="R361" i="1"/>
  <c r="P361" i="1"/>
  <c r="S361" i="1" s="1"/>
  <c r="A361" i="1"/>
  <c r="R360" i="1"/>
  <c r="S360" i="1" s="1"/>
  <c r="V360" i="1" s="1"/>
  <c r="P360" i="1"/>
  <c r="A360" i="1"/>
  <c r="A359" i="1"/>
  <c r="S358" i="1"/>
  <c r="V358" i="1" s="1"/>
  <c r="R358" i="1"/>
  <c r="P358" i="1"/>
  <c r="A358" i="1"/>
  <c r="R357" i="1"/>
  <c r="P357" i="1"/>
  <c r="S357" i="1" s="1"/>
  <c r="V357" i="1" s="1"/>
  <c r="A357" i="1"/>
  <c r="S356" i="1"/>
  <c r="V356" i="1" s="1"/>
  <c r="R356" i="1"/>
  <c r="P356" i="1"/>
  <c r="A356" i="1"/>
  <c r="R355" i="1"/>
  <c r="S355" i="1" s="1"/>
  <c r="V355" i="1" s="1"/>
  <c r="P355" i="1"/>
  <c r="A355" i="1"/>
  <c r="R354" i="1"/>
  <c r="S354" i="1" s="1"/>
  <c r="V354" i="1" s="1"/>
  <c r="P354" i="1"/>
  <c r="A354" i="1"/>
  <c r="R353" i="1"/>
  <c r="P353" i="1"/>
  <c r="S353" i="1" s="1"/>
  <c r="V353" i="1" s="1"/>
  <c r="A353" i="1"/>
  <c r="A352" i="1"/>
  <c r="V351" i="1"/>
  <c r="R351" i="1"/>
  <c r="P351" i="1"/>
  <c r="S351" i="1" s="1"/>
  <c r="A351" i="1"/>
  <c r="S350" i="1"/>
  <c r="V350" i="1" s="1"/>
  <c r="R350" i="1"/>
  <c r="P350" i="1"/>
  <c r="A350" i="1"/>
  <c r="R349" i="1"/>
  <c r="P349" i="1"/>
  <c r="A349" i="1"/>
  <c r="R348" i="1"/>
  <c r="S348" i="1" s="1"/>
  <c r="V348" i="1" s="1"/>
  <c r="P348" i="1"/>
  <c r="A348" i="1"/>
  <c r="R347" i="1"/>
  <c r="S347" i="1" s="1"/>
  <c r="V347" i="1" s="1"/>
  <c r="P347" i="1"/>
  <c r="A347" i="1"/>
  <c r="A346" i="1"/>
  <c r="V345" i="1"/>
  <c r="R345" i="1"/>
  <c r="P345" i="1"/>
  <c r="S345" i="1" s="1"/>
  <c r="A345" i="1"/>
  <c r="R344" i="1"/>
  <c r="P344" i="1"/>
  <c r="S344" i="1" s="1"/>
  <c r="V344" i="1" s="1"/>
  <c r="A344" i="1"/>
  <c r="R343" i="1"/>
  <c r="P343" i="1"/>
  <c r="S343" i="1" s="1"/>
  <c r="V343" i="1" s="1"/>
  <c r="A343" i="1"/>
  <c r="V342" i="1"/>
  <c r="S342" i="1"/>
  <c r="R342" i="1"/>
  <c r="P342" i="1"/>
  <c r="A342" i="1"/>
  <c r="R341" i="1"/>
  <c r="P341" i="1"/>
  <c r="S341" i="1" s="1"/>
  <c r="V341" i="1" s="1"/>
  <c r="A341" i="1"/>
  <c r="R340" i="1"/>
  <c r="S340" i="1" s="1"/>
  <c r="V340" i="1" s="1"/>
  <c r="P340" i="1"/>
  <c r="A340" i="1"/>
  <c r="R339" i="1"/>
  <c r="S339" i="1" s="1"/>
  <c r="V339" i="1" s="1"/>
  <c r="P339" i="1"/>
  <c r="A339" i="1"/>
  <c r="R338" i="1"/>
  <c r="S338" i="1" s="1"/>
  <c r="V338" i="1" s="1"/>
  <c r="P338" i="1"/>
  <c r="A338" i="1"/>
  <c r="R337" i="1"/>
  <c r="P337" i="1"/>
  <c r="S337" i="1" s="1"/>
  <c r="V337" i="1" s="1"/>
  <c r="A337" i="1"/>
  <c r="R336" i="1"/>
  <c r="S336" i="1" s="1"/>
  <c r="V336" i="1" s="1"/>
  <c r="P336" i="1"/>
  <c r="A336" i="1"/>
  <c r="R335" i="1"/>
  <c r="S335" i="1" s="1"/>
  <c r="V335" i="1" s="1"/>
  <c r="P335" i="1"/>
  <c r="A335" i="1"/>
  <c r="S334" i="1"/>
  <c r="V334" i="1" s="1"/>
  <c r="R334" i="1"/>
  <c r="P334" i="1"/>
  <c r="A334" i="1"/>
  <c r="R333" i="1"/>
  <c r="P333" i="1"/>
  <c r="S333" i="1" s="1"/>
  <c r="V333" i="1" s="1"/>
  <c r="A333" i="1"/>
  <c r="R332" i="1"/>
  <c r="P332" i="1"/>
  <c r="A332" i="1"/>
  <c r="A331" i="1"/>
  <c r="A330" i="1"/>
  <c r="R329" i="1"/>
  <c r="P329" i="1"/>
  <c r="A329" i="1"/>
  <c r="R328" i="1"/>
  <c r="P328" i="1"/>
  <c r="A328" i="1"/>
  <c r="R327" i="1"/>
  <c r="P327" i="1"/>
  <c r="S327" i="1" s="1"/>
  <c r="V327" i="1" s="1"/>
  <c r="A327" i="1"/>
  <c r="R326" i="1"/>
  <c r="S326" i="1" s="1"/>
  <c r="V326" i="1" s="1"/>
  <c r="P326" i="1"/>
  <c r="A326" i="1"/>
  <c r="A325" i="1"/>
  <c r="A324" i="1"/>
  <c r="R323" i="1"/>
  <c r="P323" i="1"/>
  <c r="S323" i="1" s="1"/>
  <c r="V323" i="1" s="1"/>
  <c r="A323" i="1"/>
  <c r="R322" i="1"/>
  <c r="S322" i="1" s="1"/>
  <c r="V322" i="1" s="1"/>
  <c r="P322" i="1"/>
  <c r="A322" i="1"/>
  <c r="R321" i="1"/>
  <c r="P321" i="1"/>
  <c r="S321" i="1" s="1"/>
  <c r="V321" i="1" s="1"/>
  <c r="A321" i="1"/>
  <c r="R320" i="1"/>
  <c r="P320" i="1"/>
  <c r="S320" i="1" s="1"/>
  <c r="V320" i="1" s="1"/>
  <c r="A320" i="1"/>
  <c r="S319" i="1"/>
  <c r="V319" i="1" s="1"/>
  <c r="R319" i="1"/>
  <c r="P319" i="1"/>
  <c r="A319" i="1"/>
  <c r="V318" i="1"/>
  <c r="S318" i="1"/>
  <c r="R318" i="1"/>
  <c r="P318" i="1"/>
  <c r="A318" i="1"/>
  <c r="A317" i="1"/>
  <c r="R316" i="1"/>
  <c r="P316" i="1"/>
  <c r="S316" i="1" s="1"/>
  <c r="V316" i="1" s="1"/>
  <c r="A316" i="1"/>
  <c r="R315" i="1"/>
  <c r="P315" i="1"/>
  <c r="S315" i="1" s="1"/>
  <c r="V315" i="1" s="1"/>
  <c r="A315" i="1"/>
  <c r="R314" i="1"/>
  <c r="P314" i="1"/>
  <c r="A314" i="1"/>
  <c r="A313" i="1"/>
  <c r="R312" i="1"/>
  <c r="P312" i="1"/>
  <c r="S312" i="1" s="1"/>
  <c r="V312" i="1" s="1"/>
  <c r="A312" i="1"/>
  <c r="A311" i="1"/>
  <c r="R310" i="1"/>
  <c r="P310" i="1"/>
  <c r="A310" i="1"/>
  <c r="A309" i="1"/>
  <c r="A308" i="1"/>
  <c r="R307" i="1"/>
  <c r="P307" i="1"/>
  <c r="S307" i="1" s="1"/>
  <c r="V307" i="1" s="1"/>
  <c r="A307" i="1"/>
  <c r="V306" i="1"/>
  <c r="R306" i="1"/>
  <c r="P306" i="1"/>
  <c r="S306" i="1" s="1"/>
  <c r="A306" i="1"/>
  <c r="V305" i="1"/>
  <c r="S305" i="1"/>
  <c r="R305" i="1"/>
  <c r="P305" i="1"/>
  <c r="A305" i="1"/>
  <c r="R304" i="1"/>
  <c r="S304" i="1" s="1"/>
  <c r="V304" i="1" s="1"/>
  <c r="P304" i="1"/>
  <c r="A304" i="1"/>
  <c r="R303" i="1"/>
  <c r="P303" i="1"/>
  <c r="S303" i="1" s="1"/>
  <c r="V303" i="1" s="1"/>
  <c r="A303" i="1"/>
  <c r="S302" i="1"/>
  <c r="V302" i="1" s="1"/>
  <c r="R302" i="1"/>
  <c r="P302" i="1"/>
  <c r="A302" i="1"/>
  <c r="A301" i="1"/>
  <c r="S300" i="1"/>
  <c r="V300" i="1" s="1"/>
  <c r="R300" i="1"/>
  <c r="P300" i="1"/>
  <c r="A300" i="1"/>
  <c r="A299" i="1"/>
  <c r="R298" i="1"/>
  <c r="S298" i="1" s="1"/>
  <c r="V298" i="1" s="1"/>
  <c r="P298" i="1"/>
  <c r="A298" i="1"/>
  <c r="R297" i="1"/>
  <c r="P297" i="1"/>
  <c r="S297" i="1" s="1"/>
  <c r="V297" i="1" s="1"/>
  <c r="A297" i="1"/>
  <c r="A296" i="1"/>
  <c r="R295" i="1"/>
  <c r="P295" i="1"/>
  <c r="S295" i="1" s="1"/>
  <c r="V295" i="1" s="1"/>
  <c r="A295" i="1"/>
  <c r="R294" i="1"/>
  <c r="P294" i="1"/>
  <c r="A294" i="1"/>
  <c r="S293" i="1"/>
  <c r="V293" i="1" s="1"/>
  <c r="R293" i="1"/>
  <c r="P293" i="1"/>
  <c r="A293" i="1"/>
  <c r="R292" i="1"/>
  <c r="S292" i="1" s="1"/>
  <c r="V292" i="1" s="1"/>
  <c r="P292" i="1"/>
  <c r="A292" i="1"/>
  <c r="R291" i="1"/>
  <c r="P291" i="1"/>
  <c r="S291" i="1" s="1"/>
  <c r="V291" i="1" s="1"/>
  <c r="A291" i="1"/>
  <c r="A290" i="1"/>
  <c r="A289" i="1"/>
  <c r="V288" i="1"/>
  <c r="R288" i="1"/>
  <c r="S288" i="1" s="1"/>
  <c r="P288" i="1"/>
  <c r="A288" i="1"/>
  <c r="R287" i="1"/>
  <c r="P287" i="1"/>
  <c r="S287" i="1" s="1"/>
  <c r="V287" i="1" s="1"/>
  <c r="A287" i="1"/>
  <c r="R286" i="1"/>
  <c r="S286" i="1" s="1"/>
  <c r="V286" i="1" s="1"/>
  <c r="P286" i="1"/>
  <c r="A286" i="1"/>
  <c r="R285" i="1"/>
  <c r="P285" i="1"/>
  <c r="S285" i="1" s="1"/>
  <c r="V285" i="1" s="1"/>
  <c r="A285" i="1"/>
  <c r="R284" i="1"/>
  <c r="P284" i="1"/>
  <c r="S284" i="1" s="1"/>
  <c r="V284" i="1" s="1"/>
  <c r="A284" i="1"/>
  <c r="R283" i="1"/>
  <c r="P283" i="1"/>
  <c r="S283" i="1" s="1"/>
  <c r="V283" i="1" s="1"/>
  <c r="A283" i="1"/>
  <c r="R282" i="1"/>
  <c r="S282" i="1" s="1"/>
  <c r="V282" i="1" s="1"/>
  <c r="P282" i="1"/>
  <c r="A282" i="1"/>
  <c r="R281" i="1"/>
  <c r="P281" i="1"/>
  <c r="S281" i="1" s="1"/>
  <c r="V281" i="1" s="1"/>
  <c r="A281" i="1"/>
  <c r="R280" i="1"/>
  <c r="P280" i="1"/>
  <c r="S280" i="1" s="1"/>
  <c r="V280" i="1" s="1"/>
  <c r="A280" i="1"/>
  <c r="R279" i="1"/>
  <c r="P279" i="1"/>
  <c r="S279" i="1" s="1"/>
  <c r="V279" i="1" s="1"/>
  <c r="A279" i="1"/>
  <c r="R278" i="1"/>
  <c r="P278" i="1"/>
  <c r="S278" i="1" s="1"/>
  <c r="V278" i="1" s="1"/>
  <c r="A278" i="1"/>
  <c r="V277" i="1"/>
  <c r="S277" i="1"/>
  <c r="R277" i="1"/>
  <c r="P277" i="1"/>
  <c r="A277" i="1"/>
  <c r="R276" i="1"/>
  <c r="S276" i="1" s="1"/>
  <c r="V276" i="1" s="1"/>
  <c r="P276" i="1"/>
  <c r="A276" i="1"/>
  <c r="R275" i="1"/>
  <c r="P275" i="1"/>
  <c r="S275" i="1" s="1"/>
  <c r="V275" i="1" s="1"/>
  <c r="A275" i="1"/>
  <c r="R274" i="1"/>
  <c r="S274" i="1" s="1"/>
  <c r="V274" i="1" s="1"/>
  <c r="P274" i="1"/>
  <c r="A274" i="1"/>
  <c r="R273" i="1"/>
  <c r="P273" i="1"/>
  <c r="S273" i="1" s="1"/>
  <c r="V273" i="1" s="1"/>
  <c r="A273" i="1"/>
  <c r="R272" i="1"/>
  <c r="P272" i="1"/>
  <c r="S272" i="1" s="1"/>
  <c r="V272" i="1" s="1"/>
  <c r="A272" i="1"/>
  <c r="R271" i="1"/>
  <c r="P271" i="1"/>
  <c r="S271" i="1" s="1"/>
  <c r="V271" i="1" s="1"/>
  <c r="A271" i="1"/>
  <c r="R270" i="1"/>
  <c r="S270" i="1" s="1"/>
  <c r="V270" i="1" s="1"/>
  <c r="P270" i="1"/>
  <c r="A270" i="1"/>
  <c r="S269" i="1"/>
  <c r="V269" i="1" s="1"/>
  <c r="R269" i="1"/>
  <c r="P269" i="1"/>
  <c r="A269" i="1"/>
  <c r="R268" i="1"/>
  <c r="S268" i="1" s="1"/>
  <c r="V268" i="1" s="1"/>
  <c r="P268" i="1"/>
  <c r="A268" i="1"/>
  <c r="R267" i="1"/>
  <c r="P267" i="1"/>
  <c r="S267" i="1" s="1"/>
  <c r="V267" i="1" s="1"/>
  <c r="A267" i="1"/>
  <c r="R266" i="1"/>
  <c r="P266" i="1"/>
  <c r="A266" i="1"/>
  <c r="V265" i="1"/>
  <c r="S265" i="1"/>
  <c r="R265" i="1"/>
  <c r="P265" i="1"/>
  <c r="A265" i="1"/>
  <c r="R264" i="1"/>
  <c r="S264" i="1" s="1"/>
  <c r="V264" i="1" s="1"/>
  <c r="P264" i="1"/>
  <c r="A264" i="1"/>
  <c r="R263" i="1"/>
  <c r="P263" i="1"/>
  <c r="S263" i="1" s="1"/>
  <c r="V263" i="1" s="1"/>
  <c r="A263" i="1"/>
  <c r="S262" i="1"/>
  <c r="V262" i="1" s="1"/>
  <c r="R262" i="1"/>
  <c r="P262" i="1"/>
  <c r="A262" i="1"/>
  <c r="R261" i="1"/>
  <c r="P261" i="1"/>
  <c r="S261" i="1" s="1"/>
  <c r="V261" i="1" s="1"/>
  <c r="A261" i="1"/>
  <c r="R260" i="1"/>
  <c r="P260" i="1"/>
  <c r="S260" i="1" s="1"/>
  <c r="V260" i="1" s="1"/>
  <c r="A260" i="1"/>
  <c r="R259" i="1"/>
  <c r="P259" i="1"/>
  <c r="S259" i="1" s="1"/>
  <c r="V259" i="1" s="1"/>
  <c r="A259" i="1"/>
  <c r="R258" i="1"/>
  <c r="S258" i="1" s="1"/>
  <c r="V258" i="1" s="1"/>
  <c r="P258" i="1"/>
  <c r="A258" i="1"/>
  <c r="R257" i="1"/>
  <c r="P257" i="1"/>
  <c r="S257" i="1" s="1"/>
  <c r="V257" i="1" s="1"/>
  <c r="A257" i="1"/>
  <c r="R256" i="1"/>
  <c r="P256" i="1"/>
  <c r="S256" i="1" s="1"/>
  <c r="V256" i="1" s="1"/>
  <c r="A256" i="1"/>
  <c r="R255" i="1"/>
  <c r="P255" i="1"/>
  <c r="A255" i="1"/>
  <c r="R254" i="1"/>
  <c r="P254" i="1"/>
  <c r="S254" i="1" s="1"/>
  <c r="V254" i="1" s="1"/>
  <c r="A254" i="1"/>
  <c r="S253" i="1"/>
  <c r="V253" i="1" s="1"/>
  <c r="R253" i="1"/>
  <c r="P253" i="1"/>
  <c r="A253" i="1"/>
  <c r="V252" i="1"/>
  <c r="R252" i="1"/>
  <c r="S252" i="1" s="1"/>
  <c r="P252" i="1"/>
  <c r="A252" i="1"/>
  <c r="R251" i="1"/>
  <c r="P251" i="1"/>
  <c r="S251" i="1" s="1"/>
  <c r="V251" i="1" s="1"/>
  <c r="A251" i="1"/>
  <c r="R250" i="1"/>
  <c r="S250" i="1" s="1"/>
  <c r="V250" i="1" s="1"/>
  <c r="P250" i="1"/>
  <c r="A250" i="1"/>
  <c r="R249" i="1"/>
  <c r="P249" i="1"/>
  <c r="S249" i="1" s="1"/>
  <c r="V249" i="1" s="1"/>
  <c r="A249" i="1"/>
  <c r="R248" i="1"/>
  <c r="P248" i="1"/>
  <c r="S248" i="1" s="1"/>
  <c r="V248" i="1" s="1"/>
  <c r="A248" i="1"/>
  <c r="R247" i="1"/>
  <c r="P247" i="1"/>
  <c r="S247" i="1" s="1"/>
  <c r="V247" i="1" s="1"/>
  <c r="A247" i="1"/>
  <c r="R246" i="1"/>
  <c r="S246" i="1" s="1"/>
  <c r="V246" i="1" s="1"/>
  <c r="P246" i="1"/>
  <c r="A246" i="1"/>
  <c r="R245" i="1"/>
  <c r="P245" i="1"/>
  <c r="S245" i="1" s="1"/>
  <c r="V245" i="1" s="1"/>
  <c r="A245" i="1"/>
  <c r="R244" i="1"/>
  <c r="P244" i="1"/>
  <c r="S244" i="1" s="1"/>
  <c r="V244" i="1" s="1"/>
  <c r="A244" i="1"/>
  <c r="R243" i="1"/>
  <c r="P243" i="1"/>
  <c r="S243" i="1" s="1"/>
  <c r="V243" i="1" s="1"/>
  <c r="A243" i="1"/>
  <c r="R242" i="1"/>
  <c r="P242" i="1"/>
  <c r="S242" i="1" s="1"/>
  <c r="V242" i="1" s="1"/>
  <c r="A242" i="1"/>
  <c r="V241" i="1"/>
  <c r="S241" i="1"/>
  <c r="R241" i="1"/>
  <c r="P241" i="1"/>
  <c r="A241" i="1"/>
  <c r="R240" i="1"/>
  <c r="S240" i="1" s="1"/>
  <c r="V240" i="1" s="1"/>
  <c r="P240" i="1"/>
  <c r="A240" i="1"/>
  <c r="R239" i="1"/>
  <c r="P239" i="1"/>
  <c r="S239" i="1" s="1"/>
  <c r="V239" i="1" s="1"/>
  <c r="A239" i="1"/>
  <c r="A238" i="1"/>
  <c r="R237" i="1"/>
  <c r="P237" i="1"/>
  <c r="S237" i="1" s="1"/>
  <c r="V237" i="1" s="1"/>
  <c r="A237" i="1"/>
  <c r="R236" i="1"/>
  <c r="P236" i="1"/>
  <c r="S236" i="1" s="1"/>
  <c r="V236" i="1" s="1"/>
  <c r="A236" i="1"/>
  <c r="R235" i="1"/>
  <c r="P235" i="1"/>
  <c r="A235" i="1"/>
  <c r="R234" i="1"/>
  <c r="P234" i="1"/>
  <c r="S234" i="1" s="1"/>
  <c r="V234" i="1" s="1"/>
  <c r="A234" i="1"/>
  <c r="S233" i="1"/>
  <c r="V233" i="1" s="1"/>
  <c r="R233" i="1"/>
  <c r="P233" i="1"/>
  <c r="A233" i="1"/>
  <c r="V232" i="1"/>
  <c r="R232" i="1"/>
  <c r="S232" i="1" s="1"/>
  <c r="P232" i="1"/>
  <c r="A232" i="1"/>
  <c r="R231" i="1"/>
  <c r="P231" i="1"/>
  <c r="S231" i="1" s="1"/>
  <c r="V231" i="1" s="1"/>
  <c r="A231" i="1"/>
  <c r="R230" i="1"/>
  <c r="S230" i="1" s="1"/>
  <c r="V230" i="1" s="1"/>
  <c r="P230" i="1"/>
  <c r="A230" i="1"/>
  <c r="R229" i="1"/>
  <c r="P229" i="1"/>
  <c r="S229" i="1" s="1"/>
  <c r="V229" i="1" s="1"/>
  <c r="A229" i="1"/>
  <c r="R228" i="1"/>
  <c r="P228" i="1"/>
  <c r="S228" i="1" s="1"/>
  <c r="V228" i="1" s="1"/>
  <c r="A228" i="1"/>
  <c r="R227" i="1"/>
  <c r="P227" i="1"/>
  <c r="S227" i="1" s="1"/>
  <c r="V227" i="1" s="1"/>
  <c r="A227" i="1"/>
  <c r="R226" i="1"/>
  <c r="S226" i="1" s="1"/>
  <c r="V226" i="1" s="1"/>
  <c r="P226" i="1"/>
  <c r="A226" i="1"/>
  <c r="R225" i="1"/>
  <c r="P225" i="1"/>
  <c r="S225" i="1" s="1"/>
  <c r="V225" i="1" s="1"/>
  <c r="A225" i="1"/>
  <c r="R224" i="1"/>
  <c r="P224" i="1"/>
  <c r="S224" i="1" s="1"/>
  <c r="V224" i="1" s="1"/>
  <c r="A224" i="1"/>
  <c r="R223" i="1"/>
  <c r="P223" i="1"/>
  <c r="S223" i="1" s="1"/>
  <c r="V223" i="1" s="1"/>
  <c r="A223" i="1"/>
  <c r="R222" i="1"/>
  <c r="P222" i="1"/>
  <c r="S222" i="1" s="1"/>
  <c r="V222" i="1" s="1"/>
  <c r="A222" i="1"/>
  <c r="V221" i="1"/>
  <c r="S221" i="1"/>
  <c r="R221" i="1"/>
  <c r="P221" i="1"/>
  <c r="A221" i="1"/>
  <c r="R220" i="1"/>
  <c r="S220" i="1" s="1"/>
  <c r="V220" i="1" s="1"/>
  <c r="P220" i="1"/>
  <c r="A220" i="1"/>
  <c r="R219" i="1"/>
  <c r="P219" i="1"/>
  <c r="S219" i="1" s="1"/>
  <c r="V219" i="1" s="1"/>
  <c r="A219" i="1"/>
  <c r="R218" i="1"/>
  <c r="S218" i="1" s="1"/>
  <c r="V218" i="1" s="1"/>
  <c r="P218" i="1"/>
  <c r="A218" i="1"/>
  <c r="R217" i="1"/>
  <c r="P217" i="1"/>
  <c r="S217" i="1" s="1"/>
  <c r="V217" i="1" s="1"/>
  <c r="A217" i="1"/>
  <c r="R216" i="1"/>
  <c r="P216" i="1"/>
  <c r="S216" i="1" s="1"/>
  <c r="V216" i="1" s="1"/>
  <c r="A216" i="1"/>
  <c r="R215" i="1"/>
  <c r="P215" i="1"/>
  <c r="S215" i="1" s="1"/>
  <c r="V215" i="1" s="1"/>
  <c r="A215" i="1"/>
  <c r="R214" i="1"/>
  <c r="S214" i="1" s="1"/>
  <c r="V214" i="1" s="1"/>
  <c r="P214" i="1"/>
  <c r="A214" i="1"/>
  <c r="S213" i="1"/>
  <c r="V213" i="1" s="1"/>
  <c r="R213" i="1"/>
  <c r="P213" i="1"/>
  <c r="A213" i="1"/>
  <c r="R212" i="1"/>
  <c r="S212" i="1" s="1"/>
  <c r="V212" i="1" s="1"/>
  <c r="P212" i="1"/>
  <c r="A212" i="1"/>
  <c r="R211" i="1"/>
  <c r="P211" i="1"/>
  <c r="S211" i="1" s="1"/>
  <c r="V211" i="1" s="1"/>
  <c r="A211" i="1"/>
  <c r="R210" i="1"/>
  <c r="P210" i="1"/>
  <c r="A210" i="1"/>
  <c r="V209" i="1"/>
  <c r="S209" i="1"/>
  <c r="R209" i="1"/>
  <c r="P209" i="1"/>
  <c r="A209" i="1"/>
  <c r="R208" i="1"/>
  <c r="S208" i="1" s="1"/>
  <c r="V208" i="1" s="1"/>
  <c r="P208" i="1"/>
  <c r="A208" i="1"/>
  <c r="R207" i="1"/>
  <c r="P207" i="1"/>
  <c r="S207" i="1" s="1"/>
  <c r="V207" i="1" s="1"/>
  <c r="A207" i="1"/>
  <c r="S206" i="1"/>
  <c r="V206" i="1" s="1"/>
  <c r="R206" i="1"/>
  <c r="P206" i="1"/>
  <c r="A206" i="1"/>
  <c r="R205" i="1"/>
  <c r="P205" i="1"/>
  <c r="S205" i="1" s="1"/>
  <c r="V205" i="1" s="1"/>
  <c r="A205" i="1"/>
  <c r="R204" i="1"/>
  <c r="P204" i="1"/>
  <c r="S204" i="1" s="1"/>
  <c r="V204" i="1" s="1"/>
  <c r="A204" i="1"/>
  <c r="R203" i="1"/>
  <c r="P203" i="1"/>
  <c r="S203" i="1" s="1"/>
  <c r="V203" i="1" s="1"/>
  <c r="A203" i="1"/>
  <c r="R202" i="1"/>
  <c r="S202" i="1" s="1"/>
  <c r="V202" i="1" s="1"/>
  <c r="P202" i="1"/>
  <c r="A202" i="1"/>
  <c r="R201" i="1"/>
  <c r="P201" i="1"/>
  <c r="S201" i="1" s="1"/>
  <c r="V201" i="1" s="1"/>
  <c r="A201" i="1"/>
  <c r="R200" i="1"/>
  <c r="P200" i="1"/>
  <c r="S200" i="1" s="1"/>
  <c r="V200" i="1" s="1"/>
  <c r="A200" i="1"/>
  <c r="R199" i="1"/>
  <c r="P199" i="1"/>
  <c r="A199" i="1"/>
  <c r="R198" i="1"/>
  <c r="P198" i="1"/>
  <c r="S198" i="1" s="1"/>
  <c r="V198" i="1" s="1"/>
  <c r="A198" i="1"/>
  <c r="S197" i="1"/>
  <c r="V197" i="1" s="1"/>
  <c r="R197" i="1"/>
  <c r="P197" i="1"/>
  <c r="A197" i="1"/>
  <c r="V196" i="1"/>
  <c r="R196" i="1"/>
  <c r="S196" i="1" s="1"/>
  <c r="P196" i="1"/>
  <c r="A196" i="1"/>
  <c r="R195" i="1"/>
  <c r="P195" i="1"/>
  <c r="S195" i="1" s="1"/>
  <c r="V195" i="1" s="1"/>
  <c r="A195" i="1"/>
  <c r="R194" i="1"/>
  <c r="S194" i="1" s="1"/>
  <c r="V194" i="1" s="1"/>
  <c r="P194" i="1"/>
  <c r="A194" i="1"/>
  <c r="R193" i="1"/>
  <c r="P193" i="1"/>
  <c r="S193" i="1" s="1"/>
  <c r="V193" i="1" s="1"/>
  <c r="A193" i="1"/>
  <c r="R192" i="1"/>
  <c r="P192" i="1"/>
  <c r="S192" i="1" s="1"/>
  <c r="V192" i="1" s="1"/>
  <c r="A192" i="1"/>
  <c r="R191" i="1"/>
  <c r="P191" i="1"/>
  <c r="S191" i="1" s="1"/>
  <c r="V191" i="1" s="1"/>
  <c r="A191" i="1"/>
  <c r="R190" i="1"/>
  <c r="S190" i="1" s="1"/>
  <c r="V190" i="1" s="1"/>
  <c r="P190" i="1"/>
  <c r="A190" i="1"/>
  <c r="R189" i="1"/>
  <c r="P189" i="1"/>
  <c r="S189" i="1" s="1"/>
  <c r="V189" i="1" s="1"/>
  <c r="A189" i="1"/>
  <c r="R188" i="1"/>
  <c r="P188" i="1"/>
  <c r="S188" i="1" s="1"/>
  <c r="V188" i="1" s="1"/>
  <c r="A188" i="1"/>
  <c r="A187" i="1"/>
  <c r="S186" i="1"/>
  <c r="V186" i="1" s="1"/>
  <c r="R186" i="1"/>
  <c r="P186" i="1"/>
  <c r="A186" i="1"/>
  <c r="R185" i="1"/>
  <c r="P185" i="1"/>
  <c r="S185" i="1" s="1"/>
  <c r="V185" i="1" s="1"/>
  <c r="A185" i="1"/>
  <c r="R184" i="1"/>
  <c r="P184" i="1"/>
  <c r="S184" i="1" s="1"/>
  <c r="V184" i="1" s="1"/>
  <c r="A184" i="1"/>
  <c r="R183" i="1"/>
  <c r="P183" i="1"/>
  <c r="S183" i="1" s="1"/>
  <c r="V183" i="1" s="1"/>
  <c r="A183" i="1"/>
  <c r="R182" i="1"/>
  <c r="S182" i="1" s="1"/>
  <c r="V182" i="1" s="1"/>
  <c r="P182" i="1"/>
  <c r="A182" i="1"/>
  <c r="R181" i="1"/>
  <c r="P181" i="1"/>
  <c r="S181" i="1" s="1"/>
  <c r="V181" i="1" s="1"/>
  <c r="A181" i="1"/>
  <c r="R180" i="1"/>
  <c r="P180" i="1"/>
  <c r="S180" i="1" s="1"/>
  <c r="V180" i="1" s="1"/>
  <c r="A180" i="1"/>
  <c r="R179" i="1"/>
  <c r="P179" i="1"/>
  <c r="A179" i="1"/>
  <c r="R178" i="1"/>
  <c r="P178" i="1"/>
  <c r="S178" i="1" s="1"/>
  <c r="V178" i="1" s="1"/>
  <c r="A178" i="1"/>
  <c r="S177" i="1"/>
  <c r="V177" i="1" s="1"/>
  <c r="R177" i="1"/>
  <c r="P177" i="1"/>
  <c r="A177" i="1"/>
  <c r="V176" i="1"/>
  <c r="R176" i="1"/>
  <c r="S176" i="1" s="1"/>
  <c r="P176" i="1"/>
  <c r="A176" i="1"/>
  <c r="R175" i="1"/>
  <c r="P175" i="1"/>
  <c r="S175" i="1" s="1"/>
  <c r="V175" i="1" s="1"/>
  <c r="A175" i="1"/>
  <c r="R174" i="1"/>
  <c r="S174" i="1" s="1"/>
  <c r="V174" i="1" s="1"/>
  <c r="P174" i="1"/>
  <c r="A174" i="1"/>
  <c r="R173" i="1"/>
  <c r="P173" i="1"/>
  <c r="S173" i="1" s="1"/>
  <c r="V173" i="1" s="1"/>
  <c r="A173" i="1"/>
  <c r="R172" i="1"/>
  <c r="P172" i="1"/>
  <c r="S172" i="1" s="1"/>
  <c r="V172" i="1" s="1"/>
  <c r="A172" i="1"/>
  <c r="R171" i="1"/>
  <c r="P171" i="1"/>
  <c r="S171" i="1" s="1"/>
  <c r="V171" i="1" s="1"/>
  <c r="A171" i="1"/>
  <c r="R170" i="1"/>
  <c r="S170" i="1" s="1"/>
  <c r="V170" i="1" s="1"/>
  <c r="P170" i="1"/>
  <c r="A170" i="1"/>
  <c r="A169" i="1"/>
  <c r="A168" i="1"/>
  <c r="R167" i="1"/>
  <c r="P167" i="1"/>
  <c r="S167" i="1" s="1"/>
  <c r="V167" i="1" s="1"/>
  <c r="A167" i="1"/>
  <c r="R166" i="1"/>
  <c r="S166" i="1" s="1"/>
  <c r="V166" i="1" s="1"/>
  <c r="P166" i="1"/>
  <c r="A166" i="1"/>
  <c r="R165" i="1"/>
  <c r="P165" i="1"/>
  <c r="S165" i="1" s="1"/>
  <c r="V165" i="1" s="1"/>
  <c r="A165" i="1"/>
  <c r="S164" i="1"/>
  <c r="V164" i="1" s="1"/>
  <c r="R164" i="1"/>
  <c r="P164" i="1"/>
  <c r="A164" i="1"/>
  <c r="R163" i="1"/>
  <c r="P163" i="1"/>
  <c r="A163" i="1"/>
  <c r="R162" i="1"/>
  <c r="P162" i="1"/>
  <c r="S162" i="1" s="1"/>
  <c r="V162" i="1" s="1"/>
  <c r="A162" i="1"/>
  <c r="S161" i="1"/>
  <c r="V161" i="1" s="1"/>
  <c r="R161" i="1"/>
  <c r="P161" i="1"/>
  <c r="A161" i="1"/>
  <c r="V160" i="1"/>
  <c r="R160" i="1"/>
  <c r="S160" i="1" s="1"/>
  <c r="P160" i="1"/>
  <c r="A160" i="1"/>
  <c r="R159" i="1"/>
  <c r="P159" i="1"/>
  <c r="S159" i="1" s="1"/>
  <c r="V159" i="1" s="1"/>
  <c r="A159" i="1"/>
  <c r="S158" i="1"/>
  <c r="V158" i="1" s="1"/>
  <c r="R158" i="1"/>
  <c r="P158" i="1"/>
  <c r="A158" i="1"/>
  <c r="R157" i="1"/>
  <c r="S157" i="1" s="1"/>
  <c r="V157" i="1" s="1"/>
  <c r="P157" i="1"/>
  <c r="A157" i="1"/>
  <c r="R156" i="1"/>
  <c r="P156" i="1"/>
  <c r="S156" i="1" s="1"/>
  <c r="V156" i="1" s="1"/>
  <c r="A156" i="1"/>
  <c r="R155" i="1"/>
  <c r="P155" i="1"/>
  <c r="S155" i="1" s="1"/>
  <c r="V155" i="1" s="1"/>
  <c r="A155" i="1"/>
  <c r="S154" i="1"/>
  <c r="V154" i="1" s="1"/>
  <c r="R154" i="1"/>
  <c r="P154" i="1"/>
  <c r="A154" i="1"/>
  <c r="S153" i="1"/>
  <c r="V153" i="1" s="1"/>
  <c r="R153" i="1"/>
  <c r="P153" i="1"/>
  <c r="A153" i="1"/>
  <c r="R152" i="1"/>
  <c r="P152" i="1"/>
  <c r="S152" i="1" s="1"/>
  <c r="V152" i="1" s="1"/>
  <c r="A152" i="1"/>
  <c r="R151" i="1"/>
  <c r="P151" i="1"/>
  <c r="S151" i="1" s="1"/>
  <c r="V151" i="1" s="1"/>
  <c r="A151" i="1"/>
  <c r="R150" i="1"/>
  <c r="P150" i="1"/>
  <c r="A150" i="1"/>
  <c r="S149" i="1"/>
  <c r="V149" i="1" s="1"/>
  <c r="R149" i="1"/>
  <c r="P149" i="1"/>
  <c r="A149" i="1"/>
  <c r="R148" i="1"/>
  <c r="S148" i="1" s="1"/>
  <c r="V148" i="1" s="1"/>
  <c r="P148" i="1"/>
  <c r="A148" i="1"/>
  <c r="R147" i="1"/>
  <c r="P147" i="1"/>
  <c r="S147" i="1" s="1"/>
  <c r="V147" i="1" s="1"/>
  <c r="A147" i="1"/>
  <c r="R146" i="1"/>
  <c r="S146" i="1" s="1"/>
  <c r="V146" i="1" s="1"/>
  <c r="P146" i="1"/>
  <c r="A146" i="1"/>
  <c r="R145" i="1"/>
  <c r="P145" i="1"/>
  <c r="S145" i="1" s="1"/>
  <c r="V145" i="1" s="1"/>
  <c r="A145" i="1"/>
  <c r="R144" i="1"/>
  <c r="P144" i="1"/>
  <c r="S144" i="1" s="1"/>
  <c r="V144" i="1" s="1"/>
  <c r="A144" i="1"/>
  <c r="S143" i="1"/>
  <c r="V143" i="1" s="1"/>
  <c r="R143" i="1"/>
  <c r="P143" i="1"/>
  <c r="A143" i="1"/>
  <c r="R142" i="1"/>
  <c r="S142" i="1" s="1"/>
  <c r="V142" i="1" s="1"/>
  <c r="P142" i="1"/>
  <c r="A142" i="1"/>
  <c r="R141" i="1"/>
  <c r="P141" i="1"/>
  <c r="S141" i="1" s="1"/>
  <c r="V141" i="1" s="1"/>
  <c r="A141" i="1"/>
  <c r="R140" i="1"/>
  <c r="P140" i="1"/>
  <c r="S140" i="1" s="1"/>
  <c r="V140" i="1" s="1"/>
  <c r="A140" i="1"/>
  <c r="R139" i="1"/>
  <c r="P139" i="1"/>
  <c r="A139" i="1"/>
  <c r="R138" i="1"/>
  <c r="P138" i="1"/>
  <c r="A138" i="1"/>
  <c r="S137" i="1"/>
  <c r="V137" i="1" s="1"/>
  <c r="R137" i="1"/>
  <c r="P137" i="1"/>
  <c r="A137" i="1"/>
  <c r="V136" i="1"/>
  <c r="S136" i="1"/>
  <c r="R136" i="1"/>
  <c r="P136" i="1"/>
  <c r="A136" i="1"/>
  <c r="R135" i="1"/>
  <c r="P135" i="1"/>
  <c r="S135" i="1" s="1"/>
  <c r="V135" i="1" s="1"/>
  <c r="A135" i="1"/>
  <c r="R134" i="1"/>
  <c r="P134" i="1"/>
  <c r="S134" i="1" s="1"/>
  <c r="V134" i="1" s="1"/>
  <c r="A134" i="1"/>
  <c r="R133" i="1"/>
  <c r="P133" i="1"/>
  <c r="S133" i="1" s="1"/>
  <c r="V133" i="1" s="1"/>
  <c r="A133" i="1"/>
  <c r="R132" i="1"/>
  <c r="P132" i="1"/>
  <c r="S132" i="1" s="1"/>
  <c r="V132" i="1" s="1"/>
  <c r="A132" i="1"/>
  <c r="S131" i="1"/>
  <c r="V131" i="1" s="1"/>
  <c r="R131" i="1"/>
  <c r="P131" i="1"/>
  <c r="A131" i="1"/>
  <c r="S130" i="1"/>
  <c r="V130" i="1" s="1"/>
  <c r="R130" i="1"/>
  <c r="P130" i="1"/>
  <c r="A130" i="1"/>
  <c r="R129" i="1"/>
  <c r="P129" i="1"/>
  <c r="S129" i="1" s="1"/>
  <c r="V129" i="1" s="1"/>
  <c r="A129" i="1"/>
  <c r="R128" i="1"/>
  <c r="P128" i="1"/>
  <c r="S128" i="1" s="1"/>
  <c r="V128" i="1" s="1"/>
  <c r="A128" i="1"/>
  <c r="R127" i="1"/>
  <c r="P127" i="1"/>
  <c r="A127" i="1"/>
  <c r="R126" i="1"/>
  <c r="P126" i="1"/>
  <c r="S126" i="1" s="1"/>
  <c r="V126" i="1" s="1"/>
  <c r="A126" i="1"/>
  <c r="S125" i="1"/>
  <c r="V125" i="1" s="1"/>
  <c r="R125" i="1"/>
  <c r="P125" i="1"/>
  <c r="A125" i="1"/>
  <c r="R124" i="1"/>
  <c r="P124" i="1"/>
  <c r="S124" i="1" s="1"/>
  <c r="V124" i="1" s="1"/>
  <c r="A124" i="1"/>
  <c r="R123" i="1"/>
  <c r="P123" i="1"/>
  <c r="S123" i="1" s="1"/>
  <c r="V123" i="1" s="1"/>
  <c r="A123" i="1"/>
  <c r="R122" i="1"/>
  <c r="S122" i="1" s="1"/>
  <c r="V122" i="1" s="1"/>
  <c r="P122" i="1"/>
  <c r="A122" i="1"/>
  <c r="R121" i="1"/>
  <c r="P121" i="1"/>
  <c r="S121" i="1" s="1"/>
  <c r="V121" i="1" s="1"/>
  <c r="A121" i="1"/>
  <c r="R120" i="1"/>
  <c r="P120" i="1"/>
  <c r="S120" i="1" s="1"/>
  <c r="V120" i="1" s="1"/>
  <c r="A120" i="1"/>
  <c r="R119" i="1"/>
  <c r="P119" i="1"/>
  <c r="S119" i="1" s="1"/>
  <c r="V119" i="1" s="1"/>
  <c r="A119" i="1"/>
  <c r="S118" i="1"/>
  <c r="V118" i="1" s="1"/>
  <c r="R118" i="1"/>
  <c r="P118" i="1"/>
  <c r="A118" i="1"/>
  <c r="A117" i="1"/>
  <c r="R116" i="1"/>
  <c r="P116" i="1"/>
  <c r="S116" i="1" s="1"/>
  <c r="V116" i="1" s="1"/>
  <c r="A116" i="1"/>
  <c r="R115" i="1"/>
  <c r="S115" i="1" s="1"/>
  <c r="V115" i="1" s="1"/>
  <c r="P115" i="1"/>
  <c r="A115" i="1"/>
  <c r="R114" i="1"/>
  <c r="P114" i="1"/>
  <c r="S114" i="1" s="1"/>
  <c r="V114" i="1" s="1"/>
  <c r="A114" i="1"/>
  <c r="R113" i="1"/>
  <c r="P113" i="1"/>
  <c r="S113" i="1" s="1"/>
  <c r="V113" i="1" s="1"/>
  <c r="A113" i="1"/>
  <c r="V112" i="1"/>
  <c r="R112" i="1"/>
  <c r="P112" i="1"/>
  <c r="S112" i="1" s="1"/>
  <c r="A112" i="1"/>
  <c r="R111" i="1"/>
  <c r="S111" i="1" s="1"/>
  <c r="V111" i="1" s="1"/>
  <c r="P111" i="1"/>
  <c r="A111" i="1"/>
  <c r="R110" i="1"/>
  <c r="S110" i="1" s="1"/>
  <c r="V110" i="1" s="1"/>
  <c r="P110" i="1"/>
  <c r="A110" i="1"/>
  <c r="R109" i="1"/>
  <c r="P109" i="1"/>
  <c r="S109" i="1" s="1"/>
  <c r="V109" i="1" s="1"/>
  <c r="A109" i="1"/>
  <c r="R108" i="1"/>
  <c r="P108" i="1"/>
  <c r="S108" i="1" s="1"/>
  <c r="V108" i="1" s="1"/>
  <c r="A108" i="1"/>
  <c r="R107" i="1"/>
  <c r="P107" i="1"/>
  <c r="A107" i="1"/>
  <c r="R106" i="1"/>
  <c r="P106" i="1"/>
  <c r="S106" i="1" s="1"/>
  <c r="V106" i="1" s="1"/>
  <c r="A106" i="1"/>
  <c r="S105" i="1"/>
  <c r="V105" i="1" s="1"/>
  <c r="R105" i="1"/>
  <c r="P105" i="1"/>
  <c r="A105" i="1"/>
  <c r="R104" i="1"/>
  <c r="P104" i="1"/>
  <c r="S104" i="1" s="1"/>
  <c r="V104" i="1" s="1"/>
  <c r="A104" i="1"/>
  <c r="R103" i="1"/>
  <c r="P103" i="1"/>
  <c r="S103" i="1" s="1"/>
  <c r="V103" i="1" s="1"/>
  <c r="A103" i="1"/>
  <c r="R102" i="1"/>
  <c r="S102" i="1" s="1"/>
  <c r="V102" i="1" s="1"/>
  <c r="P102" i="1"/>
  <c r="A102" i="1"/>
  <c r="R101" i="1"/>
  <c r="P101" i="1"/>
  <c r="S101" i="1" s="1"/>
  <c r="V101" i="1" s="1"/>
  <c r="A101" i="1"/>
  <c r="R100" i="1"/>
  <c r="P100" i="1"/>
  <c r="S100" i="1" s="1"/>
  <c r="V100" i="1" s="1"/>
  <c r="A100" i="1"/>
  <c r="A99" i="1"/>
  <c r="A98" i="1"/>
  <c r="R97" i="1"/>
  <c r="P97" i="1"/>
  <c r="S97" i="1" s="1"/>
  <c r="V97" i="1" s="1"/>
  <c r="A97" i="1"/>
  <c r="R96" i="1"/>
  <c r="P96" i="1"/>
  <c r="S96" i="1" s="1"/>
  <c r="V96" i="1" s="1"/>
  <c r="A96" i="1"/>
  <c r="R95" i="1"/>
  <c r="P95" i="1"/>
  <c r="S95" i="1" s="1"/>
  <c r="V95" i="1" s="1"/>
  <c r="A95" i="1"/>
  <c r="R94" i="1"/>
  <c r="P94" i="1"/>
  <c r="S94" i="1" s="1"/>
  <c r="V94" i="1" s="1"/>
  <c r="A94" i="1"/>
  <c r="R93" i="1"/>
  <c r="S93" i="1" s="1"/>
  <c r="V93" i="1" s="1"/>
  <c r="P93" i="1"/>
  <c r="A93" i="1"/>
  <c r="A92" i="1"/>
  <c r="R91" i="1"/>
  <c r="S91" i="1" s="1"/>
  <c r="V91" i="1" s="1"/>
  <c r="P91" i="1"/>
  <c r="A91" i="1"/>
  <c r="R90" i="1"/>
  <c r="P90" i="1"/>
  <c r="S90" i="1" s="1"/>
  <c r="V90" i="1" s="1"/>
  <c r="A90" i="1"/>
  <c r="A89" i="1"/>
  <c r="R88" i="1"/>
  <c r="P88" i="1"/>
  <c r="S88" i="1" s="1"/>
  <c r="V88" i="1" s="1"/>
  <c r="A88" i="1"/>
  <c r="R87" i="1"/>
  <c r="P87" i="1"/>
  <c r="S87" i="1" s="1"/>
  <c r="V87" i="1" s="1"/>
  <c r="A87" i="1"/>
  <c r="A86" i="1"/>
  <c r="A85" i="1"/>
  <c r="R84" i="1"/>
  <c r="P84" i="1"/>
  <c r="S84" i="1" s="1"/>
  <c r="V84" i="1" s="1"/>
  <c r="A84" i="1"/>
  <c r="A83" i="1"/>
  <c r="R82" i="1"/>
  <c r="P82" i="1"/>
  <c r="S82" i="1" s="1"/>
  <c r="V82" i="1" s="1"/>
  <c r="A82" i="1"/>
  <c r="A81" i="1"/>
  <c r="A80" i="1"/>
  <c r="R79" i="1"/>
  <c r="P79" i="1"/>
  <c r="S79" i="1" s="1"/>
  <c r="V79" i="1" s="1"/>
  <c r="A79" i="1"/>
  <c r="A78" i="1"/>
  <c r="R77" i="1"/>
  <c r="P77" i="1"/>
  <c r="S77" i="1" s="1"/>
  <c r="V77" i="1" s="1"/>
  <c r="A77" i="1"/>
  <c r="A76" i="1"/>
  <c r="R75" i="1"/>
  <c r="P75" i="1"/>
  <c r="S75" i="1" s="1"/>
  <c r="V75" i="1" s="1"/>
  <c r="A75" i="1"/>
  <c r="R74" i="1"/>
  <c r="P74" i="1"/>
  <c r="S74" i="1" s="1"/>
  <c r="V74" i="1" s="1"/>
  <c r="A74" i="1"/>
  <c r="R73" i="1"/>
  <c r="P73" i="1"/>
  <c r="S73" i="1" s="1"/>
  <c r="V73" i="1" s="1"/>
  <c r="A73" i="1"/>
  <c r="R72" i="1"/>
  <c r="P72" i="1"/>
  <c r="S72" i="1" s="1"/>
  <c r="V72" i="1" s="1"/>
  <c r="A72" i="1"/>
  <c r="R71" i="1"/>
  <c r="S71" i="1" s="1"/>
  <c r="V71" i="1" s="1"/>
  <c r="P71" i="1"/>
  <c r="A71" i="1"/>
  <c r="R70" i="1"/>
  <c r="P70" i="1"/>
  <c r="S70" i="1" s="1"/>
  <c r="V70" i="1" s="1"/>
  <c r="A70" i="1"/>
  <c r="A69" i="1"/>
  <c r="R68" i="1"/>
  <c r="P68" i="1"/>
  <c r="S68" i="1" s="1"/>
  <c r="V68" i="1" s="1"/>
  <c r="A68" i="1"/>
  <c r="R67" i="1"/>
  <c r="P67" i="1"/>
  <c r="S67" i="1" s="1"/>
  <c r="V67" i="1" s="1"/>
  <c r="A67" i="1"/>
  <c r="R66" i="1"/>
  <c r="P66" i="1"/>
  <c r="S66" i="1" s="1"/>
  <c r="V66" i="1" s="1"/>
  <c r="A66" i="1"/>
  <c r="R65" i="1"/>
  <c r="P65" i="1"/>
  <c r="S65" i="1" s="1"/>
  <c r="V65" i="1" s="1"/>
  <c r="A65" i="1"/>
  <c r="R64" i="1"/>
  <c r="P64" i="1"/>
  <c r="S64" i="1" s="1"/>
  <c r="V64" i="1" s="1"/>
  <c r="A64" i="1"/>
  <c r="R63" i="1"/>
  <c r="S63" i="1" s="1"/>
  <c r="V63" i="1" s="1"/>
  <c r="P63" i="1"/>
  <c r="A63" i="1"/>
  <c r="A62" i="1"/>
  <c r="A61" i="1"/>
  <c r="A60" i="1"/>
  <c r="R59" i="1"/>
  <c r="P59" i="1"/>
  <c r="S59" i="1" s="1"/>
  <c r="V59" i="1" s="1"/>
  <c r="A59" i="1"/>
  <c r="A58" i="1"/>
  <c r="A57" i="1"/>
  <c r="R56" i="1"/>
  <c r="P56" i="1"/>
  <c r="S56" i="1" s="1"/>
  <c r="V56" i="1" s="1"/>
  <c r="A56" i="1"/>
  <c r="A55" i="1"/>
  <c r="A54" i="1"/>
  <c r="R53" i="1"/>
  <c r="P53" i="1"/>
  <c r="S53" i="1" s="1"/>
  <c r="V53" i="1" s="1"/>
  <c r="A53" i="1"/>
  <c r="R52" i="1"/>
  <c r="P52" i="1"/>
  <c r="S52" i="1" s="1"/>
  <c r="V52" i="1" s="1"/>
  <c r="A52" i="1"/>
  <c r="A51" i="1"/>
  <c r="R50" i="1"/>
  <c r="P50" i="1"/>
  <c r="S50" i="1" s="1"/>
  <c r="V50" i="1" s="1"/>
  <c r="A50" i="1"/>
  <c r="R49" i="1"/>
  <c r="P49" i="1"/>
  <c r="S49" i="1" s="1"/>
  <c r="V49" i="1" s="1"/>
  <c r="A49" i="1"/>
  <c r="A48" i="1"/>
  <c r="R47" i="1"/>
  <c r="P47" i="1"/>
  <c r="S47" i="1" s="1"/>
  <c r="V47" i="1" s="1"/>
  <c r="A47" i="1"/>
  <c r="S46" i="1"/>
  <c r="V46" i="1" s="1"/>
  <c r="R46" i="1"/>
  <c r="P46" i="1"/>
  <c r="A46" i="1"/>
  <c r="A45" i="1"/>
  <c r="A44" i="1"/>
  <c r="A43" i="1"/>
  <c r="R42" i="1"/>
  <c r="P42" i="1"/>
  <c r="S42" i="1" s="1"/>
  <c r="V42" i="1" s="1"/>
  <c r="A42" i="1"/>
  <c r="R41" i="1"/>
  <c r="P41" i="1"/>
  <c r="S41" i="1" s="1"/>
  <c r="V41" i="1" s="1"/>
  <c r="A41" i="1"/>
  <c r="A40" i="1"/>
  <c r="R39" i="1"/>
  <c r="P39" i="1"/>
  <c r="S39" i="1" s="1"/>
  <c r="V39" i="1" s="1"/>
  <c r="A39" i="1"/>
  <c r="S38" i="1"/>
  <c r="V38" i="1" s="1"/>
  <c r="R38" i="1"/>
  <c r="P38" i="1"/>
  <c r="A38" i="1"/>
  <c r="R37" i="1"/>
  <c r="S37" i="1" s="1"/>
  <c r="V37" i="1" s="1"/>
  <c r="P37" i="1"/>
  <c r="A37" i="1"/>
  <c r="R36" i="1"/>
  <c r="P36" i="1"/>
  <c r="S36" i="1" s="1"/>
  <c r="V36" i="1" s="1"/>
  <c r="A36" i="1"/>
  <c r="R35" i="1"/>
  <c r="P35" i="1"/>
  <c r="S35" i="1" s="1"/>
  <c r="V35" i="1" s="1"/>
  <c r="A35" i="1"/>
  <c r="R34" i="1"/>
  <c r="P34" i="1"/>
  <c r="S34" i="1" s="1"/>
  <c r="V34" i="1" s="1"/>
  <c r="A34" i="1"/>
  <c r="R33" i="1"/>
  <c r="P33" i="1"/>
  <c r="S33" i="1" s="1"/>
  <c r="V33" i="1" s="1"/>
  <c r="A33" i="1"/>
  <c r="R32" i="1"/>
  <c r="P32" i="1"/>
  <c r="S32" i="1" s="1"/>
  <c r="V32" i="1" s="1"/>
  <c r="A32" i="1"/>
  <c r="R31" i="1"/>
  <c r="S31" i="1" s="1"/>
  <c r="V31" i="1" s="1"/>
  <c r="P31" i="1"/>
  <c r="A31" i="1"/>
  <c r="R30" i="1"/>
  <c r="P30" i="1"/>
  <c r="S30" i="1" s="1"/>
  <c r="V30" i="1" s="1"/>
  <c r="A30" i="1"/>
  <c r="R29" i="1"/>
  <c r="P29" i="1"/>
  <c r="S29" i="1" s="1"/>
  <c r="V29" i="1" s="1"/>
  <c r="A29" i="1"/>
  <c r="R28" i="1"/>
  <c r="P28" i="1"/>
  <c r="S28" i="1" s="1"/>
  <c r="V28" i="1" s="1"/>
  <c r="A28" i="1"/>
  <c r="R27" i="1"/>
  <c r="P27" i="1"/>
  <c r="S27" i="1" s="1"/>
  <c r="V27" i="1" s="1"/>
  <c r="A27" i="1"/>
  <c r="S26" i="1"/>
  <c r="V26" i="1" s="1"/>
  <c r="R26" i="1"/>
  <c r="P26" i="1"/>
  <c r="A26" i="1"/>
  <c r="R25" i="1"/>
  <c r="S25" i="1" s="1"/>
  <c r="V25" i="1" s="1"/>
  <c r="P25" i="1"/>
  <c r="A25" i="1"/>
  <c r="R24" i="1"/>
  <c r="P24" i="1"/>
  <c r="S24" i="1" s="1"/>
  <c r="V24" i="1" s="1"/>
  <c r="A24" i="1"/>
  <c r="R23" i="1"/>
  <c r="P23" i="1"/>
  <c r="S23" i="1" s="1"/>
  <c r="V23" i="1" s="1"/>
  <c r="A23" i="1"/>
  <c r="R22" i="1"/>
  <c r="P22" i="1"/>
  <c r="S22" i="1" s="1"/>
  <c r="V22" i="1" s="1"/>
  <c r="A22" i="1"/>
  <c r="R21" i="1"/>
  <c r="P21" i="1"/>
  <c r="S21" i="1" s="1"/>
  <c r="V21" i="1" s="1"/>
  <c r="A21" i="1"/>
  <c r="R20" i="1"/>
  <c r="P20" i="1"/>
  <c r="S20" i="1" s="1"/>
  <c r="V20" i="1" s="1"/>
  <c r="A20" i="1"/>
  <c r="R19" i="1"/>
  <c r="S19" i="1" s="1"/>
  <c r="V19" i="1" s="1"/>
  <c r="P19" i="1"/>
  <c r="A19" i="1"/>
  <c r="R18" i="1"/>
  <c r="P18" i="1"/>
  <c r="S18" i="1" s="1"/>
  <c r="V18" i="1" s="1"/>
  <c r="A18" i="1"/>
  <c r="A17" i="1"/>
  <c r="A16" i="1"/>
  <c r="R15" i="1"/>
  <c r="S15" i="1" s="1"/>
  <c r="V15" i="1" s="1"/>
  <c r="P15" i="1"/>
  <c r="A15" i="1"/>
  <c r="A14" i="1"/>
  <c r="R13" i="1"/>
  <c r="S13" i="1" s="1"/>
  <c r="V13" i="1" s="1"/>
  <c r="P13" i="1"/>
  <c r="A13" i="1"/>
  <c r="A12" i="1"/>
  <c r="A11" i="1"/>
  <c r="S10" i="1"/>
  <c r="V10" i="1" s="1"/>
  <c r="R10" i="1"/>
  <c r="P10" i="1"/>
  <c r="A10" i="1"/>
  <c r="R9" i="1"/>
  <c r="S9" i="1" s="1"/>
  <c r="V9" i="1" s="1"/>
  <c r="P9" i="1"/>
  <c r="A9" i="1"/>
  <c r="R8" i="1"/>
  <c r="P8" i="1"/>
  <c r="S8" i="1" s="1"/>
  <c r="V8" i="1" s="1"/>
  <c r="A8" i="1"/>
  <c r="A7" i="1"/>
  <c r="R6" i="1"/>
  <c r="P6" i="1"/>
  <c r="S6" i="1" s="1"/>
  <c r="V6" i="1" s="1"/>
  <c r="A6" i="1"/>
  <c r="R5" i="1"/>
  <c r="P5" i="1"/>
  <c r="S5" i="1" s="1"/>
  <c r="V5" i="1" s="1"/>
  <c r="A5" i="1"/>
  <c r="A4" i="1"/>
  <c r="A3" i="1"/>
  <c r="A2" i="1"/>
  <c r="S127" i="1" l="1"/>
  <c r="V127" i="1" s="1"/>
  <c r="S294" i="1"/>
  <c r="V294" i="1" s="1"/>
  <c r="S314" i="1"/>
  <c r="V314" i="1" s="1"/>
  <c r="S384" i="1"/>
  <c r="V384" i="1" s="1"/>
  <c r="S431" i="1"/>
  <c r="V431" i="1" s="1"/>
  <c r="S456" i="1"/>
  <c r="V456" i="1" s="1"/>
  <c r="S628" i="1"/>
  <c r="V628" i="1" s="1"/>
  <c r="S820" i="1"/>
  <c r="V820" i="1" s="1"/>
  <c r="S915" i="1"/>
  <c r="V915" i="1" s="1"/>
  <c r="S1003" i="1"/>
  <c r="V1003" i="1" s="1"/>
  <c r="S1198" i="1"/>
  <c r="V1198" i="1" s="1"/>
  <c r="S1291" i="1"/>
  <c r="V1291" i="1" s="1"/>
  <c r="S138" i="1"/>
  <c r="V138" i="1" s="1"/>
  <c r="S163" i="1"/>
  <c r="V163" i="1" s="1"/>
  <c r="S310" i="1"/>
  <c r="V310" i="1" s="1"/>
  <c r="S618" i="1"/>
  <c r="V618" i="1" s="1"/>
  <c r="S738" i="1"/>
  <c r="V738" i="1" s="1"/>
  <c r="S179" i="1"/>
  <c r="V179" i="1" s="1"/>
  <c r="S199" i="1"/>
  <c r="V199" i="1" s="1"/>
  <c r="S210" i="1"/>
  <c r="V210" i="1" s="1"/>
  <c r="S235" i="1"/>
  <c r="V235" i="1" s="1"/>
  <c r="S255" i="1"/>
  <c r="V255" i="1" s="1"/>
  <c r="S266" i="1"/>
  <c r="V266" i="1" s="1"/>
  <c r="S1087" i="1"/>
  <c r="V1087" i="1" s="1"/>
  <c r="S107" i="1"/>
  <c r="V107" i="1" s="1"/>
  <c r="S139" i="1"/>
  <c r="V139" i="1" s="1"/>
  <c r="S150" i="1"/>
  <c r="V150" i="1" s="1"/>
  <c r="S329" i="1"/>
  <c r="V329" i="1" s="1"/>
  <c r="S349" i="1"/>
  <c r="V349" i="1" s="1"/>
  <c r="S389" i="1"/>
  <c r="V389" i="1" s="1"/>
  <c r="S417" i="1"/>
  <c r="V417" i="1" s="1"/>
  <c r="S607" i="1"/>
  <c r="V607" i="1" s="1"/>
  <c r="S365" i="1"/>
  <c r="V365" i="1" s="1"/>
  <c r="S432" i="1"/>
  <c r="V432" i="1" s="1"/>
  <c r="S443" i="1"/>
  <c r="V443" i="1" s="1"/>
  <c r="S509" i="1"/>
  <c r="V509" i="1" s="1"/>
  <c r="S666" i="1"/>
  <c r="V666" i="1" s="1"/>
  <c r="S381" i="1"/>
  <c r="V381" i="1" s="1"/>
  <c r="S461" i="1"/>
  <c r="V461" i="1" s="1"/>
  <c r="S479" i="1"/>
  <c r="V479" i="1" s="1"/>
  <c r="S528" i="1"/>
  <c r="V528" i="1" s="1"/>
  <c r="S543" i="1"/>
  <c r="V543" i="1" s="1"/>
  <c r="S646" i="1"/>
  <c r="V646" i="1" s="1"/>
  <c r="S875" i="1"/>
  <c r="V875" i="1" s="1"/>
  <c r="S1148" i="1"/>
  <c r="V1148" i="1" s="1"/>
  <c r="S1479" i="1"/>
  <c r="V1479" i="1" s="1"/>
  <c r="V1706" i="1"/>
  <c r="S567" i="1"/>
  <c r="V567" i="1" s="1"/>
  <c r="S686" i="1"/>
  <c r="V686" i="1" s="1"/>
  <c r="S332" i="1"/>
  <c r="V332" i="1" s="1"/>
  <c r="S477" i="1"/>
  <c r="V477" i="1" s="1"/>
  <c r="S529" i="1"/>
  <c r="V529" i="1" s="1"/>
  <c r="S597" i="1"/>
  <c r="V597" i="1" s="1"/>
  <c r="S670" i="1"/>
  <c r="V670" i="1" s="1"/>
  <c r="S328" i="1"/>
  <c r="V328" i="1" s="1"/>
  <c r="S404" i="1"/>
  <c r="V404" i="1" s="1"/>
  <c r="S473" i="1"/>
  <c r="V473" i="1" s="1"/>
  <c r="S480" i="1"/>
  <c r="V480" i="1" s="1"/>
  <c r="S556" i="1"/>
  <c r="V556" i="1" s="1"/>
  <c r="S591" i="1"/>
  <c r="V591" i="1" s="1"/>
  <c r="S870" i="1"/>
  <c r="V870" i="1" s="1"/>
  <c r="S942" i="1"/>
  <c r="V942" i="1" s="1"/>
  <c r="S514" i="1"/>
  <c r="V514" i="1" s="1"/>
  <c r="S767" i="1"/>
  <c r="V767" i="1" s="1"/>
  <c r="S971" i="1"/>
  <c r="V971" i="1" s="1"/>
  <c r="S1455" i="1"/>
  <c r="V1455" i="1" s="1"/>
  <c r="S502" i="1"/>
  <c r="V502" i="1" s="1"/>
  <c r="S549" i="1"/>
  <c r="V549" i="1" s="1"/>
  <c r="S600" i="1"/>
  <c r="V600" i="1" s="1"/>
  <c r="S643" i="1"/>
  <c r="V643" i="1" s="1"/>
  <c r="S799" i="1"/>
  <c r="V799" i="1" s="1"/>
  <c r="S835" i="1"/>
  <c r="V835" i="1" s="1"/>
  <c r="S937" i="1"/>
  <c r="V937" i="1" s="1"/>
  <c r="S1514" i="1"/>
  <c r="V1514" i="1" s="1"/>
  <c r="S965" i="1"/>
  <c r="V965" i="1" s="1"/>
  <c r="S993" i="1"/>
  <c r="V993" i="1" s="1"/>
  <c r="S1093" i="1"/>
  <c r="V1093" i="1" s="1"/>
  <c r="S1099" i="1"/>
  <c r="V1099" i="1" s="1"/>
  <c r="S1177" i="1"/>
  <c r="V1177" i="1" s="1"/>
  <c r="S568" i="1"/>
  <c r="V568" i="1" s="1"/>
  <c r="S592" i="1"/>
  <c r="V592" i="1" s="1"/>
  <c r="S619" i="1"/>
  <c r="V619" i="1" s="1"/>
  <c r="S639" i="1"/>
  <c r="V639" i="1" s="1"/>
  <c r="S695" i="1"/>
  <c r="V695" i="1" s="1"/>
  <c r="S732" i="1"/>
  <c r="V732" i="1" s="1"/>
  <c r="S879" i="1"/>
  <c r="V879" i="1" s="1"/>
  <c r="S929" i="1"/>
  <c r="V929" i="1" s="1"/>
  <c r="S951" i="1"/>
  <c r="V951" i="1" s="1"/>
  <c r="S958" i="1"/>
  <c r="V958" i="1" s="1"/>
  <c r="S987" i="1"/>
  <c r="V987" i="1" s="1"/>
  <c r="S1485" i="1"/>
  <c r="V1485" i="1" s="1"/>
  <c r="V1637" i="1"/>
  <c r="S787" i="1"/>
  <c r="V787" i="1" s="1"/>
  <c r="S823" i="1"/>
  <c r="V823" i="1" s="1"/>
  <c r="S1019" i="1"/>
  <c r="V1019" i="1" s="1"/>
  <c r="S1047" i="1"/>
  <c r="V1047" i="1" s="1"/>
  <c r="S1163" i="1"/>
  <c r="V1163" i="1" s="1"/>
  <c r="S1178" i="1"/>
  <c r="V1178" i="1" s="1"/>
  <c r="V1633" i="1"/>
  <c r="V1655" i="1"/>
  <c r="V1670" i="1"/>
  <c r="S659" i="1"/>
  <c r="V659" i="1" s="1"/>
  <c r="S935" i="1"/>
  <c r="V935" i="1" s="1"/>
  <c r="S963" i="1"/>
  <c r="V963" i="1" s="1"/>
  <c r="S1175" i="1"/>
  <c r="V1175" i="1" s="1"/>
  <c r="S1335" i="1"/>
  <c r="V1335" i="1" s="1"/>
  <c r="V1673" i="1"/>
  <c r="V1712" i="1"/>
  <c r="V1735" i="1"/>
  <c r="S1011" i="1"/>
  <c r="V1011" i="1" s="1"/>
  <c r="S1126" i="1"/>
  <c r="V1126" i="1" s="1"/>
  <c r="S1303" i="1"/>
  <c r="V1303" i="1" s="1"/>
  <c r="V1631" i="1"/>
  <c r="S1666" i="1"/>
  <c r="V1666" i="1" s="1"/>
  <c r="S1733" i="1"/>
  <c r="V1733" i="1" s="1"/>
  <c r="S1569" i="1"/>
  <c r="V1569" i="1" s="1"/>
  <c r="S1678" i="1"/>
  <c r="V1678" i="1" s="1"/>
  <c r="S1191" i="1"/>
  <c r="V1191" i="1" s="1"/>
  <c r="S1437" i="1"/>
  <c r="V1437" i="1" s="1"/>
  <c r="S1630" i="1"/>
  <c r="V1630" i="1" s="1"/>
  <c r="S1739" i="1"/>
  <c r="V1739" i="1" s="1"/>
  <c r="V1681" i="1"/>
  <c r="V1703" i="1"/>
  <c r="S1187" i="1"/>
  <c r="V1187" i="1" s="1"/>
  <c r="S1206" i="1"/>
  <c r="V1206" i="1" s="1"/>
  <c r="S1588" i="1"/>
  <c r="V1588" i="1" s="1"/>
  <c r="S1619" i="1"/>
  <c r="V1619" i="1" s="1"/>
  <c r="V1674" i="1"/>
  <c r="S1688" i="1"/>
  <c r="V1688" i="1" s="1"/>
  <c r="S1730" i="1"/>
  <c r="V1730" i="1" s="1"/>
  <c r="V1741" i="1"/>
  <c r="S1231" i="1"/>
  <c r="V1231" i="1" s="1"/>
  <c r="S1139" i="1"/>
  <c r="V1139" i="1" s="1"/>
  <c r="S1453" i="1"/>
  <c r="V1453" i="1" s="1"/>
  <c r="S1483" i="1"/>
  <c r="V1483" i="1" s="1"/>
  <c r="S1721" i="1"/>
  <c r="V1721" i="1" s="1"/>
  <c r="V1746" i="1"/>
  <c r="S1355" i="1"/>
  <c r="V1355" i="1" s="1"/>
  <c r="S1654" i="1"/>
  <c r="V1654" i="1" s="1"/>
  <c r="S1702" i="1"/>
  <c r="V1702" i="1" s="1"/>
  <c r="S1299" i="1"/>
  <c r="V1299" i="1" s="1"/>
  <c r="S1475" i="1"/>
  <c r="V1475" i="1" s="1"/>
  <c r="S1613" i="1"/>
  <c r="V1613" i="1" s="1"/>
  <c r="V1627" i="1"/>
  <c r="S1660" i="1"/>
  <c r="V1660" i="1" s="1"/>
</calcChain>
</file>

<file path=xl/sharedStrings.xml><?xml version="1.0" encoding="utf-8"?>
<sst xmlns="http://schemas.openxmlformats.org/spreadsheetml/2006/main" count="9932" uniqueCount="3391">
  <si>
    <t>№ п/п</t>
  </si>
  <si>
    <t>Раздел ЕР</t>
  </si>
  <si>
    <t>Шифр ЕР</t>
  </si>
  <si>
    <t>Наименование ЕР</t>
  </si>
  <si>
    <t>Ед. изм. ЕР</t>
  </si>
  <si>
    <t>Кол-во по BoQ</t>
  </si>
  <si>
    <t>Условие производства работ</t>
  </si>
  <si>
    <t>Примечание (Коэффициент применяется в случае подтверждения усложняющих факторов)</t>
  </si>
  <si>
    <t>Трудо-затраты за ед., чел.-час</t>
  </si>
  <si>
    <t>Машины и механизмы за ед., маш.-час.</t>
  </si>
  <si>
    <t>Ставка основных рабочих, руб./час.</t>
  </si>
  <si>
    <t>Един. расценка на оплату труда за ед., руб.</t>
  </si>
  <si>
    <t>Ставка машин и механизмов, руб./час.</t>
  </si>
  <si>
    <t>Един. расценка на машины и механизмы, руб.</t>
  </si>
  <si>
    <t>Един. расценка на прямые затраты, руб.</t>
  </si>
  <si>
    <t>Косвенные затраты, %</t>
  </si>
  <si>
    <t>Прибыль, риски, %</t>
  </si>
  <si>
    <t>Всего (Прямые+Косвенные+Прибыль, риски), руб.</t>
  </si>
  <si>
    <t>№ Договора/ДС в котором включена ЕР</t>
  </si>
  <si>
    <t>CW00</t>
  </si>
  <si>
    <t>Общестроительные работы</t>
  </si>
  <si>
    <t>CW00-01</t>
  </si>
  <si>
    <t>Земляные работы и благоустройство</t>
  </si>
  <si>
    <t>CW00-01-01</t>
  </si>
  <si>
    <t>Выемка грунта</t>
  </si>
  <si>
    <t>CW00-01-01-7</t>
  </si>
  <si>
    <t>Разработка грунта в ручную</t>
  </si>
  <si>
    <t>м3</t>
  </si>
  <si>
    <t>Производство работ: 
- в зоне действующего технологического оборудования, технологических трубопроводов 
- в охранной зоне действующей воздушной линии электропередачи 
- на объектах реконструкции, модернизации или капитального ремонта объектов капитального строительства</t>
  </si>
  <si>
    <t>НКНХ.9366</t>
  </si>
  <si>
    <t>CW00-01-01-20</t>
  </si>
  <si>
    <t>Разработка грунта в отвал механизированным способом, под проектную высотную отметку (III, IV кат. грунта) включая работы в карьере и котловане</t>
  </si>
  <si>
    <t>CW00-01-02</t>
  </si>
  <si>
    <t>Обратная засыпка</t>
  </si>
  <si>
    <t>CW00-01-02-2</t>
  </si>
  <si>
    <t>Устройство основания песком - траншеи (для прокладки труб, кабелей, нестандартных фундаментов, под тротуары, пазух фундаментов, дренажных емкостей и т.д.), с уплотнением</t>
  </si>
  <si>
    <t>CW00-01-02-3</t>
  </si>
  <si>
    <t>Устройство основания (обратная засыпка) местным грунтом (хранимым материалом), с уплотнением</t>
  </si>
  <si>
    <t>CW00-01-02-8</t>
  </si>
  <si>
    <t>Обратная засыпка вручную</t>
  </si>
  <si>
    <t>CW00-03</t>
  </si>
  <si>
    <t>Бетонные работы</t>
  </si>
  <si>
    <t>CW00-03-01</t>
  </si>
  <si>
    <t>Бетонирование монолитных конструкций из тяжелого бетона</t>
  </si>
  <si>
    <t>CW00-03-01-1</t>
  </si>
  <si>
    <t>Бетонирование фундаментов, ростверков, плит и т.д.</t>
  </si>
  <si>
    <t>CW00-03-06</t>
  </si>
  <si>
    <t>Монтаж закладных деталей</t>
  </si>
  <si>
    <t>CW00-03-06-11</t>
  </si>
  <si>
    <t>кг</t>
  </si>
  <si>
    <t>FW00</t>
  </si>
  <si>
    <t>FW00-16</t>
  </si>
  <si>
    <t>Штробление и алмазное бурение</t>
  </si>
  <si>
    <t>FW00-16-01</t>
  </si>
  <si>
    <t>Алмазное бурение</t>
  </si>
  <si>
    <t>FW00-16-01-01</t>
  </si>
  <si>
    <t>Алмазное бурение Кирпичных стен диаметром до 100 мм</t>
  </si>
  <si>
    <t>см</t>
  </si>
  <si>
    <t>FW00-16-01-02</t>
  </si>
  <si>
    <t>Алмазное бурение Кирпичных стен диаметром от 101 до 150 мм</t>
  </si>
  <si>
    <t>FW00-16-01-03</t>
  </si>
  <si>
    <t>Алмазное бурение Кирпичных стен диаметром от 151 до 200 мм</t>
  </si>
  <si>
    <t>FW00-16-01-04</t>
  </si>
  <si>
    <t>Алмазное бурение Кирпичных стен диаметром от 201 до 250 мм</t>
  </si>
  <si>
    <t>FW00-16-01-05</t>
  </si>
  <si>
    <t>Алмазное бурение Кирпичных стен диаметром от 251 до 300 мм</t>
  </si>
  <si>
    <t>FW00-16-01-06</t>
  </si>
  <si>
    <t>Алмазное бурение Кирпичных стен диаметром от 301 до 350 мм</t>
  </si>
  <si>
    <t>FW00-16-01-07</t>
  </si>
  <si>
    <t>Алмазное бурение Кирпичных стен диаметром от 351 до 400 мм</t>
  </si>
  <si>
    <t>FW00-16-01-08</t>
  </si>
  <si>
    <t>Алмазное бурение Кирпичных стен диаметром от 401 до 450 мм</t>
  </si>
  <si>
    <t>FW00-16-01-09</t>
  </si>
  <si>
    <t>Алмазное бурение Кирпичных стен диаметром от 451 до 500 мм</t>
  </si>
  <si>
    <t>FW00-16-01-10</t>
  </si>
  <si>
    <t>Алмазное бурение Кирпичных стен диаметром от 501 до 550 мм</t>
  </si>
  <si>
    <t>FW00-16-01-11</t>
  </si>
  <si>
    <t>Алмазное бурение Кирпичных стен диаметром свыше 551 мм</t>
  </si>
  <si>
    <t>FW00-16-01-12</t>
  </si>
  <si>
    <t>Алмазное бурение Бетонных/Железобетонных стен диаметром до 100 мм</t>
  </si>
  <si>
    <t>FW00-16-01-13</t>
  </si>
  <si>
    <t>Алмазное бурение Бетонных/Железобетонных стен диаметром от 101 до 150 мм</t>
  </si>
  <si>
    <t>FW00-16-01-14</t>
  </si>
  <si>
    <t>Алмазное бурение Бетонных/Железобетонных стен диаметром от 151 до 200 мм</t>
  </si>
  <si>
    <t>FW00-16-01-15</t>
  </si>
  <si>
    <t>Алмазное бурение Бетонных/Железобетонных стен диаметром от 201 до 250 мм</t>
  </si>
  <si>
    <t>FW00-16-01-16</t>
  </si>
  <si>
    <t>Алмазное бурение Бетонных/Железобетонных стен диаметром от 251 до 300 мм</t>
  </si>
  <si>
    <t>FW00-16-01-17</t>
  </si>
  <si>
    <t>Алмазное бурение Бетонных/Железобетонных стен диаметром от 301 до 350 мм</t>
  </si>
  <si>
    <t>FW00-16-01-18</t>
  </si>
  <si>
    <t>Алмазное бурение Бетонных/Железобетонных стен диаметром от 351 до 400 мм</t>
  </si>
  <si>
    <t>FW00-16-01-19</t>
  </si>
  <si>
    <t>Алмазное бурение Бетонных/Железобетонных стен диаметром от 401 до 450 мм</t>
  </si>
  <si>
    <t>FW00-16-01-20</t>
  </si>
  <si>
    <t>Алмазное бурение Бетонных/Железобетонных стен диаметром от 451 до 500 мм</t>
  </si>
  <si>
    <t>FW00-16-01-21</t>
  </si>
  <si>
    <t>Алмазное бурение Бетонных/Железобетонных стен диаметром от 501 до 550 мм</t>
  </si>
  <si>
    <t>FW00-16-01-22</t>
  </si>
  <si>
    <t>Алмазное бурение Бетонных/Железобетонных стен диаметром свыше 551 мм</t>
  </si>
  <si>
    <t>FW00-16-02</t>
  </si>
  <si>
    <t>Штробление стен</t>
  </si>
  <si>
    <t>FW00-16-02-01</t>
  </si>
  <si>
    <t>Устройство штробы в бетонной стене</t>
  </si>
  <si>
    <t>м</t>
  </si>
  <si>
    <t>FW00-16-02-02</t>
  </si>
  <si>
    <t>Устройство штробы в кирпичной стене</t>
  </si>
  <si>
    <t>SS00</t>
  </si>
  <si>
    <t>Монтаж металлоконструкций</t>
  </si>
  <si>
    <t>SS00-01</t>
  </si>
  <si>
    <t>Сборка / установка основных металлоконструкций</t>
  </si>
  <si>
    <t>SS00-01-01</t>
  </si>
  <si>
    <t>Конструкции под оборудование (этажерки в т.ч. опоры обвязки, площадки, кабельные и другие конструкции за исключением вспомогательных конструкций и акссесуаров): монтаж основных металлоконструкций, включая метизную продукцию</t>
  </si>
  <si>
    <t>SS00-01-01-6</t>
  </si>
  <si>
    <t>Основные конструкции сооружения (колонны, балки, связи, прогоны, фахверковые конструкции, подкрановые пути)</t>
  </si>
  <si>
    <t>т</t>
  </si>
  <si>
    <t>SS00-01-01-7</t>
  </si>
  <si>
    <t>Второстепенные конструкции (площадки, опоры обвязки, кронштейны, кабельные конструкции и т.д.)</t>
  </si>
  <si>
    <t>SS00-01-02</t>
  </si>
  <si>
    <t>Конструкции эстакад в т.ч. опоры обвязки, площадки, кабельные и другие конструкции за исключением вспомогательных конструкций и акссесуаров: монтаж основных металлоконструкций включая метизную продукцию</t>
  </si>
  <si>
    <t>SS00-01-02-6</t>
  </si>
  <si>
    <t>SS00-01-02-7</t>
  </si>
  <si>
    <t>SS00-01-03</t>
  </si>
  <si>
    <t>Конструкции зданий и навесов в т.ч. опоры обвязки, площадки, кабельные и другие конструкции за исключением вспомогательных конструкций и акссесуаров: монтаж основных металлоконструкций,включая метизную продукцию</t>
  </si>
  <si>
    <t>SS00-01-03-6</t>
  </si>
  <si>
    <t>SS00-01-03-7</t>
  </si>
  <si>
    <t>Второстепенные конструкции (площадки, опоры обвязки, кронштейны, кабельные конструкции ,воздухозаборные трубы, козырьки и т.д.)</t>
  </si>
  <si>
    <t>SS00-06</t>
  </si>
  <si>
    <t>Изготовление металлоконструкций</t>
  </si>
  <si>
    <t>SS00-06-01</t>
  </si>
  <si>
    <t>Изготовление металлоконструкций в построечных условиях</t>
  </si>
  <si>
    <t>SS00-06-01-1</t>
  </si>
  <si>
    <t>Изготовление металлоконструкций на площадке</t>
  </si>
  <si>
    <t>SS00-07</t>
  </si>
  <si>
    <t>Специальные работы</t>
  </si>
  <si>
    <t>SS00-07-01</t>
  </si>
  <si>
    <t>Усиление существующих конструкций в построечных условиях</t>
  </si>
  <si>
    <t>SS00-07-01-1</t>
  </si>
  <si>
    <t>Усиление существующих металлоконструкций в построечных условиях</t>
  </si>
  <si>
    <t>EL00</t>
  </si>
  <si>
    <t>Электромонтажные работы</t>
  </si>
  <si>
    <t>EL00-01</t>
  </si>
  <si>
    <t>Монтаж заземления (надземная часть)</t>
  </si>
  <si>
    <t>EL00-01-01</t>
  </si>
  <si>
    <t>Заземляющий проводник надземной установки, изолированный ПВХ или голый</t>
  </si>
  <si>
    <t>EL00-01-01-1</t>
  </si>
  <si>
    <t>Монтаж провода заземления, сечением до 10 мм2</t>
  </si>
  <si>
    <t>EL00-01-01-2</t>
  </si>
  <si>
    <t>Монтаж провода заземления, сечением от 16 мм2 до 35 мм2</t>
  </si>
  <si>
    <t>EL00-01-01-3</t>
  </si>
  <si>
    <t>Монтаж провода заземления, сечением от 70 мм2 до 95 мм2</t>
  </si>
  <si>
    <t>EL00-01-01-4</t>
  </si>
  <si>
    <t>Монтаж провода заземления, сечением от 120 мм2 до 240 мм2</t>
  </si>
  <si>
    <t>EL00-01-01-5</t>
  </si>
  <si>
    <t>Монтаж провода заземления, сечением от 95 мм2 до 120 мм2</t>
  </si>
  <si>
    <t>EL00-01-01-6</t>
  </si>
  <si>
    <t>Монтаж провода заземления, сечением от 35 мм2 до 70 мм2</t>
  </si>
  <si>
    <t>EL00-01-02</t>
  </si>
  <si>
    <t>Соединение заземляющего провода</t>
  </si>
  <si>
    <t>EL00-01-02-1</t>
  </si>
  <si>
    <t>Оконцевание и присоединение провода заземления, сечением до 10 мм2</t>
  </si>
  <si>
    <t>шт.</t>
  </si>
  <si>
    <t>EL00-01-02-2</t>
  </si>
  <si>
    <t>Оконцевание и присоединение провода заземления, сечением от 16 мм2 до 35 мм2</t>
  </si>
  <si>
    <t>EL00-01-02-8</t>
  </si>
  <si>
    <t>Оконцевание и присоединение провода заземления, сечением от 35 мм2 до 70 мм2</t>
  </si>
  <si>
    <t>EL00-01-02-3</t>
  </si>
  <si>
    <t>Оконцевание и присоединение провода заземления, сечением от 70 мм2 до 95 мм2</t>
  </si>
  <si>
    <t>EL00-01-02-6</t>
  </si>
  <si>
    <t>Оконцевание и присоединение провода заземления, сечением от 95 мм2 до 120 мм2</t>
  </si>
  <si>
    <t>EL00-01-02-4</t>
  </si>
  <si>
    <t>Оконцевание и присоединение провода заземления, сечением от 120 мм2 до 240 мм2</t>
  </si>
  <si>
    <t>EL00-01-03</t>
  </si>
  <si>
    <t>Монтаж шин заземления</t>
  </si>
  <si>
    <t>EL00-01-03-5</t>
  </si>
  <si>
    <t>Монтаж главной заземляющей шины от 100 мм2 и более</t>
  </si>
  <si>
    <t>EL00-01-04</t>
  </si>
  <si>
    <t>Монтаж полосы заземления в помещениях</t>
  </si>
  <si>
    <t>EL00-01-04-4</t>
  </si>
  <si>
    <t>Монтаж стальной, горячеоцинкованной полосы заземления по строительным конструкциям</t>
  </si>
  <si>
    <t>EL00-02</t>
  </si>
  <si>
    <t>Монтаж заземления (подземная часть)</t>
  </si>
  <si>
    <t>EL00-02-01</t>
  </si>
  <si>
    <t>Монтаж заземляющего проводника, электрода, сталь горячее цинкование</t>
  </si>
  <si>
    <t>EL00-02-01-9</t>
  </si>
  <si>
    <t>Установка стальной, горячеоцинкованной полосы заземления в траншею</t>
  </si>
  <si>
    <t>EL00-02-09</t>
  </si>
  <si>
    <t>Установка заземляющего электрода</t>
  </si>
  <si>
    <t>EL00-02-09-3</t>
  </si>
  <si>
    <t>Установка стального заземляющего электрода</t>
  </si>
  <si>
    <t>EL00-03</t>
  </si>
  <si>
    <t>Устройство системы молниезащиты</t>
  </si>
  <si>
    <t>EL00-03-01</t>
  </si>
  <si>
    <t>Монтаж проводника</t>
  </si>
  <si>
    <t>EL00-03-01-9</t>
  </si>
  <si>
    <t>Монтаж стального проводника молниезащиты круглого сечения, до 50мм2</t>
  </si>
  <si>
    <t>EL00-03-01-11</t>
  </si>
  <si>
    <t>Установка медного проводника молниезащиты круглого сечения, до 50мм2</t>
  </si>
  <si>
    <t>EL00-03-02</t>
  </si>
  <si>
    <t>Установка молниеприемника</t>
  </si>
  <si>
    <t>EL00-03-02-1</t>
  </si>
  <si>
    <t>Установка медного молниеприемника, высотой до 1 м</t>
  </si>
  <si>
    <t>EL00-03-02-2</t>
  </si>
  <si>
    <t>Устройство стального, горячеоцинкованного молниеприемника, до 6 м на кровлю</t>
  </si>
  <si>
    <t>EL00-03-03</t>
  </si>
  <si>
    <t>Устройство мачт молниезащиты</t>
  </si>
  <si>
    <t>EL00-03-03-1</t>
  </si>
  <si>
    <t>Устройство мачты молниезащиты до 10 м</t>
  </si>
  <si>
    <t>EL00-03-03-2</t>
  </si>
  <si>
    <t>Устройство мачты молниезащиты от 10 м до 20 м</t>
  </si>
  <si>
    <t>EL00-03-03-3</t>
  </si>
  <si>
    <t>Устройство мачты молниезащиты от 20 м до 40 м</t>
  </si>
  <si>
    <t>EL00-03-03-4</t>
  </si>
  <si>
    <t>Устройство мачты молниезащиты от 40 м до 60 м</t>
  </si>
  <si>
    <t>EL00-03-03-5</t>
  </si>
  <si>
    <t>Устройство мачты молниезащиты от 60 м до 90 м</t>
  </si>
  <si>
    <t>EL00-08</t>
  </si>
  <si>
    <t>Монтаж кабеля надземной прокладки</t>
  </si>
  <si>
    <t>EL00-08-01</t>
  </si>
  <si>
    <t>Кабель СРЕДНЕГО напряжения, надземная прокладка</t>
  </si>
  <si>
    <t>EL00-08-01-10</t>
  </si>
  <si>
    <t>Монтаж кабеля СРЕДНЕГО напряжения, надземная прокладка, 1-жильный, сечением до 95 мм2</t>
  </si>
  <si>
    <t>EL00-08-01-25</t>
  </si>
  <si>
    <t>Монтаж кабеля СРЕДНЕГО напряжения, надземная прокладка, 1-жильный, сечением 120 мм2</t>
  </si>
  <si>
    <t>EL00-08-01-11</t>
  </si>
  <si>
    <t>Монтаж кабеля СРЕДНЕГО напряжения, надземная прокладка, 1-жильный, сечением 150 мм2</t>
  </si>
  <si>
    <t>EL00-08-01-12</t>
  </si>
  <si>
    <t>Монтаж кабеля СРЕДНЕГО напряжения, надземная прокладка, 1-жильный, сечением 240 мм2</t>
  </si>
  <si>
    <t>EL00-08-01-13</t>
  </si>
  <si>
    <t>Монтаж кабеля СРЕДНЕГО напряжения, надземная прокладка, 1-жильный, сечением 300 мм2</t>
  </si>
  <si>
    <t>EL00-08-01-14</t>
  </si>
  <si>
    <t>Монтаж кабеля СРЕДНЕГО напряжения, надземная прокладка, 1-жильный, сечением 400 мм2</t>
  </si>
  <si>
    <t>EL00-08-01-15</t>
  </si>
  <si>
    <t>Монтаж кабеля СРЕДНЕГО напряжения, надземная прокладка, 1-жильный, сечением 500 мм2</t>
  </si>
  <si>
    <t>EL00-08-01-16</t>
  </si>
  <si>
    <t>Монтаж кабеля СРЕДНЕГО напряжения, надземная прокладка, 1-жильный, сечением 630 мм2</t>
  </si>
  <si>
    <t>EL00-08-01-17</t>
  </si>
  <si>
    <t>Монтаж кабеля СРЕДНЕГО напряжения, надземная прокладка, 1-жильный, сечением 800 мм2</t>
  </si>
  <si>
    <t>EL00-08-01-18</t>
  </si>
  <si>
    <t>Монтаж кабеля СРЕДНЕГО напряжения, надземная прокладка, 1-жильный, сечением 1000 мм2</t>
  </si>
  <si>
    <t>EL00-08-01-26</t>
  </si>
  <si>
    <t>Монтаж кабеля СРЕДНЕГО напряжения, надземная прокладка, 3 жильный, сечением 35 мм2</t>
  </si>
  <si>
    <t>EL00-08-01-19</t>
  </si>
  <si>
    <t>Монтаж кабеля СРЕДНЕГО напряжения, надземная прокладка, 3 жильный, сечением 50 мм2</t>
  </si>
  <si>
    <t>EL00-08-01-20</t>
  </si>
  <si>
    <t>Монтаж кабеля СРЕДНЕГО напряжения, надземная прокладка, 3 жильный, сечением 95 мм2</t>
  </si>
  <si>
    <t>EL00-08-01-21</t>
  </si>
  <si>
    <t>Монтаж кабеля СРЕДНЕГО напряжения, надземная прокладка, 3 жильный, сечением 120 мм2</t>
  </si>
  <si>
    <t>EL00-08-01-22</t>
  </si>
  <si>
    <t>Монтаж кабеля СРЕДНЕГО напряжения, надземная прокладка, 3 жильный, сечением 150 мм2</t>
  </si>
  <si>
    <t>EL00-08-01-23</t>
  </si>
  <si>
    <t>Монтаж кабеля СРЕДНЕГО напряжения, надземная прокладка, 3 жильный, сечением 185 мм2</t>
  </si>
  <si>
    <t>EL00-08-01-24</t>
  </si>
  <si>
    <t>Монтаж кабеля СРЕДНЕГО напряжения, надземная прокладка, 3 жильный, сечением 240 мм2</t>
  </si>
  <si>
    <t>EL00-08-02</t>
  </si>
  <si>
    <t>Монтаж кабеля питания и управления НИЗКОГО напряжения, надземная прокладка</t>
  </si>
  <si>
    <t>EL00-08-02-10</t>
  </si>
  <si>
    <t>Монтаж кабеля НИЗКОГО напряжения, надземная прокладка, 1-жильный, сечением 2,5 мм2</t>
  </si>
  <si>
    <t>EL00-08-02-55</t>
  </si>
  <si>
    <t>Монтаж кабеля НИЗКОГО напряжения, надземная прокладка, 1-жильный, сечением 4 мм2</t>
  </si>
  <si>
    <t>EL00-08-02-56</t>
  </si>
  <si>
    <t>Монтаж кабеля НИЗКОГО напряжения, надземная прокладка, 1-жильный, сечением 6 мм2</t>
  </si>
  <si>
    <t>EL00-08-02-57</t>
  </si>
  <si>
    <t>Монтаж кабеля НИЗКОГО напряжения, надземная прокладка, 1-жильный, сечением 10 мм2</t>
  </si>
  <si>
    <t>EL00-08-02-58</t>
  </si>
  <si>
    <t>Монтаж кабеля НИЗКОГО напряжения, надземная прокладка, 1-жильный, сечением 16 мм2</t>
  </si>
  <si>
    <t>EL00-08-02-59</t>
  </si>
  <si>
    <t>Монтаж кабеля НИЗКОГО напряжения, надземная прокладка, 1-жильный, сечением 25 мм2</t>
  </si>
  <si>
    <t>EL00-08-02-11</t>
  </si>
  <si>
    <t>Монтаж кабеля НИЗКОГО напряжения, надземная прокладка, 1-жильный, сечением 35 мм2</t>
  </si>
  <si>
    <t>EL00-08-02-12</t>
  </si>
  <si>
    <t>Монтаж кабеля НИЗКОГО напряжения, надземная прокладка, 1-жильный, сечением 50 мм2</t>
  </si>
  <si>
    <t>EL00-08-02-13</t>
  </si>
  <si>
    <t>Монтаж кабеля НИЗКОГО напряжения, надземная прокладка, 1-жильный, сечением 70 мм2</t>
  </si>
  <si>
    <t>EL00-08-02-14</t>
  </si>
  <si>
    <t>Монтаж кабеля НИЗКОГО напряжения, надземная прокладка, 1-жильный, сечением 95 мм2</t>
  </si>
  <si>
    <t>EL00-08-02-15</t>
  </si>
  <si>
    <t>Монтаж кабеля НИЗКОГО напряжения, надземная прокладка, 1-жильный, сечением 240 мм2</t>
  </si>
  <si>
    <t>EL00-08-02-16</t>
  </si>
  <si>
    <t>Монтаж кабеля НИЗКОГО напряжения, надземная прокладка, 3-5 жильный, сечением 1,5 мм2</t>
  </si>
  <si>
    <t>EL00-08-02-17</t>
  </si>
  <si>
    <t>Монтаж кабеля НИЗКОГО напряжения, надземная прокладка, 3-5 жильный, сечением 2,5 мм2</t>
  </si>
  <si>
    <t>EL00-08-02-18</t>
  </si>
  <si>
    <t>Монтаж кабеля НИЗКОГО напряжения, надземная прокладка, 3-5 жильный, сечением 4 мм2</t>
  </si>
  <si>
    <t>EL00-08-02-19</t>
  </si>
  <si>
    <t>Монтаж кабеля НИЗКОГО напряжения, надземная прокладка, 3-5 жильный, сечением 6 мм2</t>
  </si>
  <si>
    <t>EL00-08-02-20</t>
  </si>
  <si>
    <t>Монтаж кабеля НИЗКОГО напряжения, надземная прокладка, 3 жильный, сечением 10 мм2</t>
  </si>
  <si>
    <t>EL00-08-02-21</t>
  </si>
  <si>
    <t>Монтаж кабеля НИЗКОГО напряжения, надземная прокладка, 3 жильный, сечением 16 мм2</t>
  </si>
  <si>
    <t>EL00-08-02-22</t>
  </si>
  <si>
    <t>Монтаж кабеля НИЗКОГО напряжения, надземная прокладка, 3 жильный, сечением 25 мм2</t>
  </si>
  <si>
    <t>EL00-08-02-23</t>
  </si>
  <si>
    <t>Монтаж кабеля НИЗКОГО напряжения, надземная прокладка, 3 жильный, сечением 35 мм2</t>
  </si>
  <si>
    <t>EL00-08-02-24</t>
  </si>
  <si>
    <t>Монтаж кабеля НИЗКОГО напряжения, надземная прокладка, 3 жильный, сечением 50 мм2</t>
  </si>
  <si>
    <t>EL00-08-02-25</t>
  </si>
  <si>
    <t>Монтаж кабеля НИЗКОГО напряжения, надземная прокладка, 3 жильный, сечением 70 мм2</t>
  </si>
  <si>
    <t>EL00-08-02-26</t>
  </si>
  <si>
    <t>Монтаж кабеля НИЗКОГО напряжения, надземная прокладка, 3 жильный, сечением 95 мм2</t>
  </si>
  <si>
    <t>EL00-08-02-27</t>
  </si>
  <si>
    <t>Монтаж кабеля НИЗКОГО напряжения, надземная прокладка, 3 жильный, сечением 120 мм2</t>
  </si>
  <si>
    <t>EL00-08-02-28</t>
  </si>
  <si>
    <t>Монтаж кабеля НИЗКОГО напряжения, надземная прокладка, 3 жильный, сечением 150 мм2</t>
  </si>
  <si>
    <t>EL00-08-02-29</t>
  </si>
  <si>
    <t>Монтаж кабеля НИЗКОГО напряжения, надземная прокладка, 3 жильный, сечением 185 мм2</t>
  </si>
  <si>
    <t>EL00-08-02-30</t>
  </si>
  <si>
    <t>Монтаж кабеля НИЗКОГО напряжения, надземная прокладка, 3 жильный, сечением 240 мм2</t>
  </si>
  <si>
    <t>EL00-08-02-31</t>
  </si>
  <si>
    <t>Монтаж кабеля НИЗКОГО напряжения, надземная прокладка, 4 жильный, сечением 10 мм2</t>
  </si>
  <si>
    <t>EL00-08-02-32</t>
  </si>
  <si>
    <t>Монтаж кабеля НИЗКОГО напряжения, надземная прокладка, 4 жильный, сечением 16 мм2</t>
  </si>
  <si>
    <t>EL00-08-02-33</t>
  </si>
  <si>
    <t>Монтаж кабеля НИЗКОГО напряжения, надземная прокладка, 4 жильный, сечением 25 мм2</t>
  </si>
  <si>
    <t>EL00-08-02-34</t>
  </si>
  <si>
    <t>Монтаж кабеля НИЗКОГО напряжения, надземная прокладка, 4 жильный, сечением 35 мм2</t>
  </si>
  <si>
    <t>EL00-08-02-35</t>
  </si>
  <si>
    <t>Монтаж кабеля НИЗКОГО напряжения, надземная прокладка, 4 жильный, сечением 50 мм2</t>
  </si>
  <si>
    <t>EL00-08-02-36</t>
  </si>
  <si>
    <t>Монтаж кабеля НИЗКОГО напряжения, надземная прокладка, 4 жильный, сечением 70 мм2</t>
  </si>
  <si>
    <t>EL00-08-02-37</t>
  </si>
  <si>
    <t>Монтаж кабеля НИЗКОГО напряжения, надземная прокладка, 4 жильный, сечением 95 мм2</t>
  </si>
  <si>
    <t>EL00-08-02-38</t>
  </si>
  <si>
    <t>Монтаж кабеля НИЗКОГО напряжения, надземная прокладка, 4 жильный, сечением 120 мм2</t>
  </si>
  <si>
    <t>EL00-08-02-39</t>
  </si>
  <si>
    <t>Монтаж кабеля НИЗКОГО напряжения, надземная прокладка, 4 жильный, сечением 150 мм2</t>
  </si>
  <si>
    <t>EL00-08-02-40</t>
  </si>
  <si>
    <t>Монтаж кабеля НИЗКОГО напряжения, надземная прокладка, 4 жильный, сечением 185 мм2</t>
  </si>
  <si>
    <t>EL00-08-02-41</t>
  </si>
  <si>
    <t>Монтаж кабеля НИЗКОГО напряжения, надземная прокладка, 4 жильный, сечением 240 мм2</t>
  </si>
  <si>
    <t>EL00-08-02-42</t>
  </si>
  <si>
    <t>Монтаж кабеля НИЗКОГО напряжения, надземная прокладка, 5 жильный, сечением 10 мм2</t>
  </si>
  <si>
    <t>EL00-08-02-43</t>
  </si>
  <si>
    <t>Монтаж кабеля НИЗКОГО напряжения, надземная прокладка, 5 жильный, сечением 16 мм2</t>
  </si>
  <si>
    <t>EL00-08-02-44</t>
  </si>
  <si>
    <t>Монтаж кабеля НИЗКОГО напряжения, надземная прокладка, 5 жильный, сечением 25 мм2</t>
  </si>
  <si>
    <t>EL00-08-02-45</t>
  </si>
  <si>
    <t>Монтаж кабеля НИЗКОГО напряжения, надземная прокладка, 5 жильный, сечением 35 мм2</t>
  </si>
  <si>
    <t>EL00-08-02-46</t>
  </si>
  <si>
    <t>Монтаж кабеля НИЗКОГО напряжения, надземная прокладка, 5 жильный, сечением 50 мм2</t>
  </si>
  <si>
    <t>EL00-08-02-47</t>
  </si>
  <si>
    <t>Монтаж кабеля НИЗКОГО напряжения, надземная прокладка, 5 жильный, сечением 70 мм2</t>
  </si>
  <si>
    <t>EL00-08-02-48</t>
  </si>
  <si>
    <t>Монтаж кабеля НИЗКОГО напряжения, надземная прокладка, 5 жильный, сечением 95 мм2</t>
  </si>
  <si>
    <t>EL00-08-02-49</t>
  </si>
  <si>
    <t>Монтаж кабеля НИЗКОГО напряжения, надземная прокладка, 5 жильный, сечением 120 мм2</t>
  </si>
  <si>
    <t>EL00-08-02-50</t>
  </si>
  <si>
    <t>Монтаж кабеля НИЗКОГО напряжения, надземная прокладка, 5 жильный, сечением 150 мм2</t>
  </si>
  <si>
    <t>EL00-08-02-51</t>
  </si>
  <si>
    <t>Монтаж кабеля НИЗКОГО напряжения, надземная прокладка, 5 жильный, сечением 185 мм2</t>
  </si>
  <si>
    <t>EL00-08-02-52</t>
  </si>
  <si>
    <t>Монтаж кабеля НИЗКОГО напряжения, надземная прокладка, 5 жильный, сечением 240 мм2</t>
  </si>
  <si>
    <t>EL00-08-02-53</t>
  </si>
  <si>
    <t>Монтаж кабеля НИЗКОГО напряжения, надземная прокладка, 7 жильный, сечением 1,5 мм2</t>
  </si>
  <si>
    <t>EL00-08-02-54</t>
  </si>
  <si>
    <t>Монтаж кабеля НИЗКОГО напряжения, надземная прокладка, 7 жильный, сечением 2,5 мм2</t>
  </si>
  <si>
    <t>EL00-09</t>
  </si>
  <si>
    <t>Работы по подключению кабелей</t>
  </si>
  <si>
    <t>EL00-09-01</t>
  </si>
  <si>
    <t>Подключение кабеля, СРЕДНЕГО напряжения от 1 кВ до 35 кВ, небронированный</t>
  </si>
  <si>
    <t>EL00-09-01-1</t>
  </si>
  <si>
    <t>Устройство концевой кабельной муфты/заделки/оконцевание жил кабеля/подключение кабеля СРЕДНЕГО напряжения от 1 кВ до 35 кВ, 1-жильный, сечением 150 мм2</t>
  </si>
  <si>
    <t>EL00-09-01-2</t>
  </si>
  <si>
    <t>Устройство концевой кабельной муфты/заделки/оконцевание жил кабеля/подключение кабеля СРЕДНЕГО напряжения от 1 кВ до 35 кВ, 1-жильный, сечением 240 мм2</t>
  </si>
  <si>
    <t>EL00-09-01-3</t>
  </si>
  <si>
    <t>Устройство концевой кабельной муфты/заделки/оконцевание жил кабеля/подключение кабеля СРЕДНЕГО напряжения от 1 кВ до 35 кВ, 1-жильный, сечением 630 мм2</t>
  </si>
  <si>
    <t>EL00-09-01-6</t>
  </si>
  <si>
    <t>Устройство концевой кабельной муфты/заделки/оконцевание жил кабеля/подключение кабеля СРЕДНЕГО напряжения от 1 кВ до 35 кВ, 3 жильный, сечением 120 мм2</t>
  </si>
  <si>
    <t>EL00-09-01-7</t>
  </si>
  <si>
    <t>Устройство концевой кабельной муфты/заделки/оконцевание жил кабеля/подключение кабеля СРЕДНЕГО напряжения от 1 кВ до 35 кВ, 3 жильный, сечением 185 мм2</t>
  </si>
  <si>
    <t>EL00-09-01-8</t>
  </si>
  <si>
    <t>Устройство концевой кабельной муфты/заделки/оконцевание жил кабеля/подключение кабеля СРЕДНЕГО напряжения от 1 кВ до 35 кВ, 3 жильный, сечением 240 мм2</t>
  </si>
  <si>
    <t>EL00-09-01-11</t>
  </si>
  <si>
    <t>Устройство концевой кабельной муфты/заделки/оконцевание жил кабеля/подключение кабеля СРЕДНЕГО напряжения от 1 кВ до 35 кВ, 1-жильный, сечением до 95 мм2</t>
  </si>
  <si>
    <t>EL00-09-01-12</t>
  </si>
  <si>
    <t>Устройство концевой кабельной муфты/заделки/оконцевание жил кабеля/подключение кабеля СРЕДНЕГО напряжения от 1 кВ до 35 кВ, 1-жильный, сечением 300 мм2</t>
  </si>
  <si>
    <t>EL00-09-01-13</t>
  </si>
  <si>
    <t>Устройство концевой кабельной муфты/заделки/оконцевание жил кабеля/подключение кабеля СРЕДНЕГО напряжения от 1 кВ до 35 кВ, 1-жильный, сечением 400 мм2</t>
  </si>
  <si>
    <t>EL00-09-01-14</t>
  </si>
  <si>
    <t>Устройство концевой кабельной муфты/заделки/оконцевание жил кабеля/подключение кабеля СРЕДНЕГО напряжения от 1 кВ до 35 кВ, 1-жильный, сечением 500 мм2</t>
  </si>
  <si>
    <t>EL00-09-01-15</t>
  </si>
  <si>
    <t>Устройство концевой кабельной муфты/заделки/оконцевание жил кабеля/подключение кабеля СРЕДНЕГО напряжения от 1 кВ до 35 кВ, 1-жильный, сечением 800 мм2</t>
  </si>
  <si>
    <t>EL00-09-01-16</t>
  </si>
  <si>
    <t>Устройство концевой кабельной муфты/заделки/оконцевание жил кабеля/подключение кабеля СРЕДНЕГО напряжения от 1 кВ до 35 кВ, 1-жильный, сечением 1000 мм2</t>
  </si>
  <si>
    <t>EL00-09-01-21</t>
  </si>
  <si>
    <t>Устройство концевой кабельной муфты/заделки/оконцевание жил кабеля/подключение кабеля СРЕДНЕГО напряжения от 1 кВ до 35 кВ, 3 жильный, сечением 35 мм2</t>
  </si>
  <si>
    <t>EL00-09-01-17</t>
  </si>
  <si>
    <t>Устройство концевой кабельной муфты/заделки/оконцевание жил кабеля/подключение кабеля СРЕДНЕГО напряжения от 1 кВ до 35 кВ, 3 жильный, сечением 50 мм2</t>
  </si>
  <si>
    <t>EL00-09-01-18</t>
  </si>
  <si>
    <t>Устройство концевой кабельной муфты/заделки/оконцевание жил кабеля/подключение кабеля СРЕДНЕГО напряжения от 1 кВ до 35 кВ, 3 жильный, сечением 95 мм2</t>
  </si>
  <si>
    <t>EL00-09-01-19</t>
  </si>
  <si>
    <t>Устройство концевой кабельной муфты/заделки/оконцевание жил кабеля/подключение кабеля СРЕДНЕГО напряжения от 1 кВ до 35 кВ, 3 жильный, сечением 150 мм2</t>
  </si>
  <si>
    <t>EL00-09-01-20</t>
  </si>
  <si>
    <t>Устройство концевой кабельной муфты/заделки/оконцевание жил кабеля/подключение кабеля СРЕДНЕГО напряжения от 1 кВ до 35 кВ, 1-жильный, сечением 120 мм2</t>
  </si>
  <si>
    <t>EL00-09-02</t>
  </si>
  <si>
    <t>Подключение кабеля, НИЗКОГО напряжения до 1 кВ, небронированный</t>
  </si>
  <si>
    <t>EL00-09-02-13</t>
  </si>
  <si>
    <t>Устройство концевой кабельной муфты/заделки/оконцевание жил кабеля/подключение кабеля НИЗКОГО напряжения до 1 кВ, 1-жильный, сечением 2,5 мм2</t>
  </si>
  <si>
    <t>EL00-09-02-58</t>
  </si>
  <si>
    <t>Устройство концевой кабельной муфты/заделки/оконцевание жил кабеля/подключение кабеля НИЗКОГО напряжения до 1 кВ, 1-жильный, сечением 4 мм2</t>
  </si>
  <si>
    <t>EL00-09-02-59</t>
  </si>
  <si>
    <t>Устройство концевой кабельной муфты/заделки/оконцевание жил кабеля/подключение кабеля НИЗКОГО напряжения до 1 кВ, 1-жильный, сечением 6 мм2</t>
  </si>
  <si>
    <t>EL00-09-02-60</t>
  </si>
  <si>
    <t>Устройство концевой кабельной муфты/заделки/оконцевание жил кабеля/подключение кабеля НИЗКОГО напряжения до 1 кВ, 1-жильный, сечением10 мм2</t>
  </si>
  <si>
    <t>EL00-09-02-61</t>
  </si>
  <si>
    <t>Устройство концевой кабельной муфты/заделки/оконцевание жил кабеля/подключение кабеля НИЗКОГО напряжения до 1 кВ, 1-жильный, сечением 16 мм2</t>
  </si>
  <si>
    <t>EL00-09-02-62</t>
  </si>
  <si>
    <t>Устройство концевой кабельной муфты/заделки/оконцевание жил кабеля/подключение кабеля НИЗКОГО напряжения до 1 кВ, 1-жильный, сечением 25 мм2</t>
  </si>
  <si>
    <t>EL00-09-02-14</t>
  </si>
  <si>
    <t>Устройство концевой кабельной муфты/заделки/оконцевание жил кабеля/подключение кабеля НИЗКОГО напряжения до 1 кВ, 1-жильный, сечением 35 мм2</t>
  </si>
  <si>
    <t>EL00-09-02-15</t>
  </si>
  <si>
    <t>Устройство концевой кабельной муфты/заделки/оконцевание жил кабеля/подключение кабеля НИЗКОГО напряжения до 1 кВ, 1-жильный, сечением 50 мм2</t>
  </si>
  <si>
    <t>EL00-09-02-16</t>
  </si>
  <si>
    <t>Устройство концевой кабельной муфты/заделки/оконцевание жил кабеля/подключение кабеля НИЗКОГО напряжения до 1 кВ, 1-жильный, сечением 70 мм2</t>
  </si>
  <si>
    <t>EL00-09-02-17</t>
  </si>
  <si>
    <t>Устройство концевой кабельной муфты/заделки/оконцевание жил кабеля/подключение кабеля НИЗКОГО напряжения до 1 кВ, 1-жильный, сечением 95 мм2</t>
  </si>
  <si>
    <t>EL00-09-02-18</t>
  </si>
  <si>
    <t>Устройство концевой кабельной муфты/заделки/оконцевание жил кабеля/подключение кабеля НИЗКОГО напряжения до 1 кВ, 1-жильный, сечением 240 мм2</t>
  </si>
  <si>
    <t>EL00-09-02-19</t>
  </si>
  <si>
    <t>Устройство концевой кабельной муфты/заделки/оконцевание жил кабеля/подключение кабеля НИЗКОГО напряжения до 1 кВ, 3-5 жильный, сечением 1,5 мм2</t>
  </si>
  <si>
    <t>EL00-09-02-20</t>
  </si>
  <si>
    <t>Устройство концевой кабельной муфты/заделки/оконцевание жил кабеля/подключение кабеля НИЗКОГО напряжения до 1 кВ, 3-5 жильный, сечением 2,5 мм2</t>
  </si>
  <si>
    <t>EL00-09-02-21</t>
  </si>
  <si>
    <t>Устройство концевой кабельной муфты/заделки/оконцевание жил кабеля/подключение кабеля НИЗКОГО напряжения до 1 кВ, 3-5 жильный, сечением 4 мм2</t>
  </si>
  <si>
    <t>EL00-09-02-22</t>
  </si>
  <si>
    <t>Устройство концевой кабельной муфты/заделки/оконцевание жил кабеля/подключение кабеля НИЗКОГО напряжения до 1 кВ, 3-5 жильный, сечением 6 мм2</t>
  </si>
  <si>
    <t>EL00-09-02-23</t>
  </si>
  <si>
    <t>Устройство концевой кабельной муфты/заделки/оконцевание жил кабеля/подключение кабеля НИЗКОГО напряжения до 1 кВ, 3 жильный, сечением 10 мм2</t>
  </si>
  <si>
    <t>EL00-09-02-24</t>
  </si>
  <si>
    <t>Устройство концевой кабельной муфты/заделки/оконцевание жил кабеля/подключение кабеля НИЗКОГО напряжения до 1 кВ, 3 жильный, сечением 16 мм2</t>
  </si>
  <si>
    <t>EL00-09-02-25</t>
  </si>
  <si>
    <t>Устройство концевой кабельной муфты/заделки/оконцевание жил кабеля/подключение кабеля НИЗКОГО напряжения до 1 кВ, 3 жильный, сечением 25 мм2</t>
  </si>
  <si>
    <t>EL00-09-02-26</t>
  </si>
  <si>
    <t>Устройство концевой кабельной муфты/заделки/оконцевание жил кабеля/подключение кабеля НИЗКОГО напряжения до 1 кВ, 3 жильный, сечением 35 мм2</t>
  </si>
  <si>
    <t>EL00-09-02-27</t>
  </si>
  <si>
    <t>Устройство концевой кабельной муфты/заделки/оконцевание жил кабеля/подключение кабеля НИЗКОГО напряжения до 1 кВ, 3 жильный, сечением 50 мм2</t>
  </si>
  <si>
    <t>EL00-09-02-28</t>
  </si>
  <si>
    <t>Устройство концевой кабельной муфты/заделки/оконцевание жил кабеля/подключение кабеля НИЗКОГО напряжения до 1 кВ, 3 жильный, сечением 70 мм2</t>
  </si>
  <si>
    <t>EL00-09-02-29</t>
  </si>
  <si>
    <t>Устройство концевой кабельной муфты/заделки/оконцевание жил кабеля/подключение кабеля НИЗКОГО напряжения до 1 кВ, 3 жильный, сечением 95 мм2</t>
  </si>
  <si>
    <t>EL00-09-02-30</t>
  </si>
  <si>
    <t>Устройство концевой кабельной муфты/заделки/оконцевание жил кабеля/подключение кабеля НИЗКОГО напряжения до 1 кВ, 3 жильный, сечением 120 мм2</t>
  </si>
  <si>
    <t>EL00-09-02-31</t>
  </si>
  <si>
    <t>Устройство концевой кабельной муфты/заделки/оконцевание жил кабеля/подключение кабеля НИЗКОГО напряжения до 1 кВ, 3 жильный, сечением 150 мм2</t>
  </si>
  <si>
    <t>EL00-09-02-32</t>
  </si>
  <si>
    <t>Устройство концевой кабельной муфты/заделки/оконцевание жил кабеля/подключение кабеля НИЗКОГО напряжения до 1 кВ, 3 жильный, сечением 185 мм2</t>
  </si>
  <si>
    <t>EL00-09-02-33</t>
  </si>
  <si>
    <t>Устройство концевой кабельной муфты/заделки/оконцевание жил кабеля/подключение кабеля НИЗКОГО напряжения до 1 кВ, 3 жильный, сечением 240 мм2</t>
  </si>
  <si>
    <t>EL00-09-02-34</t>
  </si>
  <si>
    <t>Устройство концевой кабельной муфты/заделки/оконцевание жил кабеля/подключение кабеля НИЗКОГО напряжения до 1 кВ, 4 жильный, сечением 10 мм2</t>
  </si>
  <si>
    <t>EL00-09-02-35</t>
  </si>
  <si>
    <t>Устройство концевой кабельной муфты/заделки/оконцевание жил кабеля/подключение кабеля НИЗКОГО напряжения до 1 кВ, 4 жильный, сечением 16 мм2</t>
  </si>
  <si>
    <t>EL00-09-02-36</t>
  </si>
  <si>
    <t>Устройство концевой кабельной муфты/заделки/оконцевание жил кабеля/подключение кабеля НИЗКОГО напряжения до 1 кВ, 4 жильный, сечением 25 мм2</t>
  </si>
  <si>
    <t>EL00-09-02-37</t>
  </si>
  <si>
    <t>Устройство концевой кабельной муфты/заделки/оконцевание жил кабеля/подключение кабеля НИЗКОГО напряжения до 1 кВ, 4 жильный, сечением 35 мм2</t>
  </si>
  <si>
    <t>EL00-09-02-38</t>
  </si>
  <si>
    <t>Устройство концевой кабельной муфты/заделки/оконцевание жил кабеля/подключение кабеля НИЗКОГО напряжения до 1 кВ, 4 жильный, сечением 50 мм2</t>
  </si>
  <si>
    <t>EL00-09-02-39</t>
  </si>
  <si>
    <t>Устройство концевой кабельной муфты/заделки/оконцевание жил кабеля/подключение кабеля НИЗКОГО напряжения до 1 кВ, 4 жильный, сечением 70 мм2</t>
  </si>
  <si>
    <t>EL00-09-02-40</t>
  </si>
  <si>
    <t>Устройство концевой кабельной муфты/заделки/оконцевание жил кабеля/подключение кабеля НИЗКОГО напряжения до 1 кВ, 4 жильный, сечением 95 мм2</t>
  </si>
  <si>
    <t>EL00-09-02-41</t>
  </si>
  <si>
    <t>Устройство концевой кабельной муфты/заделки/оконцевание жил кабеля/подключение кабеля НИЗКОГО напряжения до 1 кВ, 4 жильный, сечением 120 мм2</t>
  </si>
  <si>
    <t>EL00-09-02-42</t>
  </si>
  <si>
    <t>Устройство концевой кабельной муфты/заделки/оконцевание жил кабеля/подключение кабеля НИЗКОГО напряжения до 1 кВ, 4 жильный, сечением 150 мм2</t>
  </si>
  <si>
    <t>EL00-09-02-43</t>
  </si>
  <si>
    <t>Устройство концевой кабельной муфты/заделки/оконцевание жил кабеля/подключение кабеля НИЗКОГО напряжения до 1 кВ, 4 жильный, сечением 185 мм2</t>
  </si>
  <si>
    <t>EL00-09-02-44</t>
  </si>
  <si>
    <t>Устройство концевой кабельной муфты/заделки/оконцевание жил кабеля/подключение кабеля НИЗКОГО напряжения до 1 кВ, 4 жильный, сечением 240 мм2</t>
  </si>
  <si>
    <t>EL00-09-02-45</t>
  </si>
  <si>
    <t>Устройство концевой кабельной муфты/заделки/оконцевание жил кабеля/подключение кабеля НИЗКОГО напряжения до 1 кВ, 5 жильный, сечением 10 мм2</t>
  </si>
  <si>
    <t>EL00-09-02-46</t>
  </si>
  <si>
    <t>Устройство концевой кабельной муфты/заделки/оконцевание жил кабеля/подключение кабеля НИЗКОГО напряжения до 1 кВ, 5 жильный, сечением 16 мм2</t>
  </si>
  <si>
    <t>EL00-09-02-47</t>
  </si>
  <si>
    <t>Устройство концевой кабельной муфты/заделки/оконцевание жил кабеля/подключение кабеля НИЗКОГО напряжения до 1 кВ, 5 жильный, сечением 25 мм2</t>
  </si>
  <si>
    <t>EL00-09-02-48</t>
  </si>
  <si>
    <t>Устройство концевой кабельной муфты/заделки/оконцевание жил кабеля/подключение кабеля НИЗКОГО напряжения до 1 кВ, 5 жильный, сечением 35 мм2</t>
  </si>
  <si>
    <t>EL00-09-02-49</t>
  </si>
  <si>
    <t>Устройство концевой кабельной муфты/заделки/оконцевание жил кабеля/подключение кабеля НИЗКОГО напряжения до 1 кВ, 5 жильный, сечением 50 мм2</t>
  </si>
  <si>
    <t>EL00-09-02-50</t>
  </si>
  <si>
    <t>Устройство концевой кабельной муфты/заделки/оконцевание жил кабеля/подключение кабеля НИЗКОГО напряжения до 1 кВ, 5 жильный, сечением 70 мм2</t>
  </si>
  <si>
    <t>EL00-09-02-51</t>
  </si>
  <si>
    <t>Устройство концевой кабельной муфты/заделки/оконцевание жил кабеля/подключение кабеля НИЗКОГО напряжения до 1 кВ, 5 жильный, сечением 95 мм2</t>
  </si>
  <si>
    <t>EL00-09-02-52</t>
  </si>
  <si>
    <t>Устройство концевой кабельной муфты/заделки/оконцевание жил кабеля/подключение кабеля НИЗКОГО напряжения до 1 кВ, 5 жильный, сечением 120 мм2</t>
  </si>
  <si>
    <t>EL00-09-02-53</t>
  </si>
  <si>
    <t>Устройство концевой кабельной муфты/заделки/оконцевание жил кабеля/подключение кабеля НИЗКОГО напряжения до 1 кВ, 5 жильный, сечением 150 мм2</t>
  </si>
  <si>
    <t>EL00-09-02-54</t>
  </si>
  <si>
    <t>Устройство концевой кабельной муфты/заделки/оконцевание жил кабеля/подключение кабеля НИЗКОГО напряжения до 1 кВ, 5 жильный, сечением 185 мм2</t>
  </si>
  <si>
    <t>EL00-09-02-55</t>
  </si>
  <si>
    <t>Устройство концевой кабельной муфты/заделки/оконцевание жил кабеля/подключение кабеля НИЗКОГО напряжения до 1 кВ, 5 жильный, сечением 240 мм2</t>
  </si>
  <si>
    <t>EL00-09-02-56</t>
  </si>
  <si>
    <t>Устройство концевой кабельной муфты/заделки/оконцевание жил кабеля/подключение кабеля НИЗКОГО напряжения до 1 кВ, 7 жильный, сечением 1,5 мм2</t>
  </si>
  <si>
    <t>EL00-09-02-57</t>
  </si>
  <si>
    <t>Устройство концевой кабельной муфты/заделки/оконцевание жил кабеля/подключение кабеля НИЗКОГО напряжения до 1 кВ, 7 жильный, сечением 2,5 мм2</t>
  </si>
  <si>
    <t>EL00-09-04</t>
  </si>
  <si>
    <t>Подключение кабеля, медного НИЗКОГО напряжения до 1 кВ, бронированный</t>
  </si>
  <si>
    <t>EL00-09-04-1</t>
  </si>
  <si>
    <t>Устройство концевой кабельной муфты/заделки/оконцевание жил кабеля/подключение кабеля НИЗКОГО напряжения до 1 кВ, 1-жильный, сечением 2,5 мм2, бронированный</t>
  </si>
  <si>
    <t>EL00-09-04-46</t>
  </si>
  <si>
    <t>Устройство концевой кабельной муфты/заделки/оконцевание жил кабеля/подключение кабеля НИЗКОГО напряжения до 1 кВ, 1-жильный, сечением 4 мм2, бронированный</t>
  </si>
  <si>
    <t>EL00-09-04-47</t>
  </si>
  <si>
    <t>Устройство концевой кабельной муфты/заделки/оконцевание жил кабеля/подключение кабеля НИЗКОГО напряжения до 1 кВ, 1-жильный, сечением 6 мм2, бронированный</t>
  </si>
  <si>
    <t>EL00-09-04-48</t>
  </si>
  <si>
    <t>Устройство концевой кабельной муфты/заделки/оконцевание жил кабеля/подключение кабеля НИЗКОГО напряжения до 1 кВ, 1-жильный, сечением 10 мм2, бронированный</t>
  </si>
  <si>
    <t>EL00-09-04-49</t>
  </si>
  <si>
    <t>Устройство концевой кабельной муфты/заделки/оконцевание жил кабеля/подключение кабеля НИЗКОГО напряжения до 1 кВ, 1-жильный, сечением 16 мм2, бронированный</t>
  </si>
  <si>
    <t>EL00-09-04-50</t>
  </si>
  <si>
    <t>Устройство концевой кабельной муфты/заделки/оконцевание жил кабеля/подключение кабеля НИЗКОГО напряжения до 1 кВ, 1-жильный, сечением 25 мм2, бронированный</t>
  </si>
  <si>
    <t>EL00-09-04-2</t>
  </si>
  <si>
    <t>Устройство концевой кабельной муфты/заделки/оконцевание жил кабеля/подключение кабеля НИЗКОГО напряжения до 1 кВ, 1-жильный, сечением 35 мм2, бронированный</t>
  </si>
  <si>
    <t>EL00-09-04-3</t>
  </si>
  <si>
    <t>Устройство концевой кабельной муфты/заделки/оконцевание жил кабеля/подключение кабеля НИЗКОГО напряжения до 1 кВ, 1-жильный, сечением 50 мм2, бронированный</t>
  </si>
  <si>
    <t>EL00-09-04-4</t>
  </si>
  <si>
    <t>Устройство концевой кабельной муфты/заделки/оконцевание жил кабеля/подключение кабеля НИЗКОГО напряжения до 1 кВ, 1-жильный, сечением 70 мм2, бронированный</t>
  </si>
  <si>
    <t>EL00-09-04-5</t>
  </si>
  <si>
    <t>Устройство концевой кабельной муфты/заделки/оконцевание жил кабеля/подключение кабеля НИЗКОГО напряжения до 1 кВ, 1-жильный, сечением 95 мм2, бронированный</t>
  </si>
  <si>
    <t>EL00-09-04-6</t>
  </si>
  <si>
    <t>Устройство концевой кабельной муфты/заделки/оконцевание жил кабеля/подключение кабеля НИЗКОГО напряжения до 1 кВ, 1-жильный, сечением 240 мм2, бронированный</t>
  </si>
  <si>
    <t>EL00-09-04-7</t>
  </si>
  <si>
    <t>Устройство концевой кабельной муфты/заделки/оконцевание жил кабеля/подключение кабеля НИЗКОГО напряжения до 1 кВ, 3-5 жильный, сечением 1,5 мм2, бронированный</t>
  </si>
  <si>
    <t>EL00-09-04-8</t>
  </si>
  <si>
    <t>Устройство концевой кабельной муфты/заделки/оконцевание жил кабеля/подключение кабеля НИЗКОГО напряжения до 1 кВ, 3-5 жильный, сечением 2,5 мм2, бронированный</t>
  </si>
  <si>
    <t>EL00-09-04-9</t>
  </si>
  <si>
    <t>Устройство концевой кабельной муфты/заделки/оконцевание жил кабеля/подключение кабеля НИЗКОГО напряжения до 1 кВ, 3-5 жильный, сечением 4 мм2, бронированный</t>
  </si>
  <si>
    <t>EL00-09-04-10</t>
  </si>
  <si>
    <t>Устройство концевой кабельной муфты/заделки/оконцевание жил кабеля/подключение кабеля НИЗКОГО напряжения до 1 кВ, 3-5 жильный, сечением 6 мм2, бронированный</t>
  </si>
  <si>
    <t>EL00-09-04-11</t>
  </si>
  <si>
    <t>Устройство концевой кабельной муфты/заделки/оконцевание жил кабеля/подключение кабеля НИЗКОГО напряжения до 1 кВ, 3 жильный, сечением 10 мм2, бронированный</t>
  </si>
  <si>
    <t>EL00-09-04-12</t>
  </si>
  <si>
    <t>Устройство концевой кабельной муфты/заделки/оконцевание жил кабеля/подключение кабеля НИЗКОГО напряжения до 1 кВ, 3 жильный, сечением 16 мм2, бронированный</t>
  </si>
  <si>
    <t>EL00-09-04-13</t>
  </si>
  <si>
    <t>Устройство концевой кабельной муфты/заделки/оконцевание жил кабеля/подключение кабеля НИЗКОГО напряжения до 1 кВ, 3 жильный, сечением 25 мм2, бронированный</t>
  </si>
  <si>
    <t>EL00-09-04-14</t>
  </si>
  <si>
    <t>Устройство концевой кабельной муфты/заделки/оконцевание жил кабеля/подключение кабеля НИЗКОГО напряжения до 1 кВ, 3 жильный, сечением 35 мм2, бронированный</t>
  </si>
  <si>
    <t>EL00-09-04-15</t>
  </si>
  <si>
    <t>Устройство концевой кабельной муфты/заделки/оконцевание жил кабеля/подключение кабеля НИЗКОГО напряжения до 1 кВ, 3 жильный, сечением 50 мм2, бронированный</t>
  </si>
  <si>
    <t>EL00-09-04-16</t>
  </si>
  <si>
    <t>Устройство концевой кабельной муфты/заделки/оконцевание жил кабеля/подключение кабеля НИЗКОГО напряжения до 1 кВ, 3 жильный, сечением 70 мм2, бронированный</t>
  </si>
  <si>
    <t>EL00-09-04-17</t>
  </si>
  <si>
    <t>Устройство концевой кабельной муфты/заделки/оконцевание жил кабеля/подключение кабеля НИЗКОГО напряжения до 1 кВ, 3 жильный, сечением 95 мм2, бронированный</t>
  </si>
  <si>
    <t>EL00-09-04-18</t>
  </si>
  <si>
    <t>Устройство концевой кабельной муфты/заделки/оконцевание жил кабеля/подключение кабеля НИЗКОГО напряжения до 1 кВ, 3 жильный, сечением 120 мм2, бронированный</t>
  </si>
  <si>
    <t>EL00-09-04-19</t>
  </si>
  <si>
    <t>Устройство концевой кабельной муфты/заделки/оконцевание жил кабеля/подключение кабеля НИЗКОГО напряжения до 1 кВ, 3 жильный, сечением 150 мм2, бронированный</t>
  </si>
  <si>
    <t>EL00-09-04-20</t>
  </si>
  <si>
    <t>Устройство концевой кабельной муфты/заделки/оконцевание жил кабеля/подключение кабеля НИЗКОГО напряжения до 1 кВ, 3 жильный, сечением 185 мм2, бронированный</t>
  </si>
  <si>
    <t>EL00-09-04-21</t>
  </si>
  <si>
    <t>Устройство концевой кабельной муфты/заделки/оконцевание жил кабеля/подключение кабеля НИЗКОГО напряжения до 1 кВ, 3 жильный, сечением 240 мм2, бронированный</t>
  </si>
  <si>
    <t>EL00-09-04-22</t>
  </si>
  <si>
    <t>Устройство концевой кабельной муфты/заделки/оконцевание жил кабеля/подключение кабеля НИЗКОГО напряжения до 1 кВ, 4 жильный, сечением 10 мм2, бронированный</t>
  </si>
  <si>
    <t>EL00-09-04-23</t>
  </si>
  <si>
    <t>Устройство концевой кабельной муфты/заделки/оконцевание жил кабеля/подключение кабеля НИЗКОГО напряжения до 1 кВ, 4 жильный, сечением 16 мм2, бронированный</t>
  </si>
  <si>
    <t>EL00-09-04-24</t>
  </si>
  <si>
    <t>Устройство концевой кабельной муфты/заделки/оконцевание жил кабеля/подключение кабеля НИЗКОГО напряжения до 1 кВ, 4 жильный, сечением 25 мм2, бронированный</t>
  </si>
  <si>
    <t>EL00-09-04-25</t>
  </si>
  <si>
    <t>Устройство концевой кабельной муфты/заделки/оконцевание жил кабеля/подключение кабеля НИЗКОГО напряжения до 1 кВ, 4 жильный, сечением 35 мм2, бронированный</t>
  </si>
  <si>
    <t>EL00-09-04-26</t>
  </si>
  <si>
    <t>Устройство концевой кабельной муфты/заделки/оконцевание жил кабеля/подключение кабеля НИЗКОГО напряжения до 1 кВ, 4 жильный, сечением 50 мм2, бронированный</t>
  </si>
  <si>
    <t>EL00-09-04-27</t>
  </si>
  <si>
    <t>Устройство концевой кабельной муфты/заделки/оконцевание жил кабеля/подключение кабеля НИЗКОГО напряжения до 1 кВ, 4 жильный, сечением 70 мм2, бронированный</t>
  </si>
  <si>
    <t>EL00-09-04-28</t>
  </si>
  <si>
    <t>Устройство концевой кабельной муфты/заделки/оконцевание жил кабеля/подключение кабеля НИЗКОГО напряжения до 1 кВ, 4 жильный, сечением 95 мм2, бронированный</t>
  </si>
  <si>
    <t>EL00-09-04-29</t>
  </si>
  <si>
    <t>Устройство концевой кабельной муфты/заделки/оконцевание жил кабеля/подключение кабеля НИЗКОГО напряжения до 1 кВ, 4 жильный, сечением 120 мм2, бронированный</t>
  </si>
  <si>
    <t>EL00-09-04-30</t>
  </si>
  <si>
    <t>Устройство концевой кабельной муфты/заделки/оконцевание жил кабеля/подключение кабеля НИЗКОГО напряжения до 1 кВ, 4 жильный, сечением 150 мм2, бронированный</t>
  </si>
  <si>
    <t>EL00-09-04-31</t>
  </si>
  <si>
    <t>Устройство концевой кабельной муфты/заделки/оконцевание жил кабеля/подключение кабеля НИЗКОГО напряжения до 1 кВ, 4 жильный, сечением 185 мм2, бронированный</t>
  </si>
  <si>
    <t>EL00-09-04-32</t>
  </si>
  <si>
    <t>Устройство концевой кабельной муфты/заделки/оконцевание жил кабеля/подключение кабеля НИЗКОГО напряжения до 1 кВ, 4 жильный, сечением 240 мм2, бронированный</t>
  </si>
  <si>
    <t>EL00-09-04-33</t>
  </si>
  <si>
    <t>Устройство концевой кабельной муфты/заделки/оконцевание жил кабеля/подключение кабеля НИЗКОГО напряжения до 1 кВ, 5 жильный, сечением 10 мм2, бронированный</t>
  </si>
  <si>
    <t>EL00-09-04-34</t>
  </si>
  <si>
    <t>Устройство концевой кабельной муфты/заделки/оконцевание жил кабеля/подключение кабеля НИЗКОГО напряжения до 1 кВ, 5 жильный, сечением 16 мм2, бронированный</t>
  </si>
  <si>
    <t>EL00-09-04-35</t>
  </si>
  <si>
    <t>Устройство концевой кабельной муфты/заделки/оконцевание жил кабеля/подключение кабеля НИЗКОГО напряжения до 1 кВ, 5 жильный, сечением 25 мм2, бронированный</t>
  </si>
  <si>
    <t>EL00-09-04-36</t>
  </si>
  <si>
    <t>Устройство концевой кабельной муфты/заделки/оконцевание жил кабеля/подключение кабеля НИЗКОГО напряжения до 1 кВ, 5 жильный, сечением 35 мм2, бронированный</t>
  </si>
  <si>
    <t>EL00-09-04-37</t>
  </si>
  <si>
    <t>Устройство концевой кабельной муфты/заделки/оконцевание жил кабеля/подключение кабеля НИЗКОГО напряжения до 1 кВ, 5 жильный, сечением 50 мм2, бронированный</t>
  </si>
  <si>
    <t>EL00-09-04-38</t>
  </si>
  <si>
    <t>Устройство концевой кабельной муфты/заделки/оконцевание жил кабеля/подключение кабеля НИЗКОГО напряжения до 1 кВ, 5 жильный, сечением 70 мм2, бронированный</t>
  </si>
  <si>
    <t>EL00-09-04-39</t>
  </si>
  <si>
    <t>Устройство концевой кабельной муфты/заделки/оконцевание жил кабеля/подключение кабеля НИЗКОГО напряжения до 1 кВ, 5 жильный, сечением 95 мм2, бронированный</t>
  </si>
  <si>
    <t>EL00-09-04-40</t>
  </si>
  <si>
    <t>Устройство концевой кабельной муфты/заделки/оконцевание жил кабеля/подключение кабеля НИЗКОГО напряжения до 1 кВ, 5 жильный, сечением 120 мм2, бронированный</t>
  </si>
  <si>
    <t>EL00-09-04-41</t>
  </si>
  <si>
    <t>Устройство концевой кабельной муфты/заделки/оконцевание жил кабеля/подключение кабеля НИЗКОГО напряжения до 1 кВ, 5 жильный, сечением 150 мм2, бронированный</t>
  </si>
  <si>
    <t>EL00-09-04-42</t>
  </si>
  <si>
    <t>Устройство концевой кабельной муфты/заделки/оконцевание жил кабеля/подключение кабеля НИЗКОГО напряжения до 1 кВ, 5 жильный, сечением 185 мм2, бронированный</t>
  </si>
  <si>
    <t>EL00-09-04-43</t>
  </si>
  <si>
    <t>Устройство концевой кабельной муфты/заделки/оконцевание жил кабеля/подключение кабеля НИЗКОГО напряжения до 1 кВ, 5 жильный, сечением 240 мм2, бронированный</t>
  </si>
  <si>
    <t>EL00-09-04-44</t>
  </si>
  <si>
    <t>Устройство концевой кабельной муфты/заделки/оконцевание жил кабеля/подключение кабеля НИЗКОГО напряжения до 1 кВ, 7 жильный, сечением 1,5 мм2, бронированный</t>
  </si>
  <si>
    <t>EL00-09-04-45</t>
  </si>
  <si>
    <t>Устройство концевой кабельной муфты/заделки/оконцевание жил кабеля/подключение кабеля НИЗКОГО напряжения до 1 кВ, 7 жильный, сечением 2,5 мм2, бронированный</t>
  </si>
  <si>
    <t>EL00-10</t>
  </si>
  <si>
    <t>Монтаж полевого оборудования (система освещения/розеточная сеть/щиты/шкафы управления и т.д.)</t>
  </si>
  <si>
    <t>EL00-10-01</t>
  </si>
  <si>
    <t>Монтаж уличного освещения (мачты)</t>
  </si>
  <si>
    <t>EL00-10-01-1</t>
  </si>
  <si>
    <t>Установка мачты уличного освещения до 3 м</t>
  </si>
  <si>
    <t>EL00-10-01-2</t>
  </si>
  <si>
    <t>Установка мачты уличного освещения от 3 м до 6 м</t>
  </si>
  <si>
    <t>EL00-10-01-3</t>
  </si>
  <si>
    <t>Установка мачты уличного освещения от 6 м до 12 м</t>
  </si>
  <si>
    <t>EL00-10-01-4</t>
  </si>
  <si>
    <t>Установка прожекторной мачты до 20 м</t>
  </si>
  <si>
    <t>EL00-10-01-5</t>
  </si>
  <si>
    <t>Установка прожекторной мачты от 20 м до 40 м</t>
  </si>
  <si>
    <t>EL00-10-02</t>
  </si>
  <si>
    <t>Устройство авиационных предупреждающих огней</t>
  </si>
  <si>
    <t>EL00-10-02-1</t>
  </si>
  <si>
    <t>Монтаж авиационной сигнальной лампы</t>
  </si>
  <si>
    <t>EL00-10-02-2</t>
  </si>
  <si>
    <t>Монтаж панели управления авиационными огнями</t>
  </si>
  <si>
    <t>EL00-10-03</t>
  </si>
  <si>
    <t>Элементы осветительной сети</t>
  </si>
  <si>
    <t>EL00-10-03-1</t>
  </si>
  <si>
    <t>Монтаж фотоэлемента</t>
  </si>
  <si>
    <t>EL00-10-04</t>
  </si>
  <si>
    <t>Монтаж полевых светильников</t>
  </si>
  <si>
    <t>EL00-10-04-1</t>
  </si>
  <si>
    <t>Монтаж полевого светильника, монтируемого на опоре освещения</t>
  </si>
  <si>
    <t>EL00-10-04-2</t>
  </si>
  <si>
    <t>Монтаж полевого светильника, монтируемого на сборную закладную конструкцию</t>
  </si>
  <si>
    <t>EL00-10-04-3</t>
  </si>
  <si>
    <t>Монтаж полевого светильника настенного или потолочного крепления</t>
  </si>
  <si>
    <t>EL00-10-04-4</t>
  </si>
  <si>
    <t>Монтаж указателей направления движения / выхода с креплением на закладную конструкцию, на стену или потолок</t>
  </si>
  <si>
    <t>EL00-10-04-5</t>
  </si>
  <si>
    <t>Монтаж полевого прожектора, монтируемого на мачтах освещения до 250 Вт</t>
  </si>
  <si>
    <t>EL00-10-04-9</t>
  </si>
  <si>
    <t>Монтаж полевого прожектора, монтируемого на мачтах освещения от 250 Вт до 600 Вт</t>
  </si>
  <si>
    <t>EL00-10-05</t>
  </si>
  <si>
    <t>Розеточная группа</t>
  </si>
  <si>
    <t>EL00-10-07</t>
  </si>
  <si>
    <t>Распределительные/проходные коробки. (наружного исполнения)</t>
  </si>
  <si>
    <t>EL00-10-07-4</t>
  </si>
  <si>
    <t>Монтаж распределительной/проходной коробки (наружного исполнения)</t>
  </si>
  <si>
    <t>EL00-10-09</t>
  </si>
  <si>
    <t>Сварочное оборудование</t>
  </si>
  <si>
    <t>EL00-10-09-1</t>
  </si>
  <si>
    <t>Установка сварочного поста</t>
  </si>
  <si>
    <t>EL00-10-10</t>
  </si>
  <si>
    <t>Локальные посты питания, управления и защиты, коммутационные аппараты.</t>
  </si>
  <si>
    <t>EL00-10-10-1</t>
  </si>
  <si>
    <t>Монтаж локального поста управления</t>
  </si>
  <si>
    <t>EL00-10-10-2</t>
  </si>
  <si>
    <t>Монтаж коммутационных аппаратов в шкаф управления (магнитный пускатель, реле, контактор, автоматический выключатель, УЗО, АВДТ).</t>
  </si>
  <si>
    <t>EL00-10-10-3</t>
  </si>
  <si>
    <t>Монтаж микропроцессорных регуляторов, терминалов управления и защиты.</t>
  </si>
  <si>
    <t>EL00-10-11</t>
  </si>
  <si>
    <t>Розеточная группа и элементы осветительной сети</t>
  </si>
  <si>
    <t>EL00-10-11-1</t>
  </si>
  <si>
    <t>Установка розетки однофазной скрытой установки</t>
  </si>
  <si>
    <t>EL00-10-11-2</t>
  </si>
  <si>
    <t>Установка розетки однофазной открытой установки</t>
  </si>
  <si>
    <t>EL00-10-11-3</t>
  </si>
  <si>
    <t>Установка комплекта: штепсельная розетка+вилка</t>
  </si>
  <si>
    <t>EL00-10-11-4</t>
  </si>
  <si>
    <t>Установка розетки з-х фазной</t>
  </si>
  <si>
    <t>EL00-10-11-5</t>
  </si>
  <si>
    <t>Монтаж выключатель освещения открытой установки</t>
  </si>
  <si>
    <t>EL00-10-11-6</t>
  </si>
  <si>
    <t>Монтаж выключатель освещения скрытой установки</t>
  </si>
  <si>
    <t>EL00-11</t>
  </si>
  <si>
    <t>Монтаж оборудования в подстанциях и РП</t>
  </si>
  <si>
    <t>EL00-11-01</t>
  </si>
  <si>
    <t>Оборудование среднего напряжения</t>
  </si>
  <si>
    <t>EL00-11-01-5</t>
  </si>
  <si>
    <t>Монтаж оборудования (шкафы, щиты, панели) СРЕДНЕГО напряжения, от 1 кВ до 35 кВ, от 201 до 500 кг</t>
  </si>
  <si>
    <t>EL00-11-01-6</t>
  </si>
  <si>
    <t>Монтаж оборудования (шкафы, щиты, панели) СРЕДНЕГО напряжения, от 1 кВ до 35 кВ, от 501 до 1000 кг</t>
  </si>
  <si>
    <t>EL00-11-01-7</t>
  </si>
  <si>
    <t>Монтаж оборудования (шкафы, щиты, панели) СРЕДНЕГО напряжения, от 1 кВ до 35 кВ, от 1000 до 1500 кг</t>
  </si>
  <si>
    <t>EL00-11-01-8</t>
  </si>
  <si>
    <t>Монтаж оборудования (шкафы, щиты, панели) СРЕДНЕГО напряжения, от 1 кВ до 35 кВ, от 1500 до 2000 кг</t>
  </si>
  <si>
    <t>EL00-11-02</t>
  </si>
  <si>
    <t>Распределительные устройства НН до 1 кВ, шкафы питания и управления</t>
  </si>
  <si>
    <t>EL00-11-03</t>
  </si>
  <si>
    <t>Шинопроводы и токопроводы</t>
  </si>
  <si>
    <t>EL00-11-03-5</t>
  </si>
  <si>
    <t>Изолированный шинопровод с изоляцией типа "сэндвич", низкого напряжения, до 1000 А</t>
  </si>
  <si>
    <t>EL00-11-03-6</t>
  </si>
  <si>
    <t>Изолированный шинопровод с изоляцией типа "сэндвич", низкого напряжения, от 1000 А до 2000 А</t>
  </si>
  <si>
    <t>EL00-11-03-7</t>
  </si>
  <si>
    <t>Изолированный шинопровод с изоляцией типа "сэндвич", низкого напряжения, от 2000 А до 4000 А</t>
  </si>
  <si>
    <t>EL00-11-03-8</t>
  </si>
  <si>
    <t>Изолированный шинопровод с изоляцией типа "сэндвич", низкого напряжения, от 4000 А до 6300 А</t>
  </si>
  <si>
    <t>EL00-11-03-9</t>
  </si>
  <si>
    <t>Шинопровод с литой изоляцией, среднего напряжения, до 1000 А</t>
  </si>
  <si>
    <t>EL00-11-03-10</t>
  </si>
  <si>
    <t>Шинопровод с литой изоляцией, среднего напряжения, от 1000 А до 2000 А</t>
  </si>
  <si>
    <t>EL00-11-03-11</t>
  </si>
  <si>
    <t>Шинопровод с литой изоляцией, среднего напряжения, от 2000 А до 4000 А</t>
  </si>
  <si>
    <t>EL00-11-03-12</t>
  </si>
  <si>
    <t>Шинопровод с литой изоляцией, среднего напряжения, от 4000 А до 6300 А</t>
  </si>
  <si>
    <t>EL00-11-03-14</t>
  </si>
  <si>
    <t>Шинопровод с воздушной изоляцией, среднего напряжения, до 1000 А</t>
  </si>
  <si>
    <t>EL00-11-03-15</t>
  </si>
  <si>
    <t>Шинопровод с воздушной изоляцией, среднего напряжения, от 1000 А до 2000 А</t>
  </si>
  <si>
    <t>EL00-11-03-16</t>
  </si>
  <si>
    <t>Шинопровод с воздушной изоляцией, среднего напряжения, от 2000 А до 4000 А</t>
  </si>
  <si>
    <t>EL00-11-03-17</t>
  </si>
  <si>
    <t>Шинопровод с воздушной изоляцией, среднего напряжения, от 4000 А до 6300 А</t>
  </si>
  <si>
    <t>EL00-11-03-18</t>
  </si>
  <si>
    <t>Шинопровод с воздушной изоляцией, среднего напряжения, от 6300 А до 9000 А</t>
  </si>
  <si>
    <t>EL00-11-03-19</t>
  </si>
  <si>
    <t>Шинный мост гибкой ошиновки на опорных изоляторах, напряжением до 35кВ (1 пролет, 3 фазы, 1 провод в фазе)</t>
  </si>
  <si>
    <t>EL00-11-06</t>
  </si>
  <si>
    <t>Трансформаторы</t>
  </si>
  <si>
    <t>EL00-11-06-3</t>
  </si>
  <si>
    <t>Трансформатор, сухого типа, СРЕДНЕГО напряжения, мощностью до 1000 кВА</t>
  </si>
  <si>
    <t>EL00-11-06-5</t>
  </si>
  <si>
    <t>Трансформатор, сухого типа, СРЕДНЕГО напряжения, мощностью от 1000 кВА до 2500 кВА</t>
  </si>
  <si>
    <t>EL00-11-06-6</t>
  </si>
  <si>
    <t>Трансформатор, сухого типа, СРЕДНЕГО напряжения, мощностью от 2500 кВА до 3150 кВА</t>
  </si>
  <si>
    <t>EL00-11-06-7</t>
  </si>
  <si>
    <t>Трансформатор, масляный, СРЕДНЕГО напряжения, мощностью до 1000 кВА</t>
  </si>
  <si>
    <t>EL00-11-06-8</t>
  </si>
  <si>
    <t>Трансформатор, масляный, СРЕДНЕГО напряжения, мощностью от 1000 кВА до 2500 кВА</t>
  </si>
  <si>
    <t>EL00-11-07</t>
  </si>
  <si>
    <t>ДГУ (дизель-генераторная установка)</t>
  </si>
  <si>
    <t>EL00-11-07-3</t>
  </si>
  <si>
    <t>Дизель-генераторный агрегат, внутренняя сборка до 250 кВА</t>
  </si>
  <si>
    <t>EL00-11-07-4</t>
  </si>
  <si>
    <t>Дизель-генераторный агрегат, внутренняя сборка от 250 кВА до 1000 кВА</t>
  </si>
  <si>
    <t>EL00-11-07-5</t>
  </si>
  <si>
    <t>Дизель-генераторный агрегат, внутренняя сборка от 1000 кВА и выше</t>
  </si>
  <si>
    <t>EL00-11-07-7</t>
  </si>
  <si>
    <t>Дизель-генераторный агрегат до 250 кВА, контейнерного исполнения</t>
  </si>
  <si>
    <t>EL00-11-07-8</t>
  </si>
  <si>
    <t>Дизель-генераторный агрегат от 250 кВА до 1000 кВА, контейнерного исполнения</t>
  </si>
  <si>
    <t>EL00-11-07-9</t>
  </si>
  <si>
    <t>Дизель-генераторный агрегат свыше 1000 кВА, контейнерного исполнения</t>
  </si>
  <si>
    <t>EL00-11-09</t>
  </si>
  <si>
    <t>Реакторы</t>
  </si>
  <si>
    <t>EL00-11-09-12</t>
  </si>
  <si>
    <t>Реактор СРЕДНЕГО напряжения, от 1 кВ до 35 кВ, литой (1 фазный) внутренней установки в шкаф</t>
  </si>
  <si>
    <t>EL00-11-09-13</t>
  </si>
  <si>
    <t>Реактор СРЕДНЕГО напряжения, от 1 кВ до 35 кВ, фильтровой с магнитным сердечником</t>
  </si>
  <si>
    <t>EL00-11-09-14</t>
  </si>
  <si>
    <t>Реактор СРЕДНЕГО напряжения, от 1 кВ до 35 кВ, бетонный/полимерный (3 фазы) массой до 1000 кг</t>
  </si>
  <si>
    <t>комплект</t>
  </si>
  <si>
    <t>EL00-11-09-15</t>
  </si>
  <si>
    <t>Реактор СРЕДНЕГО напряжения, от 1 кВ до 35 кВ, бетонный/полимерный (3 фазы) массой от 1001 кг до 3000 кг</t>
  </si>
  <si>
    <t>EL00-11-09-16</t>
  </si>
  <si>
    <t>Реактор СРЕДНЕГО напряжения, от 1 кВ до 35 кВ, бетонный/полимерный (3 фазы) массой от 3001 кг до 5000 кг</t>
  </si>
  <si>
    <t>EL00-11-09-17</t>
  </si>
  <si>
    <t>Реактор СРЕДНЕГО напряжения, от 1 кВ до 35 кВ, бетонный/полимерный (3 фазы) массой от 5001 кг до 7000 кг</t>
  </si>
  <si>
    <t>EL00-11-09-18</t>
  </si>
  <si>
    <t>Реактор СРЕДНЕГО напряжения, от 1 кВ до 35 кВ, бетонный/полимерный (3 фазы) массой более 7000 кг</t>
  </si>
  <si>
    <t>EL00-11-09-19</t>
  </si>
  <si>
    <t>Реактор СРЕДНЕГО напряжения, от 1 кВ до 35 кВ, ВЧ заградитель подвесной (3 фазы)</t>
  </si>
  <si>
    <t>EL00-11-10</t>
  </si>
  <si>
    <t>Щитовое оборудование до 1кВ</t>
  </si>
  <si>
    <t>EL00-11-10-1</t>
  </si>
  <si>
    <t>Малые силовые шкафы, до 50 кг</t>
  </si>
  <si>
    <t>EL00-11-10-2</t>
  </si>
  <si>
    <t>Малые силовые шкафы, от 50 до 100 кг</t>
  </si>
  <si>
    <t>EL00-11-10-3</t>
  </si>
  <si>
    <t>Малые силовые шкафы, от 100 до 200 кг</t>
  </si>
  <si>
    <t>EL00-11-10-4</t>
  </si>
  <si>
    <t>Монтаж распределительных устройств НН до 1 кВ, шкафов питания и управления, до 300 кг</t>
  </si>
  <si>
    <t>EL00-11-10-5</t>
  </si>
  <si>
    <t>Монтаж распределительных устройств НН до 1 кВ, шкафов питания и управления, от 300 кг до 500 кг</t>
  </si>
  <si>
    <t>EL00-11-10-6</t>
  </si>
  <si>
    <t>Монтаж распределительных устройств НН до 1 кВ, шкафов питания и управления, от 500 кг до 700 кг</t>
  </si>
  <si>
    <t>EL00-11-10-7</t>
  </si>
  <si>
    <t>Монтаж распределительных устройств НН до 1 кВ, шкафов питания и управления, от 700 кг до 1000 кг</t>
  </si>
  <si>
    <t>EL00-11-11</t>
  </si>
  <si>
    <t>Источники бесперебойного питания, цепи управления постоянного тока</t>
  </si>
  <si>
    <t>EL00-11-11-1</t>
  </si>
  <si>
    <t>Монтаж аккумуляторных батарей</t>
  </si>
  <si>
    <t>EL00-11-11-2</t>
  </si>
  <si>
    <t>Монтаж шкафов/стоек для аккамуляторных батарей, с общим весом аккумуляторной сборки до 500 кг</t>
  </si>
  <si>
    <t>EL00-11-11-3</t>
  </si>
  <si>
    <t>Монтаж шкафов/стоек для аккамуляторных батарей, с общим весом аккумуляторной сборки от 500 кг до 1000 кг</t>
  </si>
  <si>
    <t>EL00-11-11-4</t>
  </si>
  <si>
    <t>Монтаж шкафов/стоек для аккамуляторных батарей, с общим весом аккумуляторной сборки от 1000 кг до 2000 кг</t>
  </si>
  <si>
    <t>EL00-11-11-5</t>
  </si>
  <si>
    <t>Монтаж шкафов ИБП, до 1800 кг</t>
  </si>
  <si>
    <t>EL00-11-11-6</t>
  </si>
  <si>
    <t>Монтаж шкафов ИБП, от 1800 кг до 3100 кг</t>
  </si>
  <si>
    <t>EL00-11-11-7</t>
  </si>
  <si>
    <t>Монтаж шкафов ИБП, от 3100 кг до 4700 кг</t>
  </si>
  <si>
    <t>EL00-11-11-8</t>
  </si>
  <si>
    <t>Монтаж шкафов ИБП, от 4700 кг до 6400 кг</t>
  </si>
  <si>
    <t>EL00-11-11-9</t>
  </si>
  <si>
    <t>Монтаж шкафа цепей управления постоянного тока, до 1000кг</t>
  </si>
  <si>
    <t>EL00-11-11-10</t>
  </si>
  <si>
    <t>Монтаж шкафа цепей управления постоянного тока, свыше 1000 кг</t>
  </si>
  <si>
    <t>EL00-11-12</t>
  </si>
  <si>
    <t>Частотные преобразователи, устройства плавного пуска, системы возбуждения синхронных электродвигателей</t>
  </si>
  <si>
    <t>EL00-11-12-1</t>
  </si>
  <si>
    <t>Монтаж частотных преобразователей, устройств плавного пуска до 5 кг</t>
  </si>
  <si>
    <t>EL00-11-12-2</t>
  </si>
  <si>
    <t>Монтаж частотных преобразователей весом до 30кг</t>
  </si>
  <si>
    <t>EL00-11-12-3</t>
  </si>
  <si>
    <t>Монтаж шкафа плавного пуска (частотный преобразователь), до 1000 кг</t>
  </si>
  <si>
    <t>EL00-11-12-4</t>
  </si>
  <si>
    <t>Монтаж шкафа плавного пуска (частотный преобразователь), от 1000 кг до 1500 кг</t>
  </si>
  <si>
    <t>EL00-11-12-5</t>
  </si>
  <si>
    <t>Монтаж шкафа плавного пуска (частотный преобразователь), от 1500 кг до 2000 кг</t>
  </si>
  <si>
    <t>EL00-11-12-6</t>
  </si>
  <si>
    <t>Монтаж системы возбуждения синхронного электродвигателя.</t>
  </si>
  <si>
    <t>EL00-11-12-7</t>
  </si>
  <si>
    <t>Монтаж шкафа управления электроприводами низкого напряжения.</t>
  </si>
  <si>
    <t>EL00-12</t>
  </si>
  <si>
    <t>Монтаж оборудования в помещениях</t>
  </si>
  <si>
    <t>EL00-12-01</t>
  </si>
  <si>
    <t>Светильники светодиодные</t>
  </si>
  <si>
    <t>EL00-12-01-01</t>
  </si>
  <si>
    <t>Монтаж светильника светодиодного настенного исполнения</t>
  </si>
  <si>
    <t>EL00-12-01-02</t>
  </si>
  <si>
    <t>Монтаж светильника светодиодного на закладной конструкции, стойке.</t>
  </si>
  <si>
    <t>EL00-12-01-03</t>
  </si>
  <si>
    <t>Монтаж светильника светодиодного потолочный (Накладной)</t>
  </si>
  <si>
    <t>EL00-12-01-04</t>
  </si>
  <si>
    <t>Монтаж светильника типа выход/указатель направления, с пиктограммой, настенного или подвесного исполнения (закладная/шпильки)</t>
  </si>
  <si>
    <t>EL00-12-01-05</t>
  </si>
  <si>
    <t xml:space="preserve">Монтаж светильников для потолочных систем по типу "Армстронг" их аналогов. </t>
  </si>
  <si>
    <t>EL00-12-01-06</t>
  </si>
  <si>
    <t>Монтаж подвесного светильника (на тросовом подвесе)</t>
  </si>
  <si>
    <t>EL00-12-04</t>
  </si>
  <si>
    <t>Распределительные/проходные коробки</t>
  </si>
  <si>
    <t>EL00-12-04-5</t>
  </si>
  <si>
    <t>Монтаж распределительной/проходной коробки (внутреннего исполнения)</t>
  </si>
  <si>
    <t>EL00-12-04-7</t>
  </si>
  <si>
    <t xml:space="preserve">Монтаж взрывозащищенной коробки </t>
  </si>
  <si>
    <t>EL00-16</t>
  </si>
  <si>
    <t>Прокладка кабеля под землей</t>
  </si>
  <si>
    <t>EL00-16-05</t>
  </si>
  <si>
    <t>Кабель, подземная укладка непосредственно в грунт, НИЗКОГО напряжения</t>
  </si>
  <si>
    <t>EL00-16-05-1</t>
  </si>
  <si>
    <t>Прокладка кабеля в готовой траншее кабеля, НИЗКОГО напряжения, 1-жильный, сечением 2,5 мм2</t>
  </si>
  <si>
    <t>EL00-16-05-46</t>
  </si>
  <si>
    <t>Прокладка кабеля в готовой траншее кабеля, НИЗКОГО напряжения, 1-жильный, сечением 4 мм2</t>
  </si>
  <si>
    <t>EL00-16-05-47</t>
  </si>
  <si>
    <t>Прокладка кабеля в готовой траншее кабеля, НИЗКОГО напряжения, 1-жильный, сечением 6 мм2</t>
  </si>
  <si>
    <t>EL00-16-05-48</t>
  </si>
  <si>
    <t>Прокладка кабеля в готовой траншее кабеля, НИЗКОГО напряжения, 1-жильный, сечением 10 мм2</t>
  </si>
  <si>
    <t>EL00-16-05-49</t>
  </si>
  <si>
    <t>Прокладка кабеля в готовой траншее кабеля, НИЗКОГО напряжения, 1-жильный, сечением 16 мм2</t>
  </si>
  <si>
    <t>EL00-16-05-50</t>
  </si>
  <si>
    <t>Прокладка кабеля в готовой траншее кабеля, НИЗКОГО напряжения, 1-жильный, сечением 25 мм2</t>
  </si>
  <si>
    <t>EL00-16-05-2</t>
  </si>
  <si>
    <t>Прокладка кабеля в готовой траншее кабеля, НИЗКОГО напряжения, 1-жильный, сечением 35 мм2</t>
  </si>
  <si>
    <t>EL00-16-05-3</t>
  </si>
  <si>
    <t>Прокладка кабеля в готовой траншее кабеля, НИЗКОГО напряжения, 1-жильный, сечением 50 мм2</t>
  </si>
  <si>
    <t>EL00-16-05-4</t>
  </si>
  <si>
    <t>Прокладка кабеля в готовой траншее кабеля, НИЗКОГО напряжения, 1-жильный, сечением 70 мм2</t>
  </si>
  <si>
    <t>EL00-16-05-5</t>
  </si>
  <si>
    <t>Прокладка кабеля в готовой траншее кабеля, НИЗКОГО напряжения, 1-жильный, сечением 95 мм2</t>
  </si>
  <si>
    <t>EL00-16-05-6</t>
  </si>
  <si>
    <t>Прокладка кабеля в готовой траншее кабеля, НИЗКОГО напряжения, 1-жильный, сечением 240 мм2</t>
  </si>
  <si>
    <t>EL00-16-05-7</t>
  </si>
  <si>
    <t>Прокладка кабеля в готовой траншее кабеля, НИЗКОГО напряжения, 3-5 жильный, сечением 1,5 мм2</t>
  </si>
  <si>
    <t>EL00-16-05-8</t>
  </si>
  <si>
    <t>Прокладка кабеля в готовой траншее кабеля, НИЗКОГО напряжения, 3-5 жильный, сечением 2,5 мм2</t>
  </si>
  <si>
    <t>EL00-16-05-9</t>
  </si>
  <si>
    <t>Прокладка кабеля в готовой траншее кабеля, НИЗКОГО напряжения, 3-5 жильный, сечением 4 мм2</t>
  </si>
  <si>
    <t>EL00-16-05-10</t>
  </si>
  <si>
    <t>Прокладка кабеля в готовой траншее кабеля, НИЗКОГО напряжения, 3-5 жильный, сечением 6 мм2</t>
  </si>
  <si>
    <t>EL00-16-05-11</t>
  </si>
  <si>
    <t>Прокладка кабеля в готовой траншее кабеля, НИЗКОГО напряжения, 3 жильный, сечением 10 мм2</t>
  </si>
  <si>
    <t>EL00-16-05-12</t>
  </si>
  <si>
    <t>Прокладка кабеля в готовой траншее кабеля, НИЗКОГО напряжения, 3 жильный, сечением 16 мм2</t>
  </si>
  <si>
    <t>EL00-16-05-13</t>
  </si>
  <si>
    <t>Прокладка кабеля в готовой траншее кабеля, НИЗКОГО напряжения, 3 жильный, сечением 25 мм2</t>
  </si>
  <si>
    <t>EL00-16-05-14</t>
  </si>
  <si>
    <t>Прокладка кабеля в готовой траншее кабеля, НИЗКОГО напряжения, 3 жильный, сечением 35 мм2</t>
  </si>
  <si>
    <t>EL00-16-05-15</t>
  </si>
  <si>
    <t>Прокладка кабеля в готовой траншее кабеля, НИЗКОГО напряжения, 3 жильный, сечением 50 мм2</t>
  </si>
  <si>
    <t>EL00-16-05-16</t>
  </si>
  <si>
    <t>Прокладка кабеля в готовой траншее кабеля, НИЗКОГО напряжения, 3 жильный, сечением 70 мм2</t>
  </si>
  <si>
    <t>EL00-16-05-17</t>
  </si>
  <si>
    <t>Прокладка кабеля в готовой траншее кабеля, НИЗКОГО напряжения, 3 жильный, сечением 95 мм2</t>
  </si>
  <si>
    <t>EL00-16-05-18</t>
  </si>
  <si>
    <t>Прокладка кабеля в готовой траншее кабеля, НИЗКОГО напряжения, 3 жильный, сечением 120 мм2</t>
  </si>
  <si>
    <t>EL00-16-05-19</t>
  </si>
  <si>
    <t>Прокладка кабеля в готовой траншее кабеля, НИЗКОГО напряжения, 3 жильный, сечением 150 мм2</t>
  </si>
  <si>
    <t>EL00-16-05-20</t>
  </si>
  <si>
    <t>Прокладка кабеля в готовой траншее кабеля, НИЗКОГО напряжения, 3 жильный, сечением 185 мм2</t>
  </si>
  <si>
    <t>EL00-16-05-21</t>
  </si>
  <si>
    <t>Прокладка кабеля в готовой траншее кабеля, НИЗКОГО напряжения, 3 жильный, сечением 240 мм2</t>
  </si>
  <si>
    <t>EL00-16-05-22</t>
  </si>
  <si>
    <t>Прокладка кабеля в готовой траншее кабеля, НИЗКОГО напряжения, 4 жильный, сечением 10 мм2</t>
  </si>
  <si>
    <t>EL00-16-05-23</t>
  </si>
  <si>
    <t>Прокладка кабеля в готовой траншее кабеля, НИЗКОГО напряжения, 4 жильный, сечением 16 мм2</t>
  </si>
  <si>
    <t>EL00-16-05-24</t>
  </si>
  <si>
    <t>Прокладка кабеля в готовой траншее кабеля, НИЗКОГО напряжения, 4 жильный, сечением 25 мм2</t>
  </si>
  <si>
    <t>EL00-16-05-25</t>
  </si>
  <si>
    <t>Прокладка кабеля в готовой траншее кабеля, НИЗКОГО напряжения, 4 жильный, сечением 35 мм2</t>
  </si>
  <si>
    <t>EL00-16-05-26</t>
  </si>
  <si>
    <t>Прокладка кабеля в готовой траншее кабеля, НИЗКОГО напряжения, 4 жильный, сечением 50 мм2</t>
  </si>
  <si>
    <t>EL00-16-05-27</t>
  </si>
  <si>
    <t>Прокладка кабеля в готовой траншее кабеля, НИЗКОГО напряжения, 4 жильный, сечением 70 мм2</t>
  </si>
  <si>
    <t>EL00-16-05-28</t>
  </si>
  <si>
    <t>Прокладка кабеля в готовой траншее кабеля, НИЗКОГО напряжения, 4 жильный, сечением 95 мм2</t>
  </si>
  <si>
    <t>EL00-16-05-29</t>
  </si>
  <si>
    <t>Прокладка кабеля в готовой траншее кабеля, НИЗКОГО напряжения, 4 жильный, сечением 120 мм2</t>
  </si>
  <si>
    <t>EL00-16-05-30</t>
  </si>
  <si>
    <t>Прокладка кабеля в готовой траншее кабеля, НИЗКОГО напряжения, 4 жильный, сечением 150 мм2</t>
  </si>
  <si>
    <t>EL00-16-05-31</t>
  </si>
  <si>
    <t>Прокладка кабеля в готовой траншее кабеля, НИЗКОГО напряжения, 4 жильный, сечением 185 мм2</t>
  </si>
  <si>
    <t>EL00-16-05-32</t>
  </si>
  <si>
    <t>Прокладка кабеля в готовой траншее кабеля, НИЗКОГО напряжения, 4 жильный, сечением 240 мм2</t>
  </si>
  <si>
    <t>EL00-16-05-33</t>
  </si>
  <si>
    <t>Прокладка кабеля в готовой траншее кабеля, НИЗКОГО напряжения, 5 жильный, сечением 10 мм2</t>
  </si>
  <si>
    <t>EL00-16-05-34</t>
  </si>
  <si>
    <t>Прокладка кабеля в готовой траншее кабеля, НИЗКОГО напряжения, 5 жильный, сечением 16 мм2</t>
  </si>
  <si>
    <t>EL00-16-05-35</t>
  </si>
  <si>
    <t>Прокладка кабеля в готовой траншее кабеля, НИЗКОГО напряжения, 5 жильный, сечением 25 мм2</t>
  </si>
  <si>
    <t>EL00-16-05-36</t>
  </si>
  <si>
    <t>Прокладка кабеля в готовой траншее кабеля, НИЗКОГО напряжения, 5 жильный, сечением 35 мм2</t>
  </si>
  <si>
    <t>EL00-16-05-37</t>
  </si>
  <si>
    <t>Прокладка кабеля в готовой траншее кабеля, НИЗКОГО напряжения, 5 жильный, сечением 50 мм2</t>
  </si>
  <si>
    <t>EL00-16-05-38</t>
  </si>
  <si>
    <t>Прокладка кабеля в готовой траншее кабеля, НИЗКОГО напряжения, 5 жильный, сечением 70 мм2</t>
  </si>
  <si>
    <t>EL00-16-05-39</t>
  </si>
  <si>
    <t>Прокладка кабеля в готовой траншее кабеля, НИЗКОГО напряжения, 5 жильный, сечением 95 мм2</t>
  </si>
  <si>
    <t>EL00-16-05-40</t>
  </si>
  <si>
    <t>Прокладка кабеля в готовой траншее кабеля, НИЗКОГО напряжения, 5 жильный, сечением 120 мм2</t>
  </si>
  <si>
    <t>EL00-16-05-41</t>
  </si>
  <si>
    <t>Прокладка кабеля в готовой траншее кабеля, НИЗКОГО напряжения, 5 жильный, сечением 150 мм2</t>
  </si>
  <si>
    <t>EL00-16-05-42</t>
  </si>
  <si>
    <t>Прокладка кабеля в готовой траншее кабеля, НИЗКОГО напряжения, 5 жильный, сечением 185 мм2</t>
  </si>
  <si>
    <t>EL00-16-05-43</t>
  </si>
  <si>
    <t>Прокладка кабеля в готовой траншее кабеля, НИЗКОГО напряжения, 5 жильный, сечением 240 мм2</t>
  </si>
  <si>
    <t>EL00-16-05-44</t>
  </si>
  <si>
    <t>Прокладка кабеля в готовой траншее кабеля, НИЗКОГО напряжения, 7 жильный, сечением 1,5 мм2</t>
  </si>
  <si>
    <t>EL00-16-05-45</t>
  </si>
  <si>
    <t>Прокладка кабеля в готовой траншее кабеля, НИЗКОГО напряжения, 7 жильный, сечением 2,5 мм2</t>
  </si>
  <si>
    <t>EL00-16-06</t>
  </si>
  <si>
    <t>Кабель, подземная укладка непосредственно в грунт, СРЕДНЕГО напряжения</t>
  </si>
  <si>
    <t>EL00-16-06-1</t>
  </si>
  <si>
    <t>Прокладка кабеля в готовой траншее кабеля, СРЕДНЕГО напряжения, 1-жильный, сечением до 95 мм2</t>
  </si>
  <si>
    <t>EL00-16-06-16</t>
  </si>
  <si>
    <t>Прокладка кабеля в готовой траншее кабеля, СРЕДНЕГО напряжения, 1-жильный, сечением 120 мм2</t>
  </si>
  <si>
    <t>EL00-16-06-2</t>
  </si>
  <si>
    <t>Прокладка кабеля в готовой траншее кабеля, СРЕДНЕГО напряжения, 1-жильный, сечением 150 мм2</t>
  </si>
  <si>
    <t>EL00-16-06-3</t>
  </si>
  <si>
    <t>Прокладка кабеля в готовой траншее кабеля, СРЕДНЕГО напряжения, 1-жильный, сечением 240 мм2</t>
  </si>
  <si>
    <t>EL00-16-06-4</t>
  </si>
  <si>
    <t>Прокладка кабеля в готовой траншее кабеля, СРЕДНЕГО напряжения, 1-жильный, сечением 300 мм2</t>
  </si>
  <si>
    <t>EL00-16-06-5</t>
  </si>
  <si>
    <t>Прокладка кабеля в готовой траншее кабеля, СРЕДНЕГО напряжения, 1-жильный, сечением 400 мм2</t>
  </si>
  <si>
    <t>EL00-16-06-6</t>
  </si>
  <si>
    <t>Прокладка кабеля в готовой траншее кабеля, СРЕДНЕГО напряжения, 1-жильный, сечением 500 мм2</t>
  </si>
  <si>
    <t>EL00-16-06-7</t>
  </si>
  <si>
    <t>Прокладка кабеля в готовой траншее кабеля, СРЕДНЕГО напряжения, 1-жильный, сечением 630 мм2</t>
  </si>
  <si>
    <t>EL00-16-06-8</t>
  </si>
  <si>
    <t>Прокладка кабеля в готовой траншее кабеля, СРЕДНЕГО напряжения, 1-жильный, сечением 800 мм2</t>
  </si>
  <si>
    <t>EL00-16-06-9</t>
  </si>
  <si>
    <t>Прокладка кабеля в готовой траншее кабеля, СРЕДНЕГО напряжения, 1-жильный, сечением 1000 мм2</t>
  </si>
  <si>
    <t>EL00-16-06-10</t>
  </si>
  <si>
    <t>Прокладка кабеля в готовой траншее кабеля, СРЕДНЕГО напряжения, 3 жильный, сечением 50 мм2</t>
  </si>
  <si>
    <t>EL00-16-06-11</t>
  </si>
  <si>
    <t>Прокладка кабеля в готовой траншее кабеля, СРЕДНЕГО напряжения, 3 жильный, сечением 95 мм2</t>
  </si>
  <si>
    <t>EL00-16-06-12</t>
  </si>
  <si>
    <t>Прокладка кабеля в готовой траншее кабеля, СРЕДНЕГО напряжения, 3 жильный, сечением 120 мм2</t>
  </si>
  <si>
    <t>EL00-16-06-13</t>
  </si>
  <si>
    <t>Прокладка кабеля в готовой траншее кабеля, СРЕДНЕГО напряжения, 3 жильный, сечением 150 мм2</t>
  </si>
  <si>
    <t>EL00-16-06-14</t>
  </si>
  <si>
    <t>Прокладка кабеля в готовой траншее кабеля, СРЕДНЕГО напряжения, 3 жильный, сечением 185 мм2</t>
  </si>
  <si>
    <t>EL00-16-06-15</t>
  </si>
  <si>
    <t>Прокладка кабеля в готовой траншее кабеля, СРЕДНЕГО напряжения, 3 жильный, сечением 240 мм2</t>
  </si>
  <si>
    <t>EL00-17</t>
  </si>
  <si>
    <t>Работы по соединению кабелей</t>
  </si>
  <si>
    <t>EL00-17-03</t>
  </si>
  <si>
    <t>Кабель бронированный, НИЗКОГО напряжения до 1 кВ, соединение</t>
  </si>
  <si>
    <t>EL00-17-03-1</t>
  </si>
  <si>
    <t>Устройство соединительной кабельной муфты/заделки кабеля НИЗКОГО напряжения до 1 кВ, 1-жильный, сечением 2,5 мм2, бронированный</t>
  </si>
  <si>
    <t>EL00-17-03-51</t>
  </si>
  <si>
    <t>Устройство соединительной муфты кабеля НИЗКОГО напряжения до 1 кВ, 1-жильный, сечением 4 мм2, бронированный</t>
  </si>
  <si>
    <t>EL00-17-03-52</t>
  </si>
  <si>
    <t>Устройство соединительной муфты кабеля НИЗКОГО напряжения до 1 кВ, 1-жильный, сечением 6 мм2, бронированный</t>
  </si>
  <si>
    <t>EL00-17-03-53</t>
  </si>
  <si>
    <t>Устройство соединительной муфты кабеля НИЗКОГО напряжения до 1 кВ, 1-жильный, сечением 10 мм2, бронированный</t>
  </si>
  <si>
    <t>EL00-17-03-54</t>
  </si>
  <si>
    <t>Устройство соединительной муфты кабеля НИЗКОГО напряжения до 1 кВ, 1-жильный, сечением 16 мм2, бронированный</t>
  </si>
  <si>
    <t>EL00-17-03-55</t>
  </si>
  <si>
    <t>Устройство соединительной муфты кабеля НИЗКОГО напряжения до 1 кВ, 1-жильный, сечением 25 мм2, бронированный</t>
  </si>
  <si>
    <t>EL00-17-03-2</t>
  </si>
  <si>
    <t>Устройство соединительной кабельной муфты/заделки кабеля НИЗКОГО напряжения до 1 кВ, 1-жильный, сечением 35 мм2, бронированный</t>
  </si>
  <si>
    <t>EL00-17-03-3</t>
  </si>
  <si>
    <t>Устройство соединительной кабельной муфты/заделки кабеля НИЗКОГО напряжения до 1 кВ, 1-жильный, сечением 50 мм2, бронированный</t>
  </si>
  <si>
    <t>EL00-17-03-4</t>
  </si>
  <si>
    <t>Устройство соединительной кабельной муфты/заделки кабеля НИЗКОГО напряжения до 1 кВ, 1-жильный, сечением 70 мм2, бронированный</t>
  </si>
  <si>
    <t>EL00-17-03-5</t>
  </si>
  <si>
    <t>Устройство соединительной кабельной муфты/заделки кабеля НИЗКОГО напряжения до 1 кВ, 1-жильный, сечением 95 мм2, бронированный</t>
  </si>
  <si>
    <t>EL00-17-03-6</t>
  </si>
  <si>
    <t>Устройство соединительной кабельной муфты/заделки кабеля НИЗКОГО напряжения до 1 кВ, 1-жильный, сечением 240 мм2, бронированный</t>
  </si>
  <si>
    <t>EL00-17-03-7</t>
  </si>
  <si>
    <t>Устройство соединительной кабельной муфты/заделки кабеля НИЗКОГО напряжения до 1 кВ, 3-5 жильный, сечением 1,5 мм2, бронированный</t>
  </si>
  <si>
    <t>EL00-17-03-8</t>
  </si>
  <si>
    <t>Устройство соединительной кабельной муфты/заделки кабеля НИЗКОГО напряжения до 1 кВ, 3-5 жильный, сечением 2,5 мм2, бронированный</t>
  </si>
  <si>
    <t>EL00-17-03-9</t>
  </si>
  <si>
    <t>Устройство соединительной кабельной муфты/заделки кабеля НИЗКОГО напряжения до 1 кВ, 3-5 жильный, сечением 4 мм2, бронированный</t>
  </si>
  <si>
    <t>EL00-17-03-10</t>
  </si>
  <si>
    <t>Устройство соединительной кабельной муфты/заделки кабеля НИЗКОГО напряжения до 1 кВ, 3-5 жильный, сечением 6 мм2, бронированный</t>
  </si>
  <si>
    <t>EL00-17-03-11</t>
  </si>
  <si>
    <t>Устройство соединительной кабельной муфты/заделки кабеля НИЗКОГО напряжения до 1 кВ, 3 жильный, сечением 10 мм2, бронированный</t>
  </si>
  <si>
    <t>EL00-17-03-12</t>
  </si>
  <si>
    <t>Устройство соединительной кабельной муфты/заделки кабеля НИЗКОГО напряжения до 1 кВ, 3 жильный, сечением 16 мм2, бронированный</t>
  </si>
  <si>
    <t>EL00-17-03-13</t>
  </si>
  <si>
    <t>Устройство соединительной кабельной муфты/заделки кабеля НИЗКОГО напряжения до 1 кВ, 3 жильный, сечением 25 мм2, бронированный</t>
  </si>
  <si>
    <t>EL00-17-03-14</t>
  </si>
  <si>
    <t>Устройство соединительной кабельной муфты/заделки кабеля НИЗКОГО напряжения до 1 кВ, 3 жильный, сечением 35 мм2, бронированный</t>
  </si>
  <si>
    <t>EL00-17-03-15</t>
  </si>
  <si>
    <t>Устройство соединительной кабельной муфты/заделки кабеля НИЗКОГО напряжения до 1 кВ, 3 жильный, сечением 50 мм2, бронированный</t>
  </si>
  <si>
    <t>EL00-17-03-16</t>
  </si>
  <si>
    <t>Устройство соединительной кабельной муфты/заделки кабеля НИЗКОГО напряжения до 1 кВ, 3 жильный, сечением 70 мм2, бронированный</t>
  </si>
  <si>
    <t>EL00-17-03-17</t>
  </si>
  <si>
    <t>Устройство соединительной кабельной муфты/заделки кабеля НИЗКОГО напряжения до 1 кВ, 3 жильный, сечением 95 мм2, бронированный</t>
  </si>
  <si>
    <t>EL00-17-03-18</t>
  </si>
  <si>
    <t>Устройство соединительной кабельной муфты/заделки кабеля НИЗКОГО напряжения до 1 кВ, 3 жильный, сечением 120 мм2, бронированный</t>
  </si>
  <si>
    <t>EL00-17-03-19</t>
  </si>
  <si>
    <t>Устройство соединительной кабельной муфты/заделки кабеля НИЗКОГО напряжения до 1 кВ, 3 жильный, сечением 150 мм2, бронированный</t>
  </si>
  <si>
    <t>EL00-17-03-20</t>
  </si>
  <si>
    <t>Устройство соединительной кабельной муфты/заделки кабеля НИЗКОГО напряжения до 1 кВ, 3 жильный, сечением 185 мм2, бронированный</t>
  </si>
  <si>
    <t>EL00-17-03-21</t>
  </si>
  <si>
    <t>Устройство соединительной кабельной муфты/заделки кабеля НИЗКОГО напряжения до 1 кВ, 3 жильный, сечением 240 мм2, бронированный</t>
  </si>
  <si>
    <t>EL00-17-03-22</t>
  </si>
  <si>
    <t>Устройство соединительной кабельной муфты/заделки кабеля НИЗКОГО напряжения до 1 кВ, 4 жильный, сечением 10 мм2, бронированный</t>
  </si>
  <si>
    <t>EL00-17-03-23</t>
  </si>
  <si>
    <t>Устройство соединительной кабельной муфты/заделки кабеля НИЗКОГО напряжения до 1 кВ, 4 жильный, сечением 16 мм2, бронированный</t>
  </si>
  <si>
    <t>EL00-17-03-24</t>
  </si>
  <si>
    <t>Устройство соединительной кабельной муфты/заделки кабеля НИЗКОГО напряжения до 1 кВ, 4 жильный, сечением 25 мм2, бронированный</t>
  </si>
  <si>
    <t>EL00-17-03-25</t>
  </si>
  <si>
    <t>Устройство соединительной кабельной муфты/заделки кабеля НИЗКОГО напряжения до 1 кВ, 4 жильный, сечением 35 мм2, бронированный</t>
  </si>
  <si>
    <t>EL00-17-03-26</t>
  </si>
  <si>
    <t>Устройство соединительной кабельной муфты/заделки кабеля НИЗКОГО напряжения до 1 кВ, 4 жильный, сечением 50 мм2, бронированный</t>
  </si>
  <si>
    <t>EL00-17-03-27</t>
  </si>
  <si>
    <t>Устройство соединительной кабельной муфты/заделки кабеля НИЗКОГО напряжения до 1 кВ, 4 жильный, сечением 70 мм2, бронированный</t>
  </si>
  <si>
    <t>EL00-17-03-28</t>
  </si>
  <si>
    <t>Устройство соединительной кабельной муфты/заделки кабеля НИЗКОГО напряжения до 1 кВ, 4 жильный, сечением 95 мм2, бронированный</t>
  </si>
  <si>
    <t>EL00-17-03-29</t>
  </si>
  <si>
    <t>Устройство соединительной кабельной муфты/заделки кабеля НИЗКОГО напряжения до 1 кВ, 4 жильный, сечением 120 мм2, бронированный</t>
  </si>
  <si>
    <t>EL00-17-03-30</t>
  </si>
  <si>
    <t>Устройство соединительной кабельной муфты/заделки кабеля НИЗКОГО напряжения до 1 кВ, 4 жильный, сечением 150 мм2, бронированный</t>
  </si>
  <si>
    <t>EL00-17-03-31</t>
  </si>
  <si>
    <t>Устройство соединительной кабельной муфты/заделки кабеля НИЗКОГО напряжения до 1 кВ, 4 жильный, сечением 185 мм2, бронированный</t>
  </si>
  <si>
    <t>EL00-17-03-32</t>
  </si>
  <si>
    <t>Устройство соединительной кабельной муфты/заделки кабеля НИЗКОГО напряжения до 1 кВ, 4 жильный, сечением 240 мм2, бронированный</t>
  </si>
  <si>
    <t>EL00-17-03-33</t>
  </si>
  <si>
    <t>Устройство соединительной кабельной муфты/заделки кабеля НИЗКОГО напряжения до 1 кВ, 5 жильный, сечением 10 мм2, бронированный</t>
  </si>
  <si>
    <t>EL00-17-03-34</t>
  </si>
  <si>
    <t>Устройство соединительной кабельной муфты/заделки кабеля НИЗКОГО напряжения до 1 кВ, 5 жильный, сечением 16 мм2, бронированный</t>
  </si>
  <si>
    <t>EL00-17-03-35</t>
  </si>
  <si>
    <t>Устройство соединительной кабельной муфты/заделки кабеля НИЗКОГО напряжения до 1 кВ, 5 жильный, сечением 25 мм2, бронированный</t>
  </si>
  <si>
    <t>EL00-17-03-36</t>
  </si>
  <si>
    <t>Устройство соединительной кабельной муфты/заделки кабеля НИЗКОГО напряжения до 1 кВ, 5 жильный, сечением 35 мм2, бронированный</t>
  </si>
  <si>
    <t>EL00-17-03-37</t>
  </si>
  <si>
    <t>Устройство соединительной кабельной муфты/заделки кабеля НИЗКОГО напряжения до 1 кВ, 5 жильный, сечением 50 мм2, бронированный</t>
  </si>
  <si>
    <t>EL00-17-03-38</t>
  </si>
  <si>
    <t>Устройство соединительной кабельной муфты/заделки кабеля НИЗКОГО напряжения до 1 кВ, 5 жильный, сечением 70 мм2, бронированный</t>
  </si>
  <si>
    <t>EL00-17-03-39</t>
  </si>
  <si>
    <t>Устройство соединительной кабельной муфты/заделки кабеля НИЗКОГО напряжения до 1 кВ, 5 жильный, сечением 95 мм2, бронированный</t>
  </si>
  <si>
    <t>EL00-17-03-40</t>
  </si>
  <si>
    <t>Устройство соединительной кабельной муфты/заделки кабеля НИЗКОГО напряжения до 1 кВ, 5 жильный, сечением 120 мм2, бронированный</t>
  </si>
  <si>
    <t>EL00-17-03-41</t>
  </si>
  <si>
    <t>Устройство соединительной кабельной муфты/заделки кабеля НИЗКОГО напряжения до 1 кВ, 5 жильный, сечением 150 мм2, бронированный</t>
  </si>
  <si>
    <t>EL00-17-03-42</t>
  </si>
  <si>
    <t>Устройство соединительной кабельной муфты/заделки кабеля НИЗКОГО напряжения до 1 кВ, 5 жильный, сечением 185 мм2, бронированный</t>
  </si>
  <si>
    <t>EL00-17-03-43</t>
  </si>
  <si>
    <t>Устройство соединительной кабельной муфты/заделки кабеля НИЗКОГО напряжения до 1 кВ, 5 жильный, сечением 240 мм2, бронированный</t>
  </si>
  <si>
    <t>EL00-17-03-44</t>
  </si>
  <si>
    <t>Устройство соединительной кабельной муфты/заделки кабеля НИЗКОГО напряжения до 1 кВ, 7 жильный, сечением 1,5 мм2, бронированный</t>
  </si>
  <si>
    <t>EL00-17-03-45</t>
  </si>
  <si>
    <t>Устройство соединительной кабельной муфты/заделки кабеля НИЗКОГО напряжения до 1 кВ, 7 жильный, сечением 2,5 мм2, бронированный</t>
  </si>
  <si>
    <t>EL00-17-04</t>
  </si>
  <si>
    <t>Кабель бронированный, СРЕДНЕГО напряжения от 1 кВ до 35 кВ, соединение</t>
  </si>
  <si>
    <t>EL00-17-04-1</t>
  </si>
  <si>
    <t>Устройство соединительной кабельной муфты/заделки кабеля СРЕДНЕГО напряжения от 1 кВ до 35 кВ, 1-жильный, сечением до 95 мм2, бронированный</t>
  </si>
  <si>
    <t>EL00-17-04-2</t>
  </si>
  <si>
    <t>Устройство соединительной кабельной муфты/заделки кабеля СРЕДНЕГО напряжения от 1 кВ до 35 кВ, 1-жильный, сечением 150 мм2, бронированный</t>
  </si>
  <si>
    <t>EL00-17-04-3</t>
  </si>
  <si>
    <t>Устройство соединительной кабельной муфты/заделки кабеля СРЕДНЕГО напряжения от 1 кВ до 35 кВ, 1-жильный, сечением 240 мм2, бронированный</t>
  </si>
  <si>
    <t>EL00-17-04-4</t>
  </si>
  <si>
    <t>Устройство соединительной кабельной муфты/заделки кабеля СРЕДНЕГО напряжения от 1 кВ до 35 кВ, 1-жильный, сечением 300 мм2, бронированный</t>
  </si>
  <si>
    <t>EL00-17-04-5</t>
  </si>
  <si>
    <t>Устройство соединительной кабельной муфты/заделки кабеля СРЕДНЕГО напряжения от 1 кВ до 35 кВ, 1-жильный, сечением 400 мм2, бронированный</t>
  </si>
  <si>
    <t>EL00-17-04-6</t>
  </si>
  <si>
    <t>Устройство соединительной кабельной муфты/заделки кабеля СРЕДНЕГО напряжения от 1 кВ до 35 кВ, 1-жильный, сечением 500 мм2, бронированный</t>
  </si>
  <si>
    <t>EL00-17-04-7</t>
  </si>
  <si>
    <t>Устройство соединительной кабельной муфты/заделки кабеля СРЕДНЕГО напряжения от 1 кВ до 35 кВ, 1-жильный, сечением 630 мм2, бронированный</t>
  </si>
  <si>
    <t>EL00-17-04-8</t>
  </si>
  <si>
    <t>Устройство соединительной кабельной муфты/заделки кабеля СРЕДНЕГО напряжения от 1 кВ до 35 кВ, 1-жильный, сечением 800 мм2, бронированный</t>
  </si>
  <si>
    <t>EL00-17-04-9</t>
  </si>
  <si>
    <t>Устройство соединительной кабельной муфты/заделки кабеля СРЕДНЕГО напряжения от 1 кВ до 35 кВ, 1-жильный, сечением 1000 мм2, бронированный</t>
  </si>
  <si>
    <t>EL00-17-04-10</t>
  </si>
  <si>
    <t>Устройство соединительной кабельной муфты/заделки кабеля СРЕДНЕГО напряжения от 1 кВ до 35 кВ, 3 жильный, сечением 50 мм2, бронированный</t>
  </si>
  <si>
    <t>EL00-17-04-11</t>
  </si>
  <si>
    <t>Устройство соединительной кабельной муфты/заделки кабеля СРЕДНЕГО напряжения от 1 кВ до 35 кВ, 3 жильный, сечением 95 мм2, бронированный</t>
  </si>
  <si>
    <t>EL00-17-04-12</t>
  </si>
  <si>
    <t>Устройство соединительной кабельной муфты/заделки кабеля СРЕДНЕГО напряжения от 1 кВ до 35 кВ, 3 жильный, сечением 120 мм2, бронированный</t>
  </si>
  <si>
    <t>EL00-17-04-13</t>
  </si>
  <si>
    <t>Устройство соединительной кабельной муфты/заделки кабеля СРЕДНЕГО напряжения от 1 кВ до 35 кВ, 3 жильный, сечением 150 мм2, бронированный</t>
  </si>
  <si>
    <t>EL00-17-04-14</t>
  </si>
  <si>
    <t>Устройство соединительной кабельной муфты/заделки кабеля СРЕДНЕГО напряжения от 1 кВ до 35 кВ, 3 жильный, сечением 185 мм2, бронированный</t>
  </si>
  <si>
    <t>EL00-17-04-15</t>
  </si>
  <si>
    <t>Устройство соединительной кабельной муфты/заделки кабеля СРЕДНЕГО напряжения от 1 кВ до 35 кВ, 3 жильный, сечением 240 мм2, бронированный</t>
  </si>
  <si>
    <t>EL00-17-04-17</t>
  </si>
  <si>
    <t>Устройство соединительной муфты кабеля СРЕДНЕГО напряжения от 1 кВ до 35 кВ, 1-жильный, сечением 120 мм2, бронированный</t>
  </si>
  <si>
    <t>EL00-17-06</t>
  </si>
  <si>
    <t>Кабель небронированный, НИЗКОГО напряжения до 1 кВ, соединение</t>
  </si>
  <si>
    <t>EL00-17-06-1</t>
  </si>
  <si>
    <t>Устройство соединительной кабельной муфты/заделки кабеля НИЗКОГО напряжения до 1 кВ, 1-жильный, сечением 2,5 мм2</t>
  </si>
  <si>
    <t>EL00-17-06-51</t>
  </si>
  <si>
    <t>Устройство соединительной муфты кабеля НИЗКОГО напряжения до 1 кВ, 1-жильный, сечением 4 мм2</t>
  </si>
  <si>
    <t>EL00-17-06-52</t>
  </si>
  <si>
    <t>Устройство соединительной муфты кабеля НИЗКОГО напряжения до 1 кВ, 1-жильный, сечением 6 мм2</t>
  </si>
  <si>
    <t>EL00-17-06-53</t>
  </si>
  <si>
    <t>Устройство соединительной муфты кабеля НИЗКОГО напряжения до 1 кВ, 1-жильный, сечением 10 мм2</t>
  </si>
  <si>
    <t>EL00-17-06-54</t>
  </si>
  <si>
    <t>Устройство соединительной муфты кабеля НИЗКОГО напряжения до 1 кВ, 1-жильный, сечением 16 мм2</t>
  </si>
  <si>
    <t>EL00-17-06-55</t>
  </si>
  <si>
    <t>Устройство соединительной муфты кабеля НИЗКОГО напряжения до 1 кВ, 1-жильный, сечением 25 мм2</t>
  </si>
  <si>
    <t>EL00-17-06-2</t>
  </si>
  <si>
    <t>Устройство соединительной кабельной муфты/заделки кабеля НИЗКОГО напряжения до 1 кВ, 1-жильный, сечением 35 мм2</t>
  </si>
  <si>
    <t>EL00-17-06-3</t>
  </si>
  <si>
    <t>Устройство соединительной кабельной муфты/заделки кабеля НИЗКОГО напряжения до 1 кВ, 1-жильный, сечением 50 мм2</t>
  </si>
  <si>
    <t>EL00-17-06-4</t>
  </si>
  <si>
    <t>Устройство соединительной кабельной муфты/заделки кабеля НИЗКОГО напряжения до 1 кВ, 1-жильный, сечением 70 мм2</t>
  </si>
  <si>
    <t>EL00-17-06-5</t>
  </si>
  <si>
    <t>Устройство соединительной кабельной муфты/заделки кабеля НИЗКОГО напряжения до 1 кВ, 1-жильный, сечением 95 мм2</t>
  </si>
  <si>
    <t>EL00-17-06-6</t>
  </si>
  <si>
    <t>Устройство соединительной кабельной муфты/заделки кабеляНИЗКОГО напряжения до 1 кВ, 1-жильный, сечением 240 мм2</t>
  </si>
  <si>
    <t>EL00-17-06-7</t>
  </si>
  <si>
    <t>Устройство соединительной кабельной муфты/заделки кабеля НИЗКОГО напряжения до 1 кВ, 3-5 жильный, сечением 1,5 мм2</t>
  </si>
  <si>
    <t>EL00-17-06-8</t>
  </si>
  <si>
    <t>Устройство соединительной кабельной муфты/заделки кабеля НИЗКОГО напряжения до 1 кВ, 3-5 жильный, сечением 2,5 мм2</t>
  </si>
  <si>
    <t>EL00-17-06-9</t>
  </si>
  <si>
    <t>Устройство соединительной кабельной муфты/заделки кабеля НИЗКОГО напряжения до 1 кВ, 3-5 жильный, сечением 4 мм2</t>
  </si>
  <si>
    <t>EL00-17-06-10</t>
  </si>
  <si>
    <t>Устройство соединительной кабельной муфты/заделки кабеля НИЗКОГО напряжения до 1 кВ, 3-5 жильный, сечением 6 мм2</t>
  </si>
  <si>
    <t>EL00-17-06-11</t>
  </si>
  <si>
    <t>Устройство соединительной кабельной муфты/заделки кабеля НИЗКОГО напряжения до 1 кВ, 3 жильный, сечением 10 мм2</t>
  </si>
  <si>
    <t>EL00-17-06-12</t>
  </si>
  <si>
    <t>Устройство соединительной кабельной муфты/заделки кабеля НИЗКОГО напряжения до 1 кВ, 3 жильный, сечением 16 мм2</t>
  </si>
  <si>
    <t>EL00-17-06-13</t>
  </si>
  <si>
    <t>Устройство соединительной кабельной муфты/заделки кабеля НИЗКОГО напряжения до 1 кВ, 3 жильный, сечением 25 мм2</t>
  </si>
  <si>
    <t>EL00-17-06-14</t>
  </si>
  <si>
    <t>Устройство соединительной кабельной муфты/заделки кабеля НИЗКОГО напряжения до 1 кВ, 3 жильный, сечением 35 мм2</t>
  </si>
  <si>
    <t>EL00-17-06-15</t>
  </si>
  <si>
    <t>Устройство соединительной кабельной муфты/заделки кабеля НИЗКОГО напряжения до 1 кВ, 3 жильный, сечением 50 мм2</t>
  </si>
  <si>
    <t>EL00-17-06-16</t>
  </si>
  <si>
    <t>Устройство соединительной кабельной муфты/заделки кабеля НИЗКОГО напряжения до 1 кВ, 3 жильный, сечением 70 мм2</t>
  </si>
  <si>
    <t>EL00-17-06-17</t>
  </si>
  <si>
    <t>Устройство соединительной кабельной муфты/заделки кабеля НИЗКОГО напряжения до 1 кВ, 3 жильный, сечением 95 мм2</t>
  </si>
  <si>
    <t>EL00-17-06-18</t>
  </si>
  <si>
    <t>Устройство соединительной кабельной муфты/заделки кабеля НИЗКОГО напряжения до 1 кВ, 3 жильный, сечением 120 мм2</t>
  </si>
  <si>
    <t>EL00-17-06-19</t>
  </si>
  <si>
    <t>Устройство соединительной кабельной муфты/заделки кабеля НИЗКОГО напряжения до 1 кВ, 3 жильный, сечением 150 мм2</t>
  </si>
  <si>
    <t>EL00-17-06-20</t>
  </si>
  <si>
    <t>Устройство соединительной кабельной муфты/заделки кабеля НИЗКОГО напряжения до 1 кВ, 3 жильный, сечением 185 мм2</t>
  </si>
  <si>
    <t>EL00-17-06-21</t>
  </si>
  <si>
    <t>Устройство соединительной кабельной муфты/заделки кабеля НИЗКОГО напряжения до 1 кВ, 3 жильный, сечением 240 мм2</t>
  </si>
  <si>
    <t>EL00-17-06-22</t>
  </si>
  <si>
    <t>Устройство соединительной кабельной муфты/заделки кабеля НИЗКОГО напряжения до 1 кВ, 4 жильный, сечением 10 мм2</t>
  </si>
  <si>
    <t>EL00-17-06-23</t>
  </si>
  <si>
    <t>Устройство соединительной кабельной муфты/заделки кабеля НИЗКОГО напряжения до 1 кВ, 4 жильный, сечением 16 мм2</t>
  </si>
  <si>
    <t>EL00-17-06-24</t>
  </si>
  <si>
    <t>Устройство соединительной кабельной муфты/заделки кабеля НИЗКОГО напряжения до 1 кВ, 4 жильный, сечением 25 мм2</t>
  </si>
  <si>
    <t>EL00-17-06-25</t>
  </si>
  <si>
    <t>Устройство соединительной кабельной муфты/заделки кабеля НИЗКОГО напряжения до 1 кВ, 4 жильный, сечением 35 мм2</t>
  </si>
  <si>
    <t>EL00-17-06-26</t>
  </si>
  <si>
    <t>Устройство соединительной кабельной муфты/заделки кабеля НИЗКОГО напряжения до 1 кВ, 4 жильный, сечением 50 мм2</t>
  </si>
  <si>
    <t>EL00-17-06-27</t>
  </si>
  <si>
    <t>Устройство соединительной кабельной муфты/заделки кабеля НИЗКОГО напряжения до 1 кВ, 4 жильный, сечением 70 мм2</t>
  </si>
  <si>
    <t>EL00-17-06-28</t>
  </si>
  <si>
    <t>Устройство соединительной кабельной муфты/заделки кабеля НИЗКОГО напряжения до 1 кВ, 4 жильный, сечением 95 мм2</t>
  </si>
  <si>
    <t>EL00-17-06-29</t>
  </si>
  <si>
    <t>Устройство соединительной кабельной муфты/заделки кабеля НИЗКОГО напряжения до 1 кВ, 4 жильный, сечением 120 мм2</t>
  </si>
  <si>
    <t>EL00-17-06-30</t>
  </si>
  <si>
    <t>Устройство соединительной кабельной муфты/заделки кабеля НИЗКОГО напряжения до 1 кВ, 4 жильный, сечением 150 мм2</t>
  </si>
  <si>
    <t>EL00-17-06-31</t>
  </si>
  <si>
    <t>Устройство соединительной кабельной муфты/заделки кабеля НИЗКОГО напряжения до 1 кВ, 4 жильный, сечением 185 мм2</t>
  </si>
  <si>
    <t>EL00-17-06-32</t>
  </si>
  <si>
    <t>Устройство соединительной кабельной муфты/заделки кабеля НИЗКОГО напряжения до 1 кВ, 4 жильный, сечением 240 мм2</t>
  </si>
  <si>
    <t>EL00-17-06-33</t>
  </si>
  <si>
    <t>Устройство соединительной кабельной муфты/заделки кабеля НИЗКОГО напряжения до 1 кВ, 5 жильный, сечением 10 мм2</t>
  </si>
  <si>
    <t>EL00-17-06-34</t>
  </si>
  <si>
    <t>Устройство соединительной кабельной муфты/заделки кабеля НИЗКОГО напряжения до 1 кВ, 5 жильный, сечением 16 мм2</t>
  </si>
  <si>
    <t>EL00-17-06-35</t>
  </si>
  <si>
    <t>Устройство соединительной кабельной муфты/заделки кабеля НИЗКОГО напряжения до 1 кВ, 5 жильный, сечением 25 мм2</t>
  </si>
  <si>
    <t>EL00-17-06-36</t>
  </si>
  <si>
    <t>Устройство соединительной кабельной муфты/заделки кабеля НИЗКОГО напряжения до 1 кВ, 5 жильный, сечением 35 мм2</t>
  </si>
  <si>
    <t>EL00-17-06-37</t>
  </si>
  <si>
    <t>Устройство соединительной кабельной муфты/заделки кабеля НИЗКОГО напряжения до 1 кВ, 5 жильный, сечением 50 мм2</t>
  </si>
  <si>
    <t>EL00-17-06-38</t>
  </si>
  <si>
    <t>Устройство соединительной кабельной муфты/заделки кабеля НИЗКОГО напряжения до 1 кВ, 5 жильный, сечением 70 мм2</t>
  </si>
  <si>
    <t>EL00-17-06-39</t>
  </si>
  <si>
    <t>Устройство соединительной кабельной муфты/заделки кабеля НИЗКОГО напряжения до 1 кВ, 5 жильный, сечением 95 мм2</t>
  </si>
  <si>
    <t>EL00-17-06-40</t>
  </si>
  <si>
    <t>Устройство соединительной кабельной муфты/заделки кабеля НИЗКОГО напряжения до 1 кВ, 5 жильный, сечением 120 мм2</t>
  </si>
  <si>
    <t>EL00-17-06-41</t>
  </si>
  <si>
    <t>Устройство соединительной кабельной муфты/заделки кабеля НИЗКОГО напряжения до 1 кВ, 5 жильный, сечением 150 мм2</t>
  </si>
  <si>
    <t>EL00-17-06-42</t>
  </si>
  <si>
    <t>Устройство соединительной кабельной муфты/заделки кабеля НИЗКОГО напряжения до 1 кВ, 5 жильный, сечением 185 мм2</t>
  </si>
  <si>
    <t>EL00-17-06-43</t>
  </si>
  <si>
    <t>Устройство соединительной кабельной муфты/заделки кабеляНИЗКОГО напряжения до 1 кВ, 5 жильный, сечением 240 мм2</t>
  </si>
  <si>
    <t>EL00-17-06-44</t>
  </si>
  <si>
    <t>Устройство соединительной кабельной муфты/заделки кабеля НИЗКОГО напряжения до 1 кВ, 7 жильный, сечением 1,5 мм2</t>
  </si>
  <si>
    <t>EL00-17-06-45</t>
  </si>
  <si>
    <t>Устройство соединительной кабельной муфты/заделки кабеля НИЗКОГО напряжения до 1 кВ, 7 жильный, сечением 2,5 мм2</t>
  </si>
  <si>
    <t>EL00-17-07</t>
  </si>
  <si>
    <t>Кабель небронированный, СРЕДНЕГО напряжения от 1 кВ до 35 кВ, соединение</t>
  </si>
  <si>
    <t>EL00-17-07-1</t>
  </si>
  <si>
    <t>Устройство соединительной кабельной муфты/заделки кабеля СРЕДНЕГО напряжения от 1 кВ до 35 кВ, 1-жильный, сечением до 95 мм2</t>
  </si>
  <si>
    <t>EL00-17-07-2</t>
  </si>
  <si>
    <t>Устройство соединительной кабельной муфты/заделки кабеля СРЕДНЕГО напряжения от 1 кВ до 35 кВ, 1-жильный, сечением 150 мм2</t>
  </si>
  <si>
    <t>EL00-17-07-3</t>
  </si>
  <si>
    <t>Устройство соединительной кабельной муфты/заделки кабеля СРЕДНЕГО напряжения от 1 кВ до 35 кВ, 1-жильный, сечением 240 мм2</t>
  </si>
  <si>
    <t>EL00-17-07-4</t>
  </si>
  <si>
    <t>Устройство соединительной кабельной муфты/заделки кабеля СРЕДНЕГО напряжения от 1 кВ до 35 кВ, 1-жильный, сечением 300 мм2</t>
  </si>
  <si>
    <t>EL00-17-07-5</t>
  </si>
  <si>
    <t>Устройство соединительной кабельной муфты/заделки кабеля СРЕДНЕГО напряжения от 1 кВ до 35 кВ, 1-жильный, сечением 400 мм2</t>
  </si>
  <si>
    <t>EL00-17-07-6</t>
  </si>
  <si>
    <t>Устройство соединительной кабельной муфты/заделки кабеля СРЕДНЕГО напряжения от 1 кВ до 35 кВ, 1-жильный, сечением 500 мм2</t>
  </si>
  <si>
    <t>EL00-17-07-7</t>
  </si>
  <si>
    <t>Устройство соединительной кабельной муфты/заделки кабеля СРЕДНЕГО напряжения от 1 кВ до 35 кВ, 1-жильный, сечением 630 мм2</t>
  </si>
  <si>
    <t>EL00-17-07-8</t>
  </si>
  <si>
    <t>Устройство соединительной кабельной муфты/заделки кабеля СРЕДНЕГО напряжения от 1 кВ до 35 кВ, 1-жильный, сечением 800 мм2</t>
  </si>
  <si>
    <t>EL00-17-07-9</t>
  </si>
  <si>
    <t>Устройство соединительной кабельной муфты/заделки кабеля СРЕДНЕГО напряжения от 1 кВ до 35 кВ, 1-жильный, сечением 1000 мм2</t>
  </si>
  <si>
    <t>EL00-17-07-10</t>
  </si>
  <si>
    <t>Устройство соединительной кабельной муфты/заделки кабеля СРЕДНЕГО напряжения от 1 кВ до 35 кВ, 3 жильный, сечением 50 мм2</t>
  </si>
  <si>
    <t>EL00-17-07-11</t>
  </si>
  <si>
    <t>Устройство соединительной кабельной муфты/заделки кабеляСРЕДНЕГО напряжения от 1 кВ до 35 кВ, 3 жильный, сечением 95 мм2</t>
  </si>
  <si>
    <t>EL00-17-07-12</t>
  </si>
  <si>
    <t>Устройство соединительной кабельной муфты/заделки кабеля СРЕДНЕГО напряжения от 1 кВ до 35 кВ, 3 жильный, сечением 120 мм2</t>
  </si>
  <si>
    <t>EL00-17-07-13</t>
  </si>
  <si>
    <t>Устройство соединительной кабельной муфты/заделки кабеля СРЕДНЕГО напряжения от 1 кВ до 35 кВ, 3 жильный, сечением 150 мм2</t>
  </si>
  <si>
    <t>EL00-17-07-14</t>
  </si>
  <si>
    <t>Устройство соединительной кабельной муфты/заделки кабеля СРЕДНЕГО напряжения от 1 кВ до 35 кВ, 3 жильный, сечением 185 мм2</t>
  </si>
  <si>
    <t>EL00-17-07-15</t>
  </si>
  <si>
    <t>Устройство соединительной кабельной муфты/заделки кабеля СРЕДНЕГО напряжения от 1 кВ до 35 кВ, 3 жильный, сечением 240 мм2</t>
  </si>
  <si>
    <t>EL00-17-07-17</t>
  </si>
  <si>
    <t>Устройство соединительной муфты кабеля СРЕДНЕГО напряжения от 1 кВ до 35 кВ, 1-жильный, сечением 120 мм2</t>
  </si>
  <si>
    <t>CS00</t>
  </si>
  <si>
    <t>Кабеленесущие конструкции, кабелепроводы и конструкции под электрооборудование</t>
  </si>
  <si>
    <t>CS00-01</t>
  </si>
  <si>
    <t>Монтаж кабельных лотков без устройства опорных конструкций</t>
  </si>
  <si>
    <t>CS00-01-02</t>
  </si>
  <si>
    <t>Монтаж кабельного лотка неперфорированного/ перфорированного, без установки опор</t>
  </si>
  <si>
    <t>CS00-01-02-1</t>
  </si>
  <si>
    <t>Монтаж неперфорированного кабельного лотка ширина до 100 мм, , без установки опор</t>
  </si>
  <si>
    <t>CS00-01-02-2</t>
  </si>
  <si>
    <t>Монтаж неперфорированного кабельного лотка ширина от 100 мм до 200 мм, без установки опор</t>
  </si>
  <si>
    <t>CS00-01-02-3</t>
  </si>
  <si>
    <t>Монтаж неперфорированного кабельного лотка ширина от 200 мм до 300 мм, без установки опор</t>
  </si>
  <si>
    <t>CS00-01-02-4</t>
  </si>
  <si>
    <t>Монтаж неперфорированного кабельного лотка ширина от 300 мм до 400 мм, без установки опор</t>
  </si>
  <si>
    <t>CS00-01-02-5</t>
  </si>
  <si>
    <t>Монтаж неперфорированного кабельного лотка ширина от 400 мм до 500 мм, без установки опор</t>
  </si>
  <si>
    <t>CS00-01-02-6</t>
  </si>
  <si>
    <t>Монтаж неперфорированного кабельного лотка ширина от 500 мм до 600 мм, без установки опор</t>
  </si>
  <si>
    <t>CS00-01-02-7</t>
  </si>
  <si>
    <t>Монтаж неперфорированного кабельного лотка ширина от 600 мм до 700 мм, без установки опор</t>
  </si>
  <si>
    <t>CS00-01-02-8</t>
  </si>
  <si>
    <t>Монтаж неперфорированного кабельного лотка ширина от 700 мм до 800 мм, без установки опор</t>
  </si>
  <si>
    <t>CS00-01-02-9</t>
  </si>
  <si>
    <t>Монтаж неперфорированного кабельного лотка ширина от 800 мм до 900 мм, без установки опор</t>
  </si>
  <si>
    <t>CS00-01-02-10</t>
  </si>
  <si>
    <t>Монтаж неперфорированного кабельного лотка ширина от 900 мм до 1000 мм, без установки опор</t>
  </si>
  <si>
    <t>CS00-01-02-11</t>
  </si>
  <si>
    <t>Монтаж перфорированного кабельного лотка ширина до 100 мм, без установки опор</t>
  </si>
  <si>
    <t>CS00-01-02-12</t>
  </si>
  <si>
    <t>Монтаж перфорированного кабельного лотка ширина от 100 мм до 200 мм, без установки опор</t>
  </si>
  <si>
    <t>CS00-01-02-13</t>
  </si>
  <si>
    <t>Монтаж перфорированного кабельного лотка ширина от 200 мм до 300 мм, без установки опор</t>
  </si>
  <si>
    <t>CS00-01-02-14</t>
  </si>
  <si>
    <t>Монтаж перфорированного кабельного лотка ширина от 300 мм до 400 мм, без установки опор</t>
  </si>
  <si>
    <t>CS00-01-02-15</t>
  </si>
  <si>
    <t>Монтаж перфорированного кабельного лотка ширина от 400 мм до 500 мм, без установки опор</t>
  </si>
  <si>
    <t>CS00-01-02-16</t>
  </si>
  <si>
    <t>Монтаж перфорированного кабельного лотка ширина от 500 мм до 600 мм, без установки опор</t>
  </si>
  <si>
    <t>CS00-01-02-17</t>
  </si>
  <si>
    <t>Монтаж перфорированного кабельного лотка ширина от 600 мм до 700 мм, без установки опор</t>
  </si>
  <si>
    <t>CS00-01-02-18</t>
  </si>
  <si>
    <t>Монтаж перфорированного кабельного лотка ширина от 700 мм до 800 мм, без установки опор</t>
  </si>
  <si>
    <t>CS00-01-02-19</t>
  </si>
  <si>
    <t>Монтаж перфорированного кабельного лотка ширина от 800 мм до 900 мм, без установки опор</t>
  </si>
  <si>
    <t>CS00-01-02-20</t>
  </si>
  <si>
    <t>Монтаж перфорированного кабельного лотка ширина от 900 мм до 1000 мм, без установки опор</t>
  </si>
  <si>
    <t>CS00-02-03</t>
  </si>
  <si>
    <t>Монтаж пластиковых коробов с крышкой, включая все фитинги</t>
  </si>
  <si>
    <t>CS00-02-03-1</t>
  </si>
  <si>
    <t>Монтаж пластикового короба с крышкой, до 60 мм включительно</t>
  </si>
  <si>
    <t>CS00-02-03-2</t>
  </si>
  <si>
    <t>Монтаж пластикового короба с крышкой, от 61 мм до 100 мм включительно</t>
  </si>
  <si>
    <t>CS00-02-03-3</t>
  </si>
  <si>
    <t>Монтаж пластикового короба с крышкой, от 101 мм до 150 мм включительно</t>
  </si>
  <si>
    <t>CS00-02-03-4</t>
  </si>
  <si>
    <t>Монтаж пластикового короба с крышкой, от 151 мм до 200 мм включительно</t>
  </si>
  <si>
    <t>CS00-02-03-5</t>
  </si>
  <si>
    <t>Монтаж пластикового короба с крышкой, от 201 мм до 250 мм включительно</t>
  </si>
  <si>
    <t>CS00-03</t>
  </si>
  <si>
    <t>Монтаж крышек для кабельных лотков</t>
  </si>
  <si>
    <t>CS00-03-01</t>
  </si>
  <si>
    <t>CS00-03-01-1</t>
  </si>
  <si>
    <t>Монтаж крышки кабельного лотка ширина до 100 мм</t>
  </si>
  <si>
    <t>CS00-03-01-2</t>
  </si>
  <si>
    <t>Монтаж крышки кабельного лотка ширина от 100 мм до 200 мм</t>
  </si>
  <si>
    <t>CS00-03-01-3</t>
  </si>
  <si>
    <t>Монтаж крышки кабельного лотка ширина от 200 мм до 300 мм</t>
  </si>
  <si>
    <t>CS00-03-01-4</t>
  </si>
  <si>
    <t>Монтаж крышки кабельного лотка ширина от 300 мм до 400 мм</t>
  </si>
  <si>
    <t>CS00-03-01-5</t>
  </si>
  <si>
    <t>Монтаж крышки кабельного лотка ширина от 400 мм до 500 мм</t>
  </si>
  <si>
    <t>CS00-03-01-6</t>
  </si>
  <si>
    <t>Монтаж крышки кабельного лотка ширина от 500 мм до 600 мм</t>
  </si>
  <si>
    <t>CS00-03-01-7</t>
  </si>
  <si>
    <t>Монтаж крышки кабельного лотка ширина от 600 мм до 700 мм</t>
  </si>
  <si>
    <t>CS00-03-01-8</t>
  </si>
  <si>
    <t>Монтаж крышки кабельного лотка ширина от 700 мм до 800 мм</t>
  </si>
  <si>
    <t>CS00-03-01-9</t>
  </si>
  <si>
    <t>Монтаж крышки кабельного лотка ширина от 800 мм до 900 мм</t>
  </si>
  <si>
    <t>CS00-03-01-10</t>
  </si>
  <si>
    <t>Монтаж крышки кабельного лотка ширина от 900 мм до 1000 мм</t>
  </si>
  <si>
    <t>CS00-04</t>
  </si>
  <si>
    <t>Установка труб для кабельных трасс</t>
  </si>
  <si>
    <t>CS00-04-01</t>
  </si>
  <si>
    <t>Установка труб для кабельных трасс, открытым способом</t>
  </si>
  <si>
    <t>CS00-04-01-1</t>
  </si>
  <si>
    <t>Монтаж кабелепровода из стальной трубы до 25 мм, включительно по кабельным стойкам, полкам включая монтаж стоек и полок</t>
  </si>
  <si>
    <t>CS00-04-01-2</t>
  </si>
  <si>
    <t>Монтаж кабелепровода из стальной трубы от 26 мм до 63 мм, включительно по кабельным стойкам, полкам включая монтаж стоек и полок</t>
  </si>
  <si>
    <t>CS00-04-01-3</t>
  </si>
  <si>
    <t>Монтаж кабелепровода из стальной трубы от 64 мм до 160 мм, включительно по кабельным стойкам, полкам включая монтаж стоек и полок</t>
  </si>
  <si>
    <t>CS00-04-01-4</t>
  </si>
  <si>
    <t>Монтаж кабелепровода из стальной трубы до 25 мм, включительно по строительным конструкциям</t>
  </si>
  <si>
    <t>CS00-04-01-5</t>
  </si>
  <si>
    <t>Монтаж кабелепровода из стальной трубы от 26 мм до 63 мм, включительно по строительным конструкциям</t>
  </si>
  <si>
    <t>CS00-04-01-6</t>
  </si>
  <si>
    <t>Монтаж кабелепровода из стальной трубы от 64 мм до 160 мм, включительно по строительным конструкциям</t>
  </si>
  <si>
    <t>CS00-04-01-7</t>
  </si>
  <si>
    <t>Монтаж кабелепровода из полимерной трубы до 25 мм, включительно по кабельным стойкам полкам</t>
  </si>
  <si>
    <t>CS00-04-01-8</t>
  </si>
  <si>
    <t>Монтаж кабелепровода из полимерной трубы от 26 мм до 63 мм, включительно по кабельным стойкам полкам</t>
  </si>
  <si>
    <t>CS00-04-01-9</t>
  </si>
  <si>
    <t>Монтаж кабелепровода из полимерной трубы от 64 мм до 160 мм, включительно по кабельным стойкам полкам</t>
  </si>
  <si>
    <t>CS00-04-01-10</t>
  </si>
  <si>
    <t>Монтаж кабелепровода из полимерной трубы до 25 мм, включительно по строительным конструкциям</t>
  </si>
  <si>
    <t>CS00-04-01-11</t>
  </si>
  <si>
    <t>Монтаж кабелепровода из полимерной трубы от 26 мм до 63 мм, включительно по строительным конструкциям</t>
  </si>
  <si>
    <t>CS00-04-01-12</t>
  </si>
  <si>
    <t>Монтаж кабелепровода из полимерной трубы от 64 мм до 160 мм, включительно по строительным конструкциям</t>
  </si>
  <si>
    <t>CS00-04-01-13</t>
  </si>
  <si>
    <t>Монтаж металлорукава, гофрированной трубы до 20 мм, без оболочки</t>
  </si>
  <si>
    <t>CS00-04-01-14</t>
  </si>
  <si>
    <t>Монтаж металлорукава, гофрированной трубы от 21 до 32 мм, без оболочки</t>
  </si>
  <si>
    <t>CS00-04-01-15</t>
  </si>
  <si>
    <t>Монтаж металлорукава, гофрированной трубы от 40 до 50 мм, без оболочки</t>
  </si>
  <si>
    <t>CS00-04-01-16</t>
  </si>
  <si>
    <t>Монтаж металлорукава, гофрированной трубы до 20 мм,с оболочкой ПВХ/ППУ/EVA включая оплетку из оцинкованной стали</t>
  </si>
  <si>
    <t>CS00-04-01-17</t>
  </si>
  <si>
    <t>Монтаж металлорукава, гофрированной трубы от 21 до 32 мм, с оболочкой ПВХ/ППУ/EVA включая оплетку из оцинкованной стали</t>
  </si>
  <si>
    <t>CS00-04-01-18</t>
  </si>
  <si>
    <t>Монтаж металлорукава, гофрированной трубы от 40 до 50 мм, с оболочкой ПВХ/ППУ/EVA включая оплетку из оцинкованной стали</t>
  </si>
  <si>
    <t>CS00-04-01-19</t>
  </si>
  <si>
    <t>Монтаж металлорукава, гофрированной трубы от 51 до 100 мм, с оболочкой ПВХ/ППУ/EVA включая оплетку из оцинкованной стали</t>
  </si>
  <si>
    <t>CS00-04-02</t>
  </si>
  <si>
    <t>Прокладка подземных, защитных труб</t>
  </si>
  <si>
    <t>CS00-04-02-1</t>
  </si>
  <si>
    <t>ПНД труба диаметром до 50 мм включительно</t>
  </si>
  <si>
    <t>CS00-04-02-2</t>
  </si>
  <si>
    <t>ПНД труба диаметром от 51 мм до 110 мм включительно</t>
  </si>
  <si>
    <t>CS00-04-02-3</t>
  </si>
  <si>
    <t>ПНД труба диаметром от 111 мм до 160 мм включительно</t>
  </si>
  <si>
    <t>CS00-04-02-4</t>
  </si>
  <si>
    <t>ПНД труба диаметром от 161 мм до 200 мм включительно</t>
  </si>
  <si>
    <t>CS00-04-02-5</t>
  </si>
  <si>
    <t>ПНД труба диаметром от 201 мм до 400 мм включительно</t>
  </si>
  <si>
    <t>CS00-05</t>
  </si>
  <si>
    <t>Кабельные проходки/уплотнители/RM-блоки</t>
  </si>
  <si>
    <t>CS00-05-01</t>
  </si>
  <si>
    <t>Герметизация-установка газонепроницаемых транзитных блоков (кабельные проходки/уплотнители/RM-блоки)</t>
  </si>
  <si>
    <t>CS00-05-03</t>
  </si>
  <si>
    <t>Герметизация-установка кабельных проходок</t>
  </si>
  <si>
    <t>CS00-05-03-1</t>
  </si>
  <si>
    <t>Трубная кабельная проходка диаметром от d=33мм до d= 50мм включительно</t>
  </si>
  <si>
    <t>CS00-05-03-2</t>
  </si>
  <si>
    <t>Трубная кабельная проходка диаметром от d=51мм до d= 70мм включительно</t>
  </si>
  <si>
    <t>CS00-05-03-3</t>
  </si>
  <si>
    <t>Трубная кабельная проходка диаметром от d=71мм до d= 90мм включительно</t>
  </si>
  <si>
    <t>CS00-05-03-4</t>
  </si>
  <si>
    <t>Трубная кабельная проходка диаметром от d=91мм до d= 110мм включительно</t>
  </si>
  <si>
    <t>CS00-05-04</t>
  </si>
  <si>
    <t>Герметизация-установка газонепроницаемых транзитных блоков (уплотнители/RM-блоки) с организацией проемов</t>
  </si>
  <si>
    <t>CS00-05-04-1</t>
  </si>
  <si>
    <t>Монтаж рамы транзитных блоков (до 200 x 200 мм) с организацией монтажного проема в конструкции и заполнением транзитными блоками</t>
  </si>
  <si>
    <t>CS00-05-04-2</t>
  </si>
  <si>
    <t>Монтаж рамы транзитных блоков (от 210 x 210 мм до 350 х 350мм ) с организацией монтажного проема в конструкции и заполнением транзитными блоками</t>
  </si>
  <si>
    <t>CS00-05-04-3</t>
  </si>
  <si>
    <t>Монтаж рамы транзитных блоков (от 360 x 360 мм до 450 х 450мм ) с организацией монтажного проема в конструкции и заполнением транзитными блоками</t>
  </si>
  <si>
    <t>CS00-05-04-4</t>
  </si>
  <si>
    <t>Монтаж рамы транзитных блоков (от 460 x 460 мм до 550 х 550мм ) с организацией монтажного проема в конструкции и заполнением транзитными блоками</t>
  </si>
  <si>
    <t>CS00-05-04-5</t>
  </si>
  <si>
    <t>Монтаж рамы транзитных блоков (от 560 x 560 мм до 650 х 650мм ) с организацией монтажного проема в конструкции и заполнением транзитными блоками</t>
  </si>
  <si>
    <t>CS00-05-04-6</t>
  </si>
  <si>
    <t>Монтаж рамы транзитных блоков (от 760 x 760 мм до 850 х 850мм ) с организацией монтажного проема в конструкции и заполнением транзитными блоками</t>
  </si>
  <si>
    <t>CS00-05-05</t>
  </si>
  <si>
    <t>Герметизация-установка газонепроницаемых транзитных блоков (уплотнители/RM-блоки) в существующие проемы</t>
  </si>
  <si>
    <t>CS00-05-05-1</t>
  </si>
  <si>
    <t>Монтаж рамы транзитных блоков (до 200 x 200 мм) в существующий монтажный проем в конструкции и заполнением транзитными блоками</t>
  </si>
  <si>
    <t>CS00-05-05-2</t>
  </si>
  <si>
    <t>Монтаж рамы транзитных блоков (от 210 x 210 мм до 350 х 350мм ) в существующий монтажный проем в конструкции и заполнением транзитными блоками</t>
  </si>
  <si>
    <t>CS00-05-05-3</t>
  </si>
  <si>
    <t>Монтаж рамы транзитных блоков (от 360 x 360 мм до 450 х 450мм ) в существующий монтажный проем в конструкции и заполнением транзитными блоками</t>
  </si>
  <si>
    <t>CS00-05-05-4</t>
  </si>
  <si>
    <t>Монтаж рамы транзитных блоков (от 460 x 460 мм до 550 х 550мм ) в существующий монтажный проем в конструкции и заполнением транзитными блоками</t>
  </si>
  <si>
    <t>CS00-05-05-5</t>
  </si>
  <si>
    <t>Монтаж рамы транзитных блоков (от 560 x 560 мм до 650 х 650мм ) в существующий монтажный проем в конструкции и заполнением транзитными блоками</t>
  </si>
  <si>
    <t>CS00-05-05-6</t>
  </si>
  <si>
    <t>Монтаж рамы транзитных блоков (от 760 x 760 мм до 850 х 850мм ) в существующий монтажный проем в конструкции и заполнением транзитными блоками</t>
  </si>
  <si>
    <t>CS00-06</t>
  </si>
  <si>
    <t>Малогабаритные металлоконструкции</t>
  </si>
  <si>
    <t>CS00-06-01</t>
  </si>
  <si>
    <t>CS00-06-01-4</t>
  </si>
  <si>
    <t>Изготовление/сборка и монтаж малогабаритной металлоконструкции, до 30 кг, из горячеоцинкованной стали</t>
  </si>
  <si>
    <t>CS00-06-02</t>
  </si>
  <si>
    <t>Малогабаритные металлоконструкции, заводской готовности</t>
  </si>
  <si>
    <t>CS00-06-02-1</t>
  </si>
  <si>
    <t>Малогабаритная металлоконструкция, до 5 кг, заводской готовности, горячеоцинкованная сталь</t>
  </si>
  <si>
    <t>CS00-06-02-2</t>
  </si>
  <si>
    <t>Малогабаритная металлоконструкция, от 5 кг до 10 кг, заводской готовности, горячеоцинкованная сталь</t>
  </si>
  <si>
    <t>CS00-07</t>
  </si>
  <si>
    <t>Монтаж закладных деталей и элементов для электроустановочных механизмов и оборудования ЭОМ/КИПиА и Слаботочных систем</t>
  </si>
  <si>
    <t>CS00-07-01</t>
  </si>
  <si>
    <t>Монтаж закладных в стенах</t>
  </si>
  <si>
    <t>CS00-07-01-01</t>
  </si>
  <si>
    <t>Монтаж подрозетника в бетоне/кирпиче</t>
  </si>
  <si>
    <t>CS00-07-01-02</t>
  </si>
  <si>
    <t>Монтаж подрозетника в фальшстене (ГКЛ, HPL и тд.)</t>
  </si>
  <si>
    <t>CS00-07-01-03</t>
  </si>
  <si>
    <t>Монтаж распр. коробки в бетоне/кирпиче</t>
  </si>
  <si>
    <t>CS00-07-01-04</t>
  </si>
  <si>
    <t>Монтаж распр. коробки в фальшстене (ГКЛ, HPL и тд.)</t>
  </si>
  <si>
    <t>CS00-07-02</t>
  </si>
  <si>
    <t>Монтаж закладных в полах</t>
  </si>
  <si>
    <t>CS00-07-02-01</t>
  </si>
  <si>
    <t xml:space="preserve">Монтаж впольного лючка для скрытых электроустановочных изделий до 5 модулей по типу "Лючок в пол Mosaic" </t>
  </si>
  <si>
    <t>CS00-07-02-02</t>
  </si>
  <si>
    <t xml:space="preserve">Монтаж впольного лючка для скрытых электроустановочных изделий от 6 до 10 модулей по типу "Лючок в пол Mosaic" </t>
  </si>
  <si>
    <t>CS00-07-02-03</t>
  </si>
  <si>
    <t xml:space="preserve">Монтаж впольного лючка для скрытых электроустановочных изделий на 11 модулей и выше по типу "Лючок в пол Mosaic" </t>
  </si>
  <si>
    <t>II00</t>
  </si>
  <si>
    <t>Монтаж оборудования КИПиА и слаботочных систем</t>
  </si>
  <si>
    <t>II00-03</t>
  </si>
  <si>
    <t>Прокладка кабеля</t>
  </si>
  <si>
    <t>II00-03-01</t>
  </si>
  <si>
    <t>Монтаж кабеля, надземная прокладка, с общим экранированием или без брони и экрана - Группа (ОЭ)/(ББЭ)</t>
  </si>
  <si>
    <t>II00-03-01-9</t>
  </si>
  <si>
    <t>Надземная прокладка кабеля, Группа (ОЭ)/(ББЭ), общее количество жил 1-4, сечением жилы до 1 мм2, неогнестойкий</t>
  </si>
  <si>
    <t>II00-03-01-10</t>
  </si>
  <si>
    <t>Надземная прокладка кабеля, Группа (ОЭ)/(ББЭ), общее количество жил 1-4, сечением жилы от 1мм2 до 2,5 мм2, неогнестойкий</t>
  </si>
  <si>
    <t>II00-03-01-11</t>
  </si>
  <si>
    <t>Надземная прокладка кабеля, Группа (ОЭ)/(ББЭ), общее количество жил 5-8, сечением жилы до 1 мм2, неогнестойкий</t>
  </si>
  <si>
    <t>II00-03-01-12</t>
  </si>
  <si>
    <t>Надземная прокладка кабеля, Группа (ОЭ)/(ББЭ), общее количество жил 5-8, сечением жилы от 1мм2 до 2,5 мм2, неогнестойкий</t>
  </si>
  <si>
    <t>II00-03-01-13</t>
  </si>
  <si>
    <t>Надземная прокладка кабеля, Группа (ОЭ)/(ББЭ), общее количество жил 9-12, сечением жилы до 1 мм2, неогнестойкий</t>
  </si>
  <si>
    <t>II00-03-01-14</t>
  </si>
  <si>
    <t>Надземная прокладка кабеля, Группа (ОЭ)/(ББЭ), общее количество жил 9-12, сечением жилы от 1мм2 до 2,5 мм2, неогнестойкий</t>
  </si>
  <si>
    <t>II00-03-01-15</t>
  </si>
  <si>
    <t>Надземная прокладка кабеля, Группа (ОЭ)/(ББЭ), общее количество жил 13-16, сечением жилы до 1 мм2, неогнестойкий</t>
  </si>
  <si>
    <t>II00-03-01-16</t>
  </si>
  <si>
    <t>Надземная прокладка кабеля, Группа (ОЭ)/(ББЭ), общее количество жил 13-16, сечением жилы от 1мм2 до 2,5 мм2, неогнестойкий</t>
  </si>
  <si>
    <t>II00-03-01-17</t>
  </si>
  <si>
    <t>Надземная прокладка кабеля, Группа (ОЭ)/(ББЭ), общее количество жил 17-20, сечением жилы до 1 мм2, неогнестойкий</t>
  </si>
  <si>
    <t>II00-03-01-18</t>
  </si>
  <si>
    <t>Надземная прокладка кабеля, Группа (ОЭ)/(ББЭ), общее количество жил 17-20, сечением жилы от 1мм2 до 2,5 мм2, неогнестойкий</t>
  </si>
  <si>
    <t>II00-03-01-19</t>
  </si>
  <si>
    <t>Надземная прокладка кабеля, Группа (ОЭ)/(ББЭ), общее количество жил 21-24, сечением жилы до 1 мм2, неогнестойкий</t>
  </si>
  <si>
    <t>II00-03-01-20</t>
  </si>
  <si>
    <t>Надземная прокладка кабеля, Группа (ОЭ)/(ББЭ), общее количество жил 21-24, сечением жилы от 1мм2 до 2,5 мм2, неогнестойкий</t>
  </si>
  <si>
    <t>II00-03-01-21</t>
  </si>
  <si>
    <t>Надземная прокладка кабеля, Группа (ОЭ)/(ББЭ), общее количество жил 25-28, сечением жилы до 1 мм2, неогнестойкий</t>
  </si>
  <si>
    <t>II00-03-01-22</t>
  </si>
  <si>
    <t>Надземная прокладка кабеля, Группа (ОЭ)/(ББЭ), общее количество жил 25-28, сечением жилы от 1мм2 до 2,5 мм2, неогнестойкий</t>
  </si>
  <si>
    <t>II00-03-01-23</t>
  </si>
  <si>
    <t>Надземная прокладка кабеля, Группа (ОЭ)/(ББЭ), общее количество жил 29-32, сечением жилы до 1 мм2, неогнестойкий</t>
  </si>
  <si>
    <t>II00-03-01-24</t>
  </si>
  <si>
    <t>Надземная прокладка кабеля, Группа (ОЭ)/(ББЭ), общее количество жил 29-32, сечением жилы от 1мм2 до 2,5 мм2, неогнестойкий</t>
  </si>
  <si>
    <t>II00-03-01-25</t>
  </si>
  <si>
    <t>Надземная прокладка кабеля, Группа (ОЭ)/(ББЭ), общее количество жил 33-36, сечением жилы до 1 мм2, неогнестойкий</t>
  </si>
  <si>
    <t>II00-03-01-26</t>
  </si>
  <si>
    <t>Надземная прокладка кабеля, Группа (ОЭ)/(ББЭ), общее количество жил 33-36, сечением жилы от 1мм2 до 2,5 мм2, неогнестойкий</t>
  </si>
  <si>
    <t>II00-03-01-27</t>
  </si>
  <si>
    <t>Надземная прокладка кабеля, Группа (ОЭ)/(ББЭ), общее количество жил 37-40, сечением жилы до 1 мм2, неогнестойкий</t>
  </si>
  <si>
    <t>II00-03-01-28</t>
  </si>
  <si>
    <t>Надземная прокладка кабеля, Группа (ОЭ)/(ББЭ), общее количество жил 37-40, сечением жилы от 1мм2 до 2,5 мм2, неогнестойкий</t>
  </si>
  <si>
    <t>II00-03-01-29</t>
  </si>
  <si>
    <t>Надземная прокладка кабеля, Группа (ОЭ)/(ББЭ), общее количество жил 41-44, сечением жилы до 1 мм2, неогнестойкий</t>
  </si>
  <si>
    <t>II00-03-01-30</t>
  </si>
  <si>
    <t>Надземная прокладка кабеля, Группа (ОЭ)/(ББЭ), общее количество жил 41-44, сечением жилы от 1мм2 до 2,5 мм2, неогнестойкий</t>
  </si>
  <si>
    <t>II00-03-01-31</t>
  </si>
  <si>
    <t>Надземная прокладка кабеля, Группа (ОЭ)/(ББЭ), общее количество жил 45-48, сечением жилы до 1 мм2, неогнестойкий</t>
  </si>
  <si>
    <t>II00-03-01-32</t>
  </si>
  <si>
    <t>Надземная прокладка кабеля, Группа (ОЭ)/(ББЭ), общее количество жил 45-48, сечением жилы от 1мм2 до 2,5 мм2, неогнестойкий</t>
  </si>
  <si>
    <t>II00-03-01-33</t>
  </si>
  <si>
    <t>Надземная прокладка кабеля, Группа (ОЭ)/(ББЭ), общее количество жил 49-52, сечением жилы до 1 мм2, неогнестойкий</t>
  </si>
  <si>
    <t>II00-03-01-34</t>
  </si>
  <si>
    <t>Надземная прокладка кабеля, Группа (ОЭ)/(ББЭ), общее количество жил 49-52, сечением жилы от 1мм2 до 2,5 мм2, неогнестойкий</t>
  </si>
  <si>
    <t>II00-03-01-35</t>
  </si>
  <si>
    <t>Надземная прокладка кабеля, Группа (ОЭ)/(ББЭ), общее количество жил 53-56, сечением жилы до 1 мм2, неогнестойкий</t>
  </si>
  <si>
    <t>II00-03-01-36</t>
  </si>
  <si>
    <t>Надземная прокладка кабеля, Группа (ОЭ)/(ББЭ), общее количество жил 53-56, сечением жилы от 1мм2 до 2,5 мм2, неогнестойкий</t>
  </si>
  <si>
    <t>II00-03-01-37</t>
  </si>
  <si>
    <t>Надземная прокладка кабеля, Группа (ОЭ)/(ББЭ), общее количество жил 57-60, сечением жилы до 1 мм2, неогнестойкий</t>
  </si>
  <si>
    <t>II00-03-01-38</t>
  </si>
  <si>
    <t>Надземная прокладка кабеля, Группа (ОЭ)/(ББЭ), общее количество жил 57-60, сечением жилы от 1мм2 до 2,5 мм2, неогнестойкий</t>
  </si>
  <si>
    <t>II00-03-01-39</t>
  </si>
  <si>
    <t>Надземная прокладка кабеля, Группа (ОЭ)/(ББЭ), общее количество жил 61-64, сечением жилы до 1 мм2, неогнестойкий</t>
  </si>
  <si>
    <t>II00-03-01-40</t>
  </si>
  <si>
    <t>Надземная прокладка кабеля, Группа (ОЭ)/(ББЭ), общее количество жил 61-64, сечением жилы от 1мм2 до 2,5 мм2, неогнестойкий</t>
  </si>
  <si>
    <t>II00-03-01-41</t>
  </si>
  <si>
    <t>Надземная прокладка кабеля, Группа (ОЭ)/(ББЭ), общее количество жил 1-4, сечением жилы до 1 мм2, огнестойкий</t>
  </si>
  <si>
    <t>II00-03-01-42</t>
  </si>
  <si>
    <t>Надземная прокладка кабеля, Группа (ОЭ)/(ББЭ), общее количество жил 1-4, сечением жилы от 1мм2 до 2,5 мм2, огнестойкий</t>
  </si>
  <si>
    <t>II00-03-01-43</t>
  </si>
  <si>
    <t>Надземная прокладка кабеля, Группа (ОЭ)/(ББЭ), общее количество жил 5-8, сечением жилы до 1 мм2, огнестойкий</t>
  </si>
  <si>
    <t>II00-03-01-44</t>
  </si>
  <si>
    <t>Надземная прокладка кабеля, Группа (ОЭ)/(ББЭ), общее количество жил 5-8, сечением жилы от 1мм2 до 2,5 мм2, огнестойкий</t>
  </si>
  <si>
    <t>II00-03-01-45</t>
  </si>
  <si>
    <t>Надземная прокладка кабеля, Группа (ОЭ)/(ББЭ), общее количество жил 9-12, сечением жилы до 1 мм2, огнестойкий</t>
  </si>
  <si>
    <t>II00-03-01-46</t>
  </si>
  <si>
    <t>Надземная прокладка кабеля, Группа (ОЭ)/(ББЭ), общее количество жил 9-12, сечением жилы от 1мм2 до 2,5 мм2, огнестойкий</t>
  </si>
  <si>
    <t>II00-03-01-47</t>
  </si>
  <si>
    <t>Надземная прокладка кабеля, Группа (ОЭ)/(ББЭ), общее количество жил 13-16, сечением жилы до 1 мм2, огнестойкий</t>
  </si>
  <si>
    <t>II00-03-01-48</t>
  </si>
  <si>
    <t>Надземная прокладка кабеля, Группа (ОЭ)/(ББЭ), общее количество жил 13-16, сечением жилы от 1мм2 до 2,5 мм2, огнестойкий</t>
  </si>
  <si>
    <t>II00-03-01-49</t>
  </si>
  <si>
    <t>Надземная прокладка кабеля, Группа (ОЭ)/(ББЭ), общее количество жил 17-20, сечением жилы до 1 мм2, огнестойкий</t>
  </si>
  <si>
    <t>II00-03-01-50</t>
  </si>
  <si>
    <t>Надземная прокладка кабеля, Группа (ОЭ)/(ББЭ), общее количество жил 17-20, сечением жилы от 1мм2 до 2,5 мм2, огнестойкий</t>
  </si>
  <si>
    <t>II00-03-01-51</t>
  </si>
  <si>
    <t>Надземная прокладка кабеля, Группа (ОЭ)/(ББЭ), общее количество жил 21-24, сечением жилы до 1 мм2, огнестойкий</t>
  </si>
  <si>
    <t>II00-03-01-52</t>
  </si>
  <si>
    <t>Надземная прокладка кабеля, Группа (ОЭ)/(ББЭ), общее количество жил 21-24, сечением жилы от 1мм2 до 2,5 мм2, огнестойкий</t>
  </si>
  <si>
    <t>II00-03-01-53</t>
  </si>
  <si>
    <t>Надземная прокладка кабеля, Группа (ОЭ)/(ББЭ), общее количество жил 25-28, сечением жилы до 1 мм2, огнестойкий</t>
  </si>
  <si>
    <t>II00-03-01-54</t>
  </si>
  <si>
    <t>Надземная прокладка кабеля, Группа (ОЭ)/(ББЭ), общее количество жил 25-28, сечением жилы от 1мм2 до 2,5 мм2, огнестойкий</t>
  </si>
  <si>
    <t>II00-03-01-55</t>
  </si>
  <si>
    <t>Надземная прокладка кабеля, Группа (ОЭ)/(ББЭ), общее количество жил 29-32, сечением жилы до 1 мм2, огнестойкий</t>
  </si>
  <si>
    <t>II00-03-01-56</t>
  </si>
  <si>
    <t>Надземная прокладка кабеля, Группа (ОЭ)/(ББЭ), общее количество жил 29-32, сечением жилы от 1мм2 до 2,5 мм2, огнестойкий</t>
  </si>
  <si>
    <t>II00-03-01-57</t>
  </si>
  <si>
    <t>Надземная прокладка кабеля, Группа (ОЭ)/(ББЭ), общее количество жил 33-36, сечением жилы до 1 мм2, огнестойкий</t>
  </si>
  <si>
    <t>II00-03-01-58</t>
  </si>
  <si>
    <t>Надземная прокладка кабеля, Группа (ОЭ)/(ББЭ), общее количество жил 33-36, сечением жилы от 1мм2 до 2,5 мм2, огнестойкий</t>
  </si>
  <si>
    <t>II00-03-01-59</t>
  </si>
  <si>
    <t>Надземная прокладка кабеля, Группа (ОЭ)/(ББЭ), общее количество жил 37-40, сечением жилы до 1 мм2, огнестойкий</t>
  </si>
  <si>
    <t>II00-03-01-60</t>
  </si>
  <si>
    <t>Надземная прокладка кабеля, Группа (ОЭ)/(ББЭ), общее количество жил 37-40, сечением жилы от 1мм2 до 2,5 мм2, огнестойкий</t>
  </si>
  <si>
    <t>II00-03-01-61</t>
  </si>
  <si>
    <t>Надземная прокладка кабеля, Группа (ОЭ)/(ББЭ), общее количество жил 41-44, сечением жилы до 1 мм2, огнестойкий</t>
  </si>
  <si>
    <t>II00-03-01-62</t>
  </si>
  <si>
    <t>Надземная прокладка кабеля, Группа (ОЭ)/(ББЭ), общее количество жил 41-44, сечением жилы от 1мм2 до 2,5 мм2, огнестойкий</t>
  </si>
  <si>
    <t>II00-03-01-63</t>
  </si>
  <si>
    <t>Надземная прокладка кабеля, Группа (ОЭ)/(ББЭ), общее количество жил 45-48, сечением жилы до 1 мм2, огнестойкий</t>
  </si>
  <si>
    <t>II00-03-01-64</t>
  </si>
  <si>
    <t>Надземная прокладка кабеля, Группа (ОЭ)/(ББЭ), общее количество жил 45-48, сечением жилы от 1мм2 до 2,5 мм2, огнестойкий</t>
  </si>
  <si>
    <t>II00-03-01-65</t>
  </si>
  <si>
    <t>Надземная прокладка кабеля, Группа (ОЭ)/(ББЭ), общее количество жил 49-52, сечением жилы до 1 мм2, огнестойкий</t>
  </si>
  <si>
    <t>II00-03-01-66</t>
  </si>
  <si>
    <t>Надземная прокладка кабеля, Группа (ОЭ)/(ББЭ), общее количество жил 49-52, сечением жилы от 1мм2 до 2,5 мм2, огнестойкий</t>
  </si>
  <si>
    <t>II00-03-01-67</t>
  </si>
  <si>
    <t>Надземная прокладка кабеля, Группа (ОЭ)/(ББЭ), общее количество жил 53-56, сечением жилы до 1 мм2, огнестойкий</t>
  </si>
  <si>
    <t>II00-03-01-68</t>
  </si>
  <si>
    <t>Надземная прокладка кабеля, Группа (ОЭ)/(ББЭ), общее количество жил 53-56, сечением жилы от 1мм2 до 2,5 мм2, огнестойкий</t>
  </si>
  <si>
    <t>II00-03-01-69</t>
  </si>
  <si>
    <t>Надземная прокладка кабеля, Группа (ОЭ)/(ББЭ), общее количество жил 57-60, сечением жилы до 1 мм2, огнестойкий</t>
  </si>
  <si>
    <t>II00-03-01-70</t>
  </si>
  <si>
    <t>Надземная прокладка кабеля, Группа (ОЭ)/(ББЭ), общее количество жил 57-60, сечением жилы от 1мм2 до 2,5 мм2, огнестойкий</t>
  </si>
  <si>
    <t>II00-03-01-71</t>
  </si>
  <si>
    <t>Надземная прокладка кабеля, Группа (ОЭ)/(ББЭ), общее количество жил 61-64, сечением жилы до 1 мм2, огнестойкий</t>
  </si>
  <si>
    <t>II00-03-01-72</t>
  </si>
  <si>
    <t>Надземная прокладка кабеля, Группа (ОЭ)/(ББЭ), общее количество жил 61-64, сечением жилы от 1мм2 до 2,5 мм2, огнестойкий</t>
  </si>
  <si>
    <t>II00-03-02</t>
  </si>
  <si>
    <t>Монтаж кабеля, подземная прокладка, с общим экранированием или без брони и экрана - Группа (ОЭ)/(ББЭ)</t>
  </si>
  <si>
    <t>II00-03-02-9</t>
  </si>
  <si>
    <t>Подземная прокладка кабеля, Группа (ОЭ)/(ББЭ), общее количество жил 1-4, сечением жилы до 1 мм2, неогнестойкий</t>
  </si>
  <si>
    <t>II00-03-02-10</t>
  </si>
  <si>
    <t>Подземная прокладка кабеля, Группа (ОЭ)/(ББЭ), общее количество жил 1-4, сечением жилы от 1мм2 до 2,5 мм2, неогнестойкий</t>
  </si>
  <si>
    <t>II00-03-02-11</t>
  </si>
  <si>
    <t>Подземная прокладка кабеля, Группа (ОЭ)/(ББЭ), общее количество жил 5-8, сечением жилы до 1 мм2, неогнестойкий</t>
  </si>
  <si>
    <t>II00-03-02-12</t>
  </si>
  <si>
    <t>Подземная прокладка кабеля, Группа (ОЭ)/(ББЭ), общее количество жил 5-8, сечением жилы от 1мм2 до 2,5 мм2, неогнестойкий</t>
  </si>
  <si>
    <t>II00-03-02-13</t>
  </si>
  <si>
    <t>Подземная прокладка кабеля, Группа (ОЭ)/(ББЭ), общее количество жил 9-12, сечением жилы до 1 мм2, неогнестойкий</t>
  </si>
  <si>
    <t>II00-03-02-14</t>
  </si>
  <si>
    <t>Подземная прокладка кабеля, Группа (ОЭ)/(ББЭ), общее количество жил 9-12, сечением жилы от 1мм2 до 2,5 мм2, неогнестойкий</t>
  </si>
  <si>
    <t>II00-03-02-15</t>
  </si>
  <si>
    <t>Подземная прокладка кабеля, Группа (ОЭ)/(ББЭ), общее количество жил 13-16, сечением жилы до 1 мм2, неогнестойкий</t>
  </si>
  <si>
    <t>II00-03-02-16</t>
  </si>
  <si>
    <t>Подземная прокладка кабеля, Группа (ОЭ)/(ББЭ), общее количество жил 13-16, сечением жилы от 1мм2 до 2,5 мм2, неогнестойкий</t>
  </si>
  <si>
    <t>II00-03-02-17</t>
  </si>
  <si>
    <t>Подземная прокладка кабеля, Группа (ОЭ)/(ББЭ), общее количество жил 17-20, сечением жилы до 1 мм2, неогнестойкий</t>
  </si>
  <si>
    <t>II00-03-02-18</t>
  </si>
  <si>
    <t>Подземная прокладка кабеля, Группа (ОЭ)/(ББЭ), общее количество жил 17-20, сечением жилы от 1мм2 до 2,5 мм2, неогнестойкий</t>
  </si>
  <si>
    <t>II00-03-02-19</t>
  </si>
  <si>
    <t>Подземная прокладка кабеля, Группа (ОЭ)/(ББЭ), общее количество жил 21-24, сечением жилы до 1 мм2, неогнестойкий</t>
  </si>
  <si>
    <t>II00-03-02-20</t>
  </si>
  <si>
    <t>Подземная прокладка кабеля, Группа (ОЭ)/(ББЭ), общее количество жил 21-24, сечением жилы от 1мм2 до 2,5 мм2, неогнестойкий</t>
  </si>
  <si>
    <t>II00-03-02-21</t>
  </si>
  <si>
    <t>Подземная прокладка кабеля, Группа (ОЭ)/(ББЭ), общее количество жил 25-28, сечением жилы до 1 мм2, неогнестойкий</t>
  </si>
  <si>
    <t>II00-03-02-22</t>
  </si>
  <si>
    <t>Подземная прокладка кабеля, Группа (ОЭ)/(ББЭ), общее количество жил 25-28, сечением жилы от 1мм2 до 2,5 мм2, неогнестойкий</t>
  </si>
  <si>
    <t>II00-03-02-23</t>
  </si>
  <si>
    <t>Подземная прокладка кабеля, Группа (ОЭ)/(ББЭ), общее количество жил 29-32, сечением жилы до 1 мм2, неогнестойкий</t>
  </si>
  <si>
    <t>II00-03-02-24</t>
  </si>
  <si>
    <t>Подземная прокладка кабеля, Группа (ОЭ)/(ББЭ), общее количество жил 29-32, сечением жилы от 1мм2 до 2,5 мм2, неогнестойкий</t>
  </si>
  <si>
    <t>II00-03-02-25</t>
  </si>
  <si>
    <t>Подземная прокладка кабеля, Группа (ОЭ)/(ББЭ), общее количество жил 33-36, сечением жилы до 1 мм2, неогнестойкий</t>
  </si>
  <si>
    <t>II00-03-02-26</t>
  </si>
  <si>
    <t>Подземная прокладка кабеля, Группа (ОЭ)/(ББЭ), общее количество жил 33-36, сечением жилы от 1мм2 до 2,5 мм2, неогнестойкий</t>
  </si>
  <si>
    <t>II00-03-02-27</t>
  </si>
  <si>
    <t>Подземная прокладка кабеля, Группа (ОЭ)/(ББЭ), общее количество жил 37-40, сечением жилы до 1 мм2, неогнестойкий</t>
  </si>
  <si>
    <t>II00-03-02-28</t>
  </si>
  <si>
    <t>Подземная прокладка кабеля, Группа (ОЭ)/(ББЭ), общее количество жил 37-40, сечением жилы от 1мм2 до 2,5 мм2, неогнестойкий</t>
  </si>
  <si>
    <t>II00-03-02-29</t>
  </si>
  <si>
    <t>Подземная прокладка кабеля, Группа (ОЭ)/(ББЭ), общее количество жил 41-44, сечением жилы до 1 мм2, неогнестойкий</t>
  </si>
  <si>
    <t>II00-03-02-30</t>
  </si>
  <si>
    <t>Подземная прокладка кабеля, Группа (ОЭ)/(ББЭ), общее количество жил 41-44, сечением жилы от 1мм2 до 2,5 мм2, неогнестойкий</t>
  </si>
  <si>
    <t>II00-03-02-31</t>
  </si>
  <si>
    <t>Подземная прокладка кабеля, Группа (ОЭ)/(ББЭ), общее количество жил 45-48, сечением жилы до 1 мм2, неогнестойкий</t>
  </si>
  <si>
    <t>II00-03-02-32</t>
  </si>
  <si>
    <t>Подземная прокладка кабеля, Группа (ОЭ)/(ББЭ), общее количество жил 45-48, сечением жилы от 1мм2 до 2,5 мм2, неогнестойкий</t>
  </si>
  <si>
    <t>II00-03-02-33</t>
  </si>
  <si>
    <t>Подземная прокладка кабеля, Группа (ОЭ)/(ББЭ), общее количество жил 49-52, сечением жилы до 1 мм2, неогнестойкий</t>
  </si>
  <si>
    <t>II00-03-02-34</t>
  </si>
  <si>
    <t>Подземная прокладка кабеля, Группа (ОЭ)/(ББЭ), общее количество жил 49-52, сечением жилы от 1мм2 до 2,5 мм2, неогнестойкий</t>
  </si>
  <si>
    <t>II00-03-02-35</t>
  </si>
  <si>
    <t>Подземная прокладка кабеля, Группа (ОЭ)/(ББЭ), общее количество жил 53-56, сечением жилы до 1 мм2, неогнестойкий</t>
  </si>
  <si>
    <t>II00-03-02-36</t>
  </si>
  <si>
    <t>Подземная прокладка кабеля, Группа (ОЭ)/(ББЭ), общее количество жил 53-56, сечением жилы от 1мм2 до 2,5 мм2, неогнестойкий</t>
  </si>
  <si>
    <t>II00-03-02-37</t>
  </si>
  <si>
    <t>Подземная прокладка кабеля, Группа (ОЭ)/(ББЭ), общее количество жил 57-60, сечением жилы до 1 мм2, неогнестойкий</t>
  </si>
  <si>
    <t>II00-03-02-38</t>
  </si>
  <si>
    <t>Подземная прокладка кабеля, Группа (ОЭ)/(ББЭ), общее количество жил 57-60, сечением жилы от 1мм2 до 2,5 мм2, неогнестойкий</t>
  </si>
  <si>
    <t>II00-03-02-39</t>
  </si>
  <si>
    <t>Подземная прокладка кабеля, Группа (ОЭ)/(ББЭ), общее количество жил 61-64, сечением жилы до 1 мм2, неогнестойкий</t>
  </si>
  <si>
    <t>II00-03-02-40</t>
  </si>
  <si>
    <t>Подземная прокладка кабеля, Группа (ОЭ)/(ББЭ), общее количество жил 61-64, сечением жилы от 1мм2 до 2,5 мм2, неогнестойкий</t>
  </si>
  <si>
    <t>II00-03-02-41</t>
  </si>
  <si>
    <t>Подземная прокладка кабеля, Группа (ОЭ)/(ББЭ), общее количество жил 1-4, сечением жилы до 1 мм2, огнестойкий</t>
  </si>
  <si>
    <t>II00-03-02-42</t>
  </si>
  <si>
    <t>Подземная прокладка кабеля, Группа (ОЭ)/(ББЭ), общее количество жил 1-4, сечением жилы от 1мм2 до 2,5 мм2, огнестойкий</t>
  </si>
  <si>
    <t>II00-03-02-43</t>
  </si>
  <si>
    <t>Подземная прокладка кабеля, Группа (ОЭ)/(ББЭ), общее количество жил 5-8, сечением жилы до 1 мм2, огнестойкий</t>
  </si>
  <si>
    <t>II00-03-02-44</t>
  </si>
  <si>
    <t>Подземная прокладка кабеля, Группа (ОЭ)/(ББЭ), общее количество жил 5-8, сечением жилы от 1мм2 до 2,5 мм2, огнестойкий</t>
  </si>
  <si>
    <t>II00-03-02-45</t>
  </si>
  <si>
    <t>Подземная прокладка кабеля, Группа (ОЭ)/(ББЭ), общее количество жил 9-12, сечением жилы до 1 мм2, огнестойкий</t>
  </si>
  <si>
    <t>II00-03-02-46</t>
  </si>
  <si>
    <t>Подземная прокладка кабеля, Группа (ОЭ)/(ББЭ), общее количество жил 9-12, сечением жилы от 1мм2 до 2,5 мм2, огнестойкий</t>
  </si>
  <si>
    <t>II00-03-02-47</t>
  </si>
  <si>
    <t>Подземная прокладка кабеля, Группа (ОЭ)/(ББЭ), общее количество жил 13-16, сечением жилы до 1 мм2, огнестойкий</t>
  </si>
  <si>
    <t>II00-03-02-48</t>
  </si>
  <si>
    <t>Подземная прокладка кабеля, Группа (ОЭ)/(ББЭ), общее количество жил 13-16, сечением жилы от 1мм2 до 2,5 мм2, огнестойкий</t>
  </si>
  <si>
    <t>II00-03-02-49</t>
  </si>
  <si>
    <t>Подземная прокладка кабеля, Группа (ОЭ)/(ББЭ), общее количество жил 17-20, сечением жилы до 1 мм2, огнестойкий</t>
  </si>
  <si>
    <t>II00-03-02-50</t>
  </si>
  <si>
    <t>Подземная прокладка кабеля, Группа (ОЭ)/(ББЭ), общее количество жил 17-20, сечением жилы от 1мм2 до 2,5 мм2, огнестойкий</t>
  </si>
  <si>
    <t>II00-03-02-51</t>
  </si>
  <si>
    <t>Подземная прокладка кабеля, Группа (ОЭ)/(ББЭ), общее количество жил 21-24, сечением жилы до 1 мм2, огнестойкий</t>
  </si>
  <si>
    <t>II00-03-02-52</t>
  </si>
  <si>
    <t>Подземная прокладка кабеля, Группа (ОЭ)/(ББЭ), общее количество жил 21-24, сечением жилы от 1мм2 до 2,5 мм2, огнестойкий</t>
  </si>
  <si>
    <t>II00-03-02-53</t>
  </si>
  <si>
    <t>Подземная прокладка кабеля, Группа (ОЭ)/(ББЭ), общее количество жил 25-28, сечением жилы до 1 мм2, огнестойкий</t>
  </si>
  <si>
    <t>II00-03-02-54</t>
  </si>
  <si>
    <t>Подземная прокладка кабеля, Группа (ОЭ)/(ББЭ), общее количество жил 25-28, сечением жилы от 1мм2 до 2,5 мм2, огнестойкий</t>
  </si>
  <si>
    <t>II00-03-02-55</t>
  </si>
  <si>
    <t>Подземная прокладка кабеля, Группа (ОЭ)/(ББЭ), общее количество жил 29-32, сечением жилы до 1 мм2, огнестойкий</t>
  </si>
  <si>
    <t>II00-03-02-56</t>
  </si>
  <si>
    <t>Подземная прокладка кабеля, Группа (ОЭ)/(ББЭ), общее количество жил 29-32, сечением жилы от 1мм2 до 2,5 мм2, огнестойкий</t>
  </si>
  <si>
    <t>II00-03-02-57</t>
  </si>
  <si>
    <t>Подземная прокладка кабеля, Группа (ОЭ)/(ББЭ), общее количество жил 33-36, сечением жилы до 1 мм2, огнестойкий</t>
  </si>
  <si>
    <t>II00-03-02-58</t>
  </si>
  <si>
    <t>Подземная прокладка кабеля, Группа (ОЭ)/(ББЭ), общее количество жил 33-36, сечением жилы от 1мм2 до 2,5 мм2, огнестойкий</t>
  </si>
  <si>
    <t>II00-03-02-59</t>
  </si>
  <si>
    <t>Подземная прокладка кабеля, Группа (ОЭ)/(ББЭ), общее количество жил 37-40, сечением жилы до 1 мм2, огнестойкий</t>
  </si>
  <si>
    <t>II00-03-02-60</t>
  </si>
  <si>
    <t>Подземная прокладка кабеля, Группа (ОЭ)/(ББЭ), общее количество жил 37-40, сечением жилы от 1мм2 до 2,5 мм2, огнестойкий</t>
  </si>
  <si>
    <t>II00-03-02-61</t>
  </si>
  <si>
    <t>Подземная прокладка кабеля, Группа (ОЭ)/(ББЭ), общее количество жил 41-44, сечением жилы до 1 мм2, огнестойкий</t>
  </si>
  <si>
    <t>II00-03-02-62</t>
  </si>
  <si>
    <t>Подземная прокладка кабеля, Группа (ОЭ)/(ББЭ), общее количество жил 41-44, сечением жилы от 1мм2 до 2,5 мм2, огнестойкий</t>
  </si>
  <si>
    <t>II00-03-02-63</t>
  </si>
  <si>
    <t>Подземная прокладка кабеля, Группа (ОЭ)/(ББЭ), общее количество жил 45-48, сечением жилы до 1 мм2, огнестойкий</t>
  </si>
  <si>
    <t>II00-03-02-64</t>
  </si>
  <si>
    <t>Подземная прокладка кабеля, Группа (ОЭ)/(ББЭ), общее количество жил 45-48, сечением жилы от 1мм2 до 2,5 мм2, огнестойкий</t>
  </si>
  <si>
    <t>II00-03-02-65</t>
  </si>
  <si>
    <t>Подземная прокладка кабеля, Группа (ОЭ)/(ББЭ), общее количество жил 49-52, сечением жилы до 1 мм2, огнестойкий</t>
  </si>
  <si>
    <t>II00-03-02-66</t>
  </si>
  <si>
    <t>Подземная прокладка кабеля, Группа (ОЭ)/(ББЭ), общее количество жил 49-52, сечением жилы от 1мм2 до 2,5 мм2, огнестойкий</t>
  </si>
  <si>
    <t>II00-03-02-67</t>
  </si>
  <si>
    <t>Подземная прокладка кабеля, Группа (ОЭ)/(ББЭ), общее количество жил 53-56, сечением жилы до 1 мм2, огнестойкий</t>
  </si>
  <si>
    <t>II00-03-02-68</t>
  </si>
  <si>
    <t>Подземная прокладка кабеля, Группа (ОЭ)/(ББЭ), общее количество жил 53-56, сечением жилы от 1мм2 до 2,5 мм2, огнестойкий</t>
  </si>
  <si>
    <t>II00-03-02-69</t>
  </si>
  <si>
    <t>Подземная прокладка кабеля, Группа (ОЭ)/(ББЭ), общее количество жил 57-60, сечением жилы до 1 мм2, огнестойкий</t>
  </si>
  <si>
    <t>II00-03-02-70</t>
  </si>
  <si>
    <t>Подземная прокладка кабеля, Группа (ОЭ)/(ББЭ), общее количество жил 57-60, сечением жилы от 1мм2 до 2,5 мм2, огнестойкий</t>
  </si>
  <si>
    <t>II00-03-02-71</t>
  </si>
  <si>
    <t>Подземная прокладка кабеля, Группа (ОЭ)/(ББЭ), общее количество жил 61-64, сечением жилы до 1 мм2, огнестойкий</t>
  </si>
  <si>
    <t>II00-03-02-72</t>
  </si>
  <si>
    <t>Подземная прокладка кабеля,Группа (ОЭ)/(ББЭ), общее количество жил 61-64, сечением жилы от 1мм2 до 2,5 мм2, огнестойкий</t>
  </si>
  <si>
    <t>II00-03-05</t>
  </si>
  <si>
    <t>Монтаж оптического, не бронированного, кабеля надземной прокладки</t>
  </si>
  <si>
    <t>II00-03-05-1</t>
  </si>
  <si>
    <t>Монтаж оптического, не бронированного, кабеля надземной прокладки с количеством волокон от 4 до 8 шт.</t>
  </si>
  <si>
    <t>II00-03-05-2</t>
  </si>
  <si>
    <t>Монтаж оптического, не бронированного, кабеля надземной прокладки с количеством волокон от 10 до 24 шт.</t>
  </si>
  <si>
    <t>II00-03-05-3</t>
  </si>
  <si>
    <t>Монтаж оптического, не бронированного, кабеля надземной прокладки с количеством волокон от 25 до 48 шт.</t>
  </si>
  <si>
    <t>II00-03-05-9</t>
  </si>
  <si>
    <t>Монтаж оптического, не бронированного, кабеля надземной прокладки с количеством волокон от 48 до 96 шт.</t>
  </si>
  <si>
    <t>II00-03-06</t>
  </si>
  <si>
    <t>Монтаж оптического, бронированного, кабеля надземной прокладки</t>
  </si>
  <si>
    <t>II00-03-06-1</t>
  </si>
  <si>
    <t>Монтаж оптического, бронированного, кабеля надземной прокладки с количеством волокон от 4 до 8 шт</t>
  </si>
  <si>
    <t>II00-03-06-2</t>
  </si>
  <si>
    <t>Монтаж оптического, бронированного, кабеля надземной прокладки с количеством волокон от 10 до 24 шт</t>
  </si>
  <si>
    <t>II00-03-06-3</t>
  </si>
  <si>
    <t>Монтаж оптического, бронированного, кабеля надземной прокладки с количеством волокон от 25 до 48 шт</t>
  </si>
  <si>
    <t>II00-03-06-4</t>
  </si>
  <si>
    <t>Монтаж оптического, бронированного, кабеля надземной прокладки с количеством волокон от 48 до 96 шт</t>
  </si>
  <si>
    <t>II00-03-07</t>
  </si>
  <si>
    <t>Монтаж оптического, не бронированного, кабеля подземной прокладки</t>
  </si>
  <si>
    <t>II00-03-07-1</t>
  </si>
  <si>
    <t>Монтаж оптического, не бронированного, кабеля подземной прокладки с количеством волокон от 4 до 8 шт</t>
  </si>
  <si>
    <t>II00-03-07-2</t>
  </si>
  <si>
    <t>Монтаж оптического, не бронированного, кабеля подземной прокладки с количеством волокон от 10 до 24 шт</t>
  </si>
  <si>
    <t>II00-03-07-3</t>
  </si>
  <si>
    <t>Монтаж оптического, не бронированного, кабеля подземной прокладки с количеством волокон от 25 до 48 шт</t>
  </si>
  <si>
    <t>II00-03-07-4</t>
  </si>
  <si>
    <t>Монтаж оптического, не бронированного, кабеля подземной прокладки с количеством волокон от 48 до 96 шт</t>
  </si>
  <si>
    <t>II00-03-08</t>
  </si>
  <si>
    <t>Монтаж оптического, бронированного, кабеля подземной прокладки</t>
  </si>
  <si>
    <t>II00-03-08-1</t>
  </si>
  <si>
    <t>Монтаж оптического, бронированного, кабеля подземной прокладки с количеством волокон от 4 до 8 шт</t>
  </si>
  <si>
    <t>II00-03-08-2</t>
  </si>
  <si>
    <t>Монтаж оптического, бронированного, кабеля подземной прокладки с количеством волокон от 10 до 24 шт</t>
  </si>
  <si>
    <t>II00-03-08-3</t>
  </si>
  <si>
    <t>Монтаж оптического, бронированного, кабеля подземной прокладки с количеством волокон от 25 до 48 шт</t>
  </si>
  <si>
    <t>II00-03-08-4</t>
  </si>
  <si>
    <t>Монтаж оптического, бронированного, кабеля подземной прокладки с количеством волокон от 48 до 96 шт</t>
  </si>
  <si>
    <t>II00-03-12</t>
  </si>
  <si>
    <t>Монтаж и подключение патч-кордов</t>
  </si>
  <si>
    <t>II00-03-12-1</t>
  </si>
  <si>
    <t>Монтаж и подключение патч-кордов до 5 м</t>
  </si>
  <si>
    <t>II00-03-12-2</t>
  </si>
  <si>
    <t>Монтаж и подключение патч-кордов свыше 5 м до 10 м</t>
  </si>
  <si>
    <t>II00-03-12-3</t>
  </si>
  <si>
    <t>Монтаж и подключение патч-кордов свыше 10 м до 20 м</t>
  </si>
  <si>
    <t>II00-03-12-4</t>
  </si>
  <si>
    <t>Монтаж и подключение патч-кордов свыше 20 м до 50 м</t>
  </si>
  <si>
    <t>II00-03-12-5</t>
  </si>
  <si>
    <t>Монтаж и подключение патч-кордов свыше 50 м до 100 м</t>
  </si>
  <si>
    <t>II00-03-12-6</t>
  </si>
  <si>
    <t>Монтаж и подключение патч-кордов свыше 100 м до 150 м</t>
  </si>
  <si>
    <t>II00-03-12-7</t>
  </si>
  <si>
    <t>Монтаж и подключение патч-кордов свыше 150 м до 200 м</t>
  </si>
  <si>
    <t>II00-04</t>
  </si>
  <si>
    <t>Расключение кабеля</t>
  </si>
  <si>
    <t>II00-04-01</t>
  </si>
  <si>
    <t>Расключение медного кабеля без брони и экрана, кабеля только с броней, кабеля только с экраном, кабеля с броней и общим экраном, Группа ББЭ/ОЭ/Б/(Б+ОЭ) (1 конец кабеля)</t>
  </si>
  <si>
    <t>II00-04-01-7</t>
  </si>
  <si>
    <t>Расключение медного кабеля, Группа ББЭ/ОЭ/Б/(Б+ОЭ), общее количество жил 1-4, сечением жилы до 1 мм2</t>
  </si>
  <si>
    <t>II00-04-01-8</t>
  </si>
  <si>
    <t>Расключение медного кабеля, Группа ББЭ/ОЭ/Б/(Б+ОЭ), общее количество жил 1-4, сечением жилы от 1 мм2 до 2,5 мм2</t>
  </si>
  <si>
    <t>II00-04-01-9</t>
  </si>
  <si>
    <t>Расключение медного кабеля, Группа ББЭ/ОЭ/Б/(Б+ОЭ), общее количество жил 5-8, сечением жилы до 1 мм2</t>
  </si>
  <si>
    <t>II00-04-01-10</t>
  </si>
  <si>
    <t>Расключение медного кабеля, Группа ББЭ/ОЭ/Б/(Б+ОЭ), общее количество жил 5-8, сечением жилы от 1 мм2 до 2,5 мм2</t>
  </si>
  <si>
    <t>II00-04-01-11</t>
  </si>
  <si>
    <t>Расключение медного кабеля, Группа ББЭ/ОЭ/Б/(Б+ОЭ), общее количество жил 9-12, сечением жилы до 1 мм2</t>
  </si>
  <si>
    <t>II00-04-01-12</t>
  </si>
  <si>
    <t>Расключение медного кабеля, Группа ББЭ/ОЭ/Б/(Б+ОЭ), общее количество жил 9-12, сечением жилы от 1 мм2 до 2,5 мм2</t>
  </si>
  <si>
    <t>II00-04-01-13</t>
  </si>
  <si>
    <t>Расключение медного кабеля, Группа ББЭ/ОЭ/Б/(Б+ОЭ), общее количество жил 13-16, сечением жилы до 1 мм2</t>
  </si>
  <si>
    <t>II00-04-01-14</t>
  </si>
  <si>
    <t>Расключение медного кабеля, Группа ББЭ/ОЭ/Б/(Б+ОЭ), общее количество жил 13-16, сечением жилы от 1 мм2 до 2,5 мм2</t>
  </si>
  <si>
    <t>II00-04-01-15</t>
  </si>
  <si>
    <t>Расключение медного кабеля, Группа ББЭ/ОЭ/Б/(Б+ОЭ), общее количество жил 17-20, сечением жилы до 1 мм2</t>
  </si>
  <si>
    <t>II00-04-01-16</t>
  </si>
  <si>
    <t>Расключение медного кабеля, Группа ББЭ/ОЭ/Б/(Б+ОЭ), общее количество жил 17-20, сечением жилы от 1 мм2 до 2,5 мм2</t>
  </si>
  <si>
    <t>II00-04-01-17</t>
  </si>
  <si>
    <t>Расключение медного кабеля, Группа ББЭ/ОЭ/Б/(Б+ОЭ), общее количество жил 21-24, сечением жилы до 1 мм2</t>
  </si>
  <si>
    <t>II00-04-01-18</t>
  </si>
  <si>
    <t>Расключение медного кабеля, Группа ББЭ/ОЭ/Б/(Б+ОЭ), общее количество жил 21-24, сечением жилы от 1 мм2 до 2,5 мм2</t>
  </si>
  <si>
    <t>II00-04-01-19</t>
  </si>
  <si>
    <t>Расключение медного кабеля, Группа ББЭ/ОЭ/Б/(Б+ОЭ), общее количество жил 25-28, сечением жилы до 1 мм2</t>
  </si>
  <si>
    <t>II00-04-01-20</t>
  </si>
  <si>
    <t>Расключение медного кабеля, Группа ББЭ/ОЭ/Б/(Б+ОЭ), общее количество жил 25-28, сечением жилы от 1 мм2 до 2,5 мм2</t>
  </si>
  <si>
    <t>II00-04-01-21</t>
  </si>
  <si>
    <t>Расключение медного кабеля, Группа ББЭ/ОЭ/Б/(Б+ОЭ), общее количество жил 29-32, сечением жилы до 1 мм2</t>
  </si>
  <si>
    <t>II00-04-01-22</t>
  </si>
  <si>
    <t>Расключение медного кабеля, Группа ББЭ/ОЭ/Б/(Б+ОЭ), общее количество жил 29-32, сечением жилы от 1 мм2 до 2,5 мм2</t>
  </si>
  <si>
    <t>II00-04-01-23</t>
  </si>
  <si>
    <t>Расключение медного кабеля, Группа ББЭ/ОЭ/Б/(Б+ОЭ), общее количество жил 33-36, сечением жилы до 1 мм2</t>
  </si>
  <si>
    <t>II00-04-01-24</t>
  </si>
  <si>
    <t>Расключение медного кабеля, Группа ББЭ/ОЭ/Б/(Б+ОЭ), общее количество жил 33-36, сечением жилы от 1 мм2 до 2,5 мм2</t>
  </si>
  <si>
    <t>II00-04-01-25</t>
  </si>
  <si>
    <t>Расключение медного кабеля, Группа ББЭ/ОЭ/Б/(Б+ОЭ), общее количество жил 37-40, сечением жилы до 1 мм2</t>
  </si>
  <si>
    <t>II00-04-01-26</t>
  </si>
  <si>
    <t>Расключение медного кабеля, Группа ББЭ/ОЭ/Б/(Б+ОЭ), общее количество жил 37-40, сечением жилы от 1 мм2 до 2,5 мм2</t>
  </si>
  <si>
    <t>II00-04-01-27</t>
  </si>
  <si>
    <t>Расключение медного кабеля, Группа ББЭ/ОЭ/Б/(Б+ОЭ), общее количество жил 41-44, сечением жилы до 1 мм2</t>
  </si>
  <si>
    <t>II00-04-01-28</t>
  </si>
  <si>
    <t>Расключение медного кабеля, Группа ББЭ/ОЭ/Б/(Б+ОЭ), общее количество жил 41-44, сечением жилы от 1 мм2 до 2,5 мм2</t>
  </si>
  <si>
    <t>II00-04-01-29</t>
  </si>
  <si>
    <t>Расключение медного кабеля, Группа ББЭ/ОЭ/Б/(Б+ОЭ), общее количество жил 45-48, сечением жилы до 1 мм2</t>
  </si>
  <si>
    <t>II00-04-01-30</t>
  </si>
  <si>
    <t>Расключение медного кабеля, Группа ББЭ/ОЭ/Б/(Б+ОЭ), общее количество жил 45-48, сечением жилы от 1 мм2 до 2,5 мм2</t>
  </si>
  <si>
    <t>II00-04-01-31</t>
  </si>
  <si>
    <t>Расключение медного кабеля, Группа ББЭ/ОЭ/Б/(Б+ОЭ), общее количество жил 49-52, сечением жилы до 1 мм2</t>
  </si>
  <si>
    <t>II00-04-01-32</t>
  </si>
  <si>
    <t>Расключение медного кабеля, Группа ББЭ/ОЭ/Б/(Б+ОЭ), общее количество жил 49-52, сечением жилы от 1 мм2 до 2,5 мм2</t>
  </si>
  <si>
    <t>II00-04-01-33</t>
  </si>
  <si>
    <t>Расключение медного кабеля, Группа ББЭ/ОЭ/Б/(Б+ОЭ), общее количество жил 54-56, сечением жилы до 1 мм2</t>
  </si>
  <si>
    <t>II00-04-01-34</t>
  </si>
  <si>
    <t>Расключение медного кабеля, Группа ББЭ/ОЭ/Б/(Б+ОЭ), общее количество жил 54-56, сечением жилы от 1 мм2 до 2,5 мм2</t>
  </si>
  <si>
    <t>II00-04-01-35</t>
  </si>
  <si>
    <t>Расключение медного кабеля, Группа ББЭ/ОЭ/Б/(Б+ОЭ), общее количество жил 57-60, сечением жилы до 1 мм2</t>
  </si>
  <si>
    <t>II00-04-01-36</t>
  </si>
  <si>
    <t>Расключение медного кабеля, Группа ББЭ/ОЭ/Б/(Б+ОЭ), общее количество жил 57-60, сечением жилы от 1 мм2 до 2,5 мм2</t>
  </si>
  <si>
    <t>II00-04-01-37</t>
  </si>
  <si>
    <t>Расключение медного кабеля, Группа ББЭ/ОЭ/Б/(Б+ОЭ), общее количество жил 61-64, сечением жилы до 1 мм2</t>
  </si>
  <si>
    <t>II00-04-01-38</t>
  </si>
  <si>
    <t>Расключение медного кабеля, Группа ББЭ/ОЭ/Б/(Б+ОЭ), общее количество жил 61-64, сечением жилы от 1 мм2 до 2,5 мм2</t>
  </si>
  <si>
    <t>II00-04-02</t>
  </si>
  <si>
    <t>Расключение медного небронированного кабеля с общим и индивидуальным экранированием, бронированного кабеля с общим и индивидуальным экранированием, Группа - (ОЭ+ИЭ)/(Б+ОЭ+ИЭ) (1 конец кабеля)</t>
  </si>
  <si>
    <t>II00-04-02-7</t>
  </si>
  <si>
    <t>Расключение медного кабеля, Группа (ОЭ+ИЭ)/(Б+ОЭ+ИЭ) , общее количество жил 1-4, сечением жилы до 1 мм2</t>
  </si>
  <si>
    <t>II00-04-02-8</t>
  </si>
  <si>
    <t>Расключение медного кабеля, Группа (ОЭ+ИЭ)/(Б+ОЭ+ИЭ) , общее количество жил 1-4, сечением жилы от 1 мм2 до 2,5 мм2</t>
  </si>
  <si>
    <t>II00-04-02-9</t>
  </si>
  <si>
    <t>Расключение медного кабеля, Группа (ОЭ+ИЭ)/(Б+ОЭ+ИЭ) , общее количество жил 5-8, сечением жилы до 1 мм2</t>
  </si>
  <si>
    <t>II00-04-02-10</t>
  </si>
  <si>
    <t>Расключение медного кабеля, Группа (ОЭ+ИЭ)/(Б+ОЭ+ИЭ) , общее количество жил 5-8, сечением жилы от 1 мм2 до 2,5 мм2</t>
  </si>
  <si>
    <t>II00-04-02-11</t>
  </si>
  <si>
    <t>Расключение медного кабеля,Группа (ОЭ+ИЭ)/(Б+ОЭ+ИЭ) , общее количество жил 9-12, сечением жилы до 1 мм2</t>
  </si>
  <si>
    <t>II00-04-02-12</t>
  </si>
  <si>
    <t>Расключение медного кабеля, Группа (ОЭ+ИЭ)/(Б+ОЭ+ИЭ) , общее количество жил 9-12, сечением жилы от 1 мм2 до 2,5 мм2</t>
  </si>
  <si>
    <t>II00-04-02-13</t>
  </si>
  <si>
    <t>Расключение медного кабеля, Группа (ОЭ+ИЭ)/(Б+ОЭ+ИЭ) , общее количество жил 13-16, сечением жилы до 1 мм2</t>
  </si>
  <si>
    <t>II00-04-02-14</t>
  </si>
  <si>
    <t>Расключение медного кабеля, Группа (ОЭ+ИЭ)/(Б+ОЭ+ИЭ) , общее количество жил 13-16, сечением жилы от 1 мм2 до 2,5 мм2</t>
  </si>
  <si>
    <t>II00-04-02-15</t>
  </si>
  <si>
    <t>Расключение медного кабеля, Группа (ОЭ+ИЭ)/(Б+ОЭ+ИЭ) , общее количество жил 17-20, сечением жилы до 1 мм2</t>
  </si>
  <si>
    <t>II00-04-02-16</t>
  </si>
  <si>
    <t>Расключение медного кабеля, Группа (ОЭ+ИЭ)/(Б+ОЭ+ИЭ) , общее количество жил 17-20, сечением жилы от 1 мм2 до 2,5 мм2</t>
  </si>
  <si>
    <t>II00-04-02-17</t>
  </si>
  <si>
    <t>Расключение медного кабеля, Группа (ОЭ+ИЭ)/(Б+ОЭ+ИЭ), общее количество жил 21-24, сечением жилы до 1 мм2</t>
  </si>
  <si>
    <t>II00-04-02-18</t>
  </si>
  <si>
    <t>Расключение медного кабеля, Группа (ОЭ+ИЭ)/(Б+ОЭ+ИЭ) , общее количество жил 21-24, сечением жилы от 1 мм2 до 2,5 мм2</t>
  </si>
  <si>
    <t>II00-04-02-19</t>
  </si>
  <si>
    <t>Расключение медного кабеля, Группа (ОЭ+ИЭ)/(Б+ОЭ+ИЭ) , общее количество жил 25-28, сечением жилы до 1 мм2</t>
  </si>
  <si>
    <t>II00-04-02-20</t>
  </si>
  <si>
    <t>Расключение медного кабеля, Группа (ОЭ+ИЭ)/(Б+ОЭ+ИЭ) , общее количество жил 25-28, сечением жилы от 1 мм2 до 2,5 мм2</t>
  </si>
  <si>
    <t>II00-04-02-21</t>
  </si>
  <si>
    <t>Расключение медного кабеля, Группа (ОЭ+ИЭ)/(Б+ОЭ+ИЭ) , общее количество жил 29-32, сечением жилы до 1 мм2</t>
  </si>
  <si>
    <t>II00-04-02-22</t>
  </si>
  <si>
    <t>Расключение медного кабеля, Группа (ОЭ+ИЭ)/(Б+ОЭ+ИЭ) , общее количество жил 29-32, сечением жилы от 1 мм2 до 2,5 мм2</t>
  </si>
  <si>
    <t>II00-04-02-23</t>
  </si>
  <si>
    <t>Расключение медного кабеля, Группа (ОЭ+ИЭ)/(Б+ОЭ+ИЭ) , общее количество жил 33-36, сечением жилы до 1 мм2</t>
  </si>
  <si>
    <t>II00-04-02-24</t>
  </si>
  <si>
    <t>Расключение медного кабеля, Группа (ОЭ+ИЭ)/(Б+ОЭ+ИЭ) , общее количество жил 33-36, сечением жилы от 1 мм2 до 2,5 мм2</t>
  </si>
  <si>
    <t>II00-04-02-25</t>
  </si>
  <si>
    <t>Расключение медного кабеля, Группа (ОЭ+ИЭ)/(Б+ОЭ+ИЭ) , общее количество жил 37-40, сечением жилы до 1 мм2</t>
  </si>
  <si>
    <t>II00-04-02-26</t>
  </si>
  <si>
    <t>Расключение медного кабеля, Группа (ОЭ+ИЭ)/(Б+ОЭ+ИЭ) , общее количество жил 37-40, сечением жилы от 1 мм2 до 2,5 мм2</t>
  </si>
  <si>
    <t>II00-04-02-27</t>
  </si>
  <si>
    <t>Расключение медного кабеля, Группа (ОЭ+ИЭ)/(Б+ОЭ+ИЭ) , общее количество жил 41-44, сечением жилы до 1 мм2</t>
  </si>
  <si>
    <t>II00-04-02-28</t>
  </si>
  <si>
    <t>Расключение медного кабеля, Группа (ОЭ+ИЭ)/(Б+ОЭ+ИЭ) , общее количество жил 41-44, сечением жилы от 1 мм2 до 2,5 мм2</t>
  </si>
  <si>
    <t>II00-04-02-29</t>
  </si>
  <si>
    <t>Расключение медного кабеля, Группа (ОЭ+ИЭ)/(Б+ОЭ+ИЭ) , общее количество жил 45-48, сечением жилы до 1 мм2</t>
  </si>
  <si>
    <t>II00-04-02-30</t>
  </si>
  <si>
    <t>Расключение медного кабеля, Группа (ОЭ+ИЭ)/(Б+ОЭ+ИЭ) , общее количество жил 45-48, сечением жилы от 1 мм2 до 2,5 мм2</t>
  </si>
  <si>
    <t>II00-04-02-31</t>
  </si>
  <si>
    <t>Расключение медного кабеля, Группа (ОЭ+ИЭ)/(Б+ОЭ+ИЭ) , общее количество жил 49-52, сечением жилы до 1 мм2</t>
  </si>
  <si>
    <t>II00-04-02-32</t>
  </si>
  <si>
    <t>Расключение медного кабеля, Группа (ОЭ+ИЭ)/(Б+ОЭ+ИЭ) , общее количество жил 49-52, сечением жилы от 1 мм2 до 2,5 мм2</t>
  </si>
  <si>
    <t>II00-04-02-33</t>
  </si>
  <si>
    <t>Расключение медного кабеля, Группа (ОЭ+ИЭ)/(Б+ОЭ+ИЭ) , общее количество жил 54-56, сечением жилы до 1 мм2</t>
  </si>
  <si>
    <t>II00-04-02-34</t>
  </si>
  <si>
    <t>Расключение медного кабеля, Группа (ОЭ+ИЭ)/(Б+ОЭ+ИЭ) , общее количество жил 54-56, сечением жилы от 1 мм2 до 2,5 мм2</t>
  </si>
  <si>
    <t>II00-04-02-35</t>
  </si>
  <si>
    <t>Расключение медного кабеля, Группа (ОЭ+ИЭ)/(Б+ОЭ+ИЭ) , общее количество жил 57-60, сечением жилы до 1 мм2</t>
  </si>
  <si>
    <t>II00-04-02-36</t>
  </si>
  <si>
    <t>Расключение медного кабеля, Группа (ОЭ+ИЭ)/(Б+ОЭ+ИЭ) , общее количество жил 57-60, сечением жилы от 1 мм2 до 2,5 мм2</t>
  </si>
  <si>
    <t>II00-04-02-37</t>
  </si>
  <si>
    <t>Расключение медного кабеля, Группа (ОЭ+ИЭ)/(Б+ОЭ+ИЭ) , общее количество жил 61-64, сечением жилы до 1 мм2</t>
  </si>
  <si>
    <t>II00-04-02-38</t>
  </si>
  <si>
    <t>Расключение медного кабеля, Группа (ОЭ+ИЭ)/(Б+ОЭ+ИЭ) , общее количество жил 61-64, сечением жилы от 1 мм2 до 2,5 мм2</t>
  </si>
  <si>
    <t>II00-04-04</t>
  </si>
  <si>
    <t>Расключение небронированного оптического кабеля</t>
  </si>
  <si>
    <t>II00-04-04-4</t>
  </si>
  <si>
    <t>Монтаж соединительной муфты на небронированный оптический кабель с количеством волокон от 4 до 8 шт</t>
  </si>
  <si>
    <t>II00-04-04-5</t>
  </si>
  <si>
    <t>Монтаж соединительной муфты на небронированный оптический кабель с количеством волокон от 10 до 24 шт</t>
  </si>
  <si>
    <t>II00-04-04-6</t>
  </si>
  <si>
    <t>Монтаж соединительной муфты на небронированный оптический кабель с количеством волокон от 25 до 48 шт</t>
  </si>
  <si>
    <t>II00-04-04-8</t>
  </si>
  <si>
    <t>Монтаж соединительной муфты небронированный оптический кабель с количеством волокон от 48 до 96 шт</t>
  </si>
  <si>
    <t>II00-04-04-9</t>
  </si>
  <si>
    <t>Присоединение одной жилы (волокно) небронированного  оптического кабеля</t>
  </si>
  <si>
    <t xml:space="preserve"> волокно</t>
  </si>
  <si>
    <t>II00-04-05</t>
  </si>
  <si>
    <t>Расключение бронированного оптического кабеля</t>
  </si>
  <si>
    <t>II00-04-05-4</t>
  </si>
  <si>
    <t>Монтаж соединительной муфты на бронированный оптический кабель с количеством волокон от 4 до 8 шт</t>
  </si>
  <si>
    <t>II00-04-05-5</t>
  </si>
  <si>
    <t>Монтаж соединительной муфты на бронированный оптический кабель с количеством волокон от 10 до 24 шт</t>
  </si>
  <si>
    <t>II00-04-05-6</t>
  </si>
  <si>
    <t>Монтаж соединительной муфты на бронированный оптический кабель с количеством волокон от 25 до 48 шт</t>
  </si>
  <si>
    <t>II00-04-05-8</t>
  </si>
  <si>
    <t>Монтаж соединительной муфты на бронированный оптический кабель с количеством волокон от 48 до 96 шт</t>
  </si>
  <si>
    <t>II00-04-05-9</t>
  </si>
  <si>
    <t>Присоединение одной жилы (волокно) бронированного  оптического кабеля</t>
  </si>
  <si>
    <t>волокно</t>
  </si>
  <si>
    <t>II00-04-08</t>
  </si>
  <si>
    <t>Расключение кабелей СКС (UTP) (1 конец кабеля)</t>
  </si>
  <si>
    <t>II00-04-08-1</t>
  </si>
  <si>
    <t>Расключение кабелей СКС (UTP) до 5 категории, 8 жил сечением до 0.6мм2</t>
  </si>
  <si>
    <t>II00-04-08-2</t>
  </si>
  <si>
    <t>Расключение кабелей СКС (UTP) 6 категории, 8 жил сечением до 0.6мм2</t>
  </si>
  <si>
    <t>II00-05</t>
  </si>
  <si>
    <t>Монтаж оборудования на строительной площадке</t>
  </si>
  <si>
    <t>II00-05-01</t>
  </si>
  <si>
    <t>Монтаж импульсной трубки</t>
  </si>
  <si>
    <t>II00-05-01-1</t>
  </si>
  <si>
    <t>Трубка импульсная диаметром до 10 мм</t>
  </si>
  <si>
    <t>II00-05-01-4</t>
  </si>
  <si>
    <t>Трубка импульсная диаметром от 10 мм до 16 мм</t>
  </si>
  <si>
    <t>II00-05-01-6</t>
  </si>
  <si>
    <t>Трубка импульсная диаметром от 16 мм до 25 мм</t>
  </si>
  <si>
    <t>II00-05-01-7</t>
  </si>
  <si>
    <t>Изделие для монтажа импульсной трубки (фитинг, соединитель, муфта, тройник, заглушка, переходник и т.п.) с наружной или внутренней резьбой, для трубки наружным диаметром до 25 мм</t>
  </si>
  <si>
    <t>II00-05-01-8</t>
  </si>
  <si>
    <t>Кран шаровой двухходовой с наружной или внутренней резьбой, для импульсной трубки КИП наружным диаметром до 25 мм</t>
  </si>
  <si>
    <t>II00-05-01-9</t>
  </si>
  <si>
    <t>Трубка импульсная предизолированная с электрическим обогревом диаметром до 10 мм</t>
  </si>
  <si>
    <t>II00-05-01-10</t>
  </si>
  <si>
    <t>Трубка импульсная предизолированная с электрическим обогревом диаметром от 10 мм до 16 мм</t>
  </si>
  <si>
    <t>II00-05-01-11</t>
  </si>
  <si>
    <t>Трубка импульсная предизолированная с электрическим обогревом диаметром от 16 мм до 25 мм</t>
  </si>
  <si>
    <t>II00-05-02</t>
  </si>
  <si>
    <t>Установка КИП для измерения давления</t>
  </si>
  <si>
    <t>II00-05-02-9</t>
  </si>
  <si>
    <t>Преобразователь /датчик давления / сигнализатор давления / манометр (включая приборы дифференциального давления, включая резьбовое и фланцевое соединения) </t>
  </si>
  <si>
    <t>II00-05-02-10</t>
  </si>
  <si>
    <t>Преобразователь /датчик давления / сигнализатор давления / манометр с изолирующей диафрагмой и капиллярной трубкой (включая укладку капиллярной трубки) </t>
  </si>
  <si>
    <t>II00-05-02-11</t>
  </si>
  <si>
    <t>Преобразователь /датчик давления / сигнализатор дифференциального давления / дифференциальный манометр с изолирующей диафрагмой и капиллярной трубкой (включая укладку капиллярной трубки) </t>
  </si>
  <si>
    <t>II00-05-03</t>
  </si>
  <si>
    <t>Установка КИП для измерения температуры</t>
  </si>
  <si>
    <t>II00-05-03-5</t>
  </si>
  <si>
    <t>КИП для измерения температуры с капиллярной трубкой</t>
  </si>
  <si>
    <t>II00-05-03-6</t>
  </si>
  <si>
    <t>Датчик температуры бесконтактный (инфракрасный, пирометр)</t>
  </si>
  <si>
    <t>II00-05-03-10</t>
  </si>
  <si>
    <t>КИП для измерения температуры (термопреобразователь сопротивления, термопара, электронный датчик, преобразователь температуры, реле температуры, термометр, многоточечный датчик температуры) с глубиной погружения до 1 метра</t>
  </si>
  <si>
    <t>II00-05-03-11</t>
  </si>
  <si>
    <t>КИП для измерения температуры поверхности (термопреобразователь сопротивления, термопара, электронный датчик, преобразователь температуры), монтаж на поверхности</t>
  </si>
  <si>
    <t>II00-05-03-12</t>
  </si>
  <si>
    <t>КИП для измерения температуры (термопреобразователь сопротивления, термопара, электронный датчик, преобразователь температуры, реле температуры, термометр, многоточечный датчик температуры) с глубиной погружения от 1 до 5 метров</t>
  </si>
  <si>
    <t>II00-05-03-13</t>
  </si>
  <si>
    <t>КИП для измерения температуры (термопреобразователь сопротивления, термопара, электронный датчик, преобразователь температуры, реле температуры, термометр, многоточечный датчик температуры) с глубиной погружения более 5 метров</t>
  </si>
  <si>
    <t>II00-05-03-14</t>
  </si>
  <si>
    <t>КИП для измерения температуры воздуха (термопреобразователь сопротивления, электронный датчик, преобразователь температуры), монтаж на вертикальной поверхности</t>
  </si>
  <si>
    <t>II00-05-04</t>
  </si>
  <si>
    <t>Установка КИП для измерения уровня</t>
  </si>
  <si>
    <t>II00-05-04-11</t>
  </si>
  <si>
    <t>Уровнемерная колонка (в том числе уровнемерная колонка с указателем уровня)</t>
  </si>
  <si>
    <t>II00-05-04-12</t>
  </si>
  <si>
    <t>КИП для измерения уровня (всех типов) с длиной погружаемой части до 1 метра (включая резьбовое и фланцевое присоединения к процессу)</t>
  </si>
  <si>
    <t>II00-05-04-13</t>
  </si>
  <si>
    <t>КИП для измерения уровня (всех типов) с длиной погружаемой части от 1 до 5 метров (включая резьбовое и фланцевое присоединения к процессу)</t>
  </si>
  <si>
    <t>II00-05-04-14</t>
  </si>
  <si>
    <t>КИП для измерения уровня (всех типов) с длиной погружаемой части более 5 метров (включая резьбовое и фланцевое присоединения к процессу)</t>
  </si>
  <si>
    <t>II00-05-05</t>
  </si>
  <si>
    <t>Установка датчиков КИП</t>
  </si>
  <si>
    <t>II00-05-05-1</t>
  </si>
  <si>
    <t>Датчик вибрации</t>
  </si>
  <si>
    <t>II00-05-05-2</t>
  </si>
  <si>
    <t>Датчик осевого сдвига</t>
  </si>
  <si>
    <t>II00-05-05-3</t>
  </si>
  <si>
    <t>Газоанализатор</t>
  </si>
  <si>
    <t>II00-05-05-4</t>
  </si>
  <si>
    <t>Выносной индикатор</t>
  </si>
  <si>
    <t>II00-05-07</t>
  </si>
  <si>
    <t>Установка шкафов, распределительных коробок, локальных станций управления, кнопочных постов, переключателей</t>
  </si>
  <si>
    <t>II00-05-07-6</t>
  </si>
  <si>
    <t>Монтаж местных шкафов весом до 50 кг</t>
  </si>
  <si>
    <t>II00-05-07-7</t>
  </si>
  <si>
    <t>Монтаж местных шкафов весом свыше 50 кг</t>
  </si>
  <si>
    <t>II00-05-07-8</t>
  </si>
  <si>
    <t>Ручной переключатель, кнопочный пост, локальная станция управления уличного или взрывозащищенного исполнения, габаритами до 80x80x80мм (ШхВхГ)</t>
  </si>
  <si>
    <t>II00-05-07-9</t>
  </si>
  <si>
    <t>Ручной переключатель, кнопочный пост, локальная станция управления уличного или взрывозащищенного исполнения, габаритами до 150x200x100мм (ШхВхГ)</t>
  </si>
  <si>
    <t>II00-05-07-10</t>
  </si>
  <si>
    <t>Ручной переключатель, кнопочный пост, локальная станция управления уличного или взрывозащищенного исполнения, до 300x300x150мм (ШхВхГ)</t>
  </si>
  <si>
    <t>II00-05-07-11</t>
  </si>
  <si>
    <t>Ручной переключатель, кнопочный пост, локальная станция управления невзрывозащищенного исполнения для применения в помещении, габаритами до 80x80x80мм (ШхВхГ)</t>
  </si>
  <si>
    <t>II00-05-07-12</t>
  </si>
  <si>
    <t>Ручной переключатель, кнопочный пост, локальная станция управления невзрывозащищенного исполнения для применения в помещении, габаритами до 150x200x100мм (ШхВхГ)</t>
  </si>
  <si>
    <t>II00-05-07-13</t>
  </si>
  <si>
    <t>Ручной переключатель, кнопочный пост, локальная станция управления невзрывозащищенного исполнения для применения в помещении, до 300x300x150мм (ШхВхГ)</t>
  </si>
  <si>
    <t>II00-05-07-14</t>
  </si>
  <si>
    <t>Клеммная коробка уличного или взрывозащищенного исполнения, до 150x150x100мм (ШхВхГ)</t>
  </si>
  <si>
    <t>II00-05-07-15</t>
  </si>
  <si>
    <t>Клеммная коробка уличного или взрывозащищенного исполнения, до 250x200x200мм (ШхВхГ)</t>
  </si>
  <si>
    <t>II00-05-07-16</t>
  </si>
  <si>
    <t>Клеммная коробка уличного или взрывозащищенного исполнения, до 400x600x300мм (ШхВхГ)</t>
  </si>
  <si>
    <t>II00-05-07-17</t>
  </si>
  <si>
    <t>Клеммная коробка невзрывозащищенного исполнения для применения в помещении, до 150x150x100мм (ШхВхГ)</t>
  </si>
  <si>
    <t>II00-05-07-18</t>
  </si>
  <si>
    <t>Клеммная коробка невзрывозащищенного исполнения для применения в помещении, до 250x200x200мм (ШхВхГ)</t>
  </si>
  <si>
    <t>II00-05-07-19</t>
  </si>
  <si>
    <t>Клеммная коробка невзрывозащищенного исполнения для применения в помещении, до 400x600x300мм (ШхВхГ)</t>
  </si>
  <si>
    <t>II00-05-07-20</t>
  </si>
  <si>
    <t>Монтаж обогреваемых шкафов для установки КИП (термобоксов) до 30 кг</t>
  </si>
  <si>
    <t>II00-05-07-21</t>
  </si>
  <si>
    <t>Монтаж обогреваемых шкафов для установки КИП (термобоксов) от 30 до 50 кг</t>
  </si>
  <si>
    <t>II00-05-07-22</t>
  </si>
  <si>
    <t>Монтаж обогреваемых шкафов для установки КИП (термобоксов) более 50 кг</t>
  </si>
  <si>
    <t>II00-05-11</t>
  </si>
  <si>
    <t>Дополнительные работы в части КИП при монтаже встраиваемых элементов (расходомеры)</t>
  </si>
  <si>
    <t>II00-05-11-1</t>
  </si>
  <si>
    <t>Дополнительные работы в части КИП при монтаже расходомеров всех типов (ультразвуковой, вихревой, кориолисовый и т.д., за исключением расходомеров переменного перепада давления), интегрированного исполнения</t>
  </si>
  <si>
    <t>II00-05-11-2</t>
  </si>
  <si>
    <t>Дополнительные работы в части КИП при монтаже расходомеров всех типов (ультразвуковой, вихревой, кориолисовый и т.д. , за исключением расходомеров переменного перепада давления), разнесенного исполнения</t>
  </si>
  <si>
    <t>II00-05-11-3</t>
  </si>
  <si>
    <t>Дополнительные работы в части КИП при монтаже расходомеров переменного перепада давления (с комплектными импульсными линиями)</t>
  </si>
  <si>
    <t>II00-05-11-4</t>
  </si>
  <si>
    <t>Дополнительные работы в части КИП при монтаже расходомеров переменного перепада давления (без комплектных импульсных линий)</t>
  </si>
  <si>
    <t>II00-05-12</t>
  </si>
  <si>
    <t>Дополнительные работы в части КИП при монтаже отсечной запорной, запорно-регулирующей, регулирующей арматуры с приводом</t>
  </si>
  <si>
    <t>II00-05-12-1</t>
  </si>
  <si>
    <t>Регулирующая арматура с пневмоприводом</t>
  </si>
  <si>
    <t>II00-05-12-2</t>
  </si>
  <si>
    <t>Запорная арматура с пневмоприводом</t>
  </si>
  <si>
    <t>II00-05-12-3</t>
  </si>
  <si>
    <t>Запорная арматура с пневмоприводом, с функцией проверки частичным ходом</t>
  </si>
  <si>
    <t>II00-05-12-4</t>
  </si>
  <si>
    <t>Запорно-регулирующая арматура с пневмоприводом</t>
  </si>
  <si>
    <t>II00-05-12-5</t>
  </si>
  <si>
    <t>Запорная, регулирующая, запорно-регулирующая арматура с электроприводом</t>
  </si>
  <si>
    <t>II00-05-13</t>
  </si>
  <si>
    <t>Повторная поверка/калибровка КИП</t>
  </si>
  <si>
    <t>II00-05-13-1</t>
  </si>
  <si>
    <t>Повторная поверка/калибровка приборов КИП</t>
  </si>
  <si>
    <t>II00-06</t>
  </si>
  <si>
    <t>Монтажные работы в аппаратной, операторной, контроллерной</t>
  </si>
  <si>
    <t>II00-06-01</t>
  </si>
  <si>
    <t>Установка шкафов, панелей, консолей и компьютерного оборудования</t>
  </si>
  <si>
    <t>II00-06-01-1</t>
  </si>
  <si>
    <t>Шкаф, щит, кроссовый шкаф до 805 x 2200 x 805мм (ШхВхГ), до 350кг</t>
  </si>
  <si>
    <t>II00-06-01-2</t>
  </si>
  <si>
    <t>Шкаф, щит, кроссовый шкаф до 1605 x 2200 x 805мм (ШхВхГ), до 800кг</t>
  </si>
  <si>
    <t>II00-06-01-3</t>
  </si>
  <si>
    <t>Оборудование до 20кг (системный блок, монитор, принтер и пр.оборудование)</t>
  </si>
  <si>
    <t>II00-06-01-4</t>
  </si>
  <si>
    <t>Шкаф, щит навесной до 50 кг</t>
  </si>
  <si>
    <t>II00-06-01-5</t>
  </si>
  <si>
    <t>Шкаф, щит навесной от 50 кг до 150кг</t>
  </si>
  <si>
    <t>II00-06-01-6</t>
  </si>
  <si>
    <t>Монтаж сервера</t>
  </si>
  <si>
    <t>II00-06-01-7</t>
  </si>
  <si>
    <t>Пульт оператора, консоль до 1000x1000x1200мм (ШхВхГ)</t>
  </si>
  <si>
    <t>II00-06-01-16</t>
  </si>
  <si>
    <t>Монтаж местных панелей весом до 50 кг</t>
  </si>
  <si>
    <t>II00-06-01-17</t>
  </si>
  <si>
    <t>Монтаж местных панелей весом свыше 50 кг</t>
  </si>
  <si>
    <t>II00-06-01-18</t>
  </si>
  <si>
    <t>Шкаф, щит, кроссовый шкаф шириной свыше 2400 мм и весом свыше 800 кг.</t>
  </si>
  <si>
    <t>II00-06-01-19</t>
  </si>
  <si>
    <t>Пульт оператора, консоль шириной до 2400мм</t>
  </si>
  <si>
    <t>II00-06-01-20</t>
  </si>
  <si>
    <t>Пульт оператора, консоль шириной свыше 2400мм</t>
  </si>
  <si>
    <t>II00-07</t>
  </si>
  <si>
    <t>Монтаж Анализаторов</t>
  </si>
  <si>
    <t>II00-07-02</t>
  </si>
  <si>
    <t>Установка анализаторов</t>
  </si>
  <si>
    <t>II00-07-02-1</t>
  </si>
  <si>
    <t>Стойка анализатора, до 805x2200x805мм (ШхВхГ)</t>
  </si>
  <si>
    <t>II00-07-02-2</t>
  </si>
  <si>
    <t>Полевой шкаф анализатора, до 1605x2200x805мм (ШхВхГ)</t>
  </si>
  <si>
    <t>II00-07-02-3</t>
  </si>
  <si>
    <t>Анализатор измерения плотности</t>
  </si>
  <si>
    <t>II00-07-02-4</t>
  </si>
  <si>
    <t>Анализатор измерения проводимости</t>
  </si>
  <si>
    <t>II00-07-02-5</t>
  </si>
  <si>
    <t>Анализатор измерения pH</t>
  </si>
  <si>
    <t>II00-07-02-6</t>
  </si>
  <si>
    <t>Анализатор парамагнитный</t>
  </si>
  <si>
    <t>II00-07-02-7</t>
  </si>
  <si>
    <t>Анализатор инфракрасный</t>
  </si>
  <si>
    <t>II00-07-02-8</t>
  </si>
  <si>
    <t>Ручной отбор проб</t>
  </si>
  <si>
    <t>II00-07-02-9</t>
  </si>
  <si>
    <t>Анализатор влажности</t>
  </si>
  <si>
    <t>II00-07-02-10</t>
  </si>
  <si>
    <t>Анализатор системы измерения выбросов и сбросов</t>
  </si>
  <si>
    <t>II00-07-02-11</t>
  </si>
  <si>
    <t>Газовый хроматограф</t>
  </si>
  <si>
    <t>II00-07-02-12</t>
  </si>
  <si>
    <t>Устройство отбора проб</t>
  </si>
  <si>
    <t>II00-07-02-13</t>
  </si>
  <si>
    <t>Емкости с калибровочным газом</t>
  </si>
  <si>
    <t>II00-07-02-14</t>
  </si>
  <si>
    <t>Хроматограф</t>
  </si>
  <si>
    <t>II00-07-02-15</t>
  </si>
  <si>
    <t>Полевой шкаф анализатора, от 1605х2200х805 до 2090x2560x1500 мм (ШхВхГ)</t>
  </si>
  <si>
    <t>II00-07-02-16</t>
  </si>
  <si>
    <t>Поточный анализатор нефтепродуктов</t>
  </si>
  <si>
    <t>II00-07-02-17</t>
  </si>
  <si>
    <t>Поточный анализатор качества воды</t>
  </si>
  <si>
    <t>II00-10</t>
  </si>
  <si>
    <t>Монтаж телекоммуникационного оборудования</t>
  </si>
  <si>
    <t>II00-10-01</t>
  </si>
  <si>
    <t>Система громкоговорящей связи и внутренней связи, полевое оборудование</t>
  </si>
  <si>
    <t>II00-10-01-1</t>
  </si>
  <si>
    <t>Станция внутренней связи наружного типа</t>
  </si>
  <si>
    <t>II00-10-01-2</t>
  </si>
  <si>
    <t>Станция внутренней связи внутреннего типа</t>
  </si>
  <si>
    <t>II00-10-01-3</t>
  </si>
  <si>
    <t>Монтаж шумопоглощающего кожуха</t>
  </si>
  <si>
    <t>II00-10-01-4</t>
  </si>
  <si>
    <t>Монтаж проблесковых маяков</t>
  </si>
  <si>
    <t>II00-10-01-5</t>
  </si>
  <si>
    <t>Монтаж громкоговорителя наружного исполнения</t>
  </si>
  <si>
    <t>II00-10-01-6</t>
  </si>
  <si>
    <t>Монтаж громкоговорителя внутреннего исполнения (накладной)</t>
  </si>
  <si>
    <t>II00-10-01-7</t>
  </si>
  <si>
    <t>Монтаж громкоговорителя внутреннего исполнения (врезной)</t>
  </si>
  <si>
    <t>II00-10-02</t>
  </si>
  <si>
    <t>Система видеонаблюдения</t>
  </si>
  <si>
    <t>II00-10-02-1</t>
  </si>
  <si>
    <t>Монтаж внутренней видеокамеры</t>
  </si>
  <si>
    <t>II00-10-02-2</t>
  </si>
  <si>
    <t>Монтаж наружной видеокамеры</t>
  </si>
  <si>
    <t>II00-10-02-5</t>
  </si>
  <si>
    <t>Монтаж внутренней PTZ видеокамеры </t>
  </si>
  <si>
    <t>II00-10-02-6</t>
  </si>
  <si>
    <t>Монтаж наружной PTZ видеокамеры</t>
  </si>
  <si>
    <t>II00-10-02-8</t>
  </si>
  <si>
    <t>Монтаж защитного кожуха</t>
  </si>
  <si>
    <t>II00-10-02-10</t>
  </si>
  <si>
    <t>Монтаж и подключение ЖК монитора 29"-47"</t>
  </si>
  <si>
    <t>II00-10-02-11</t>
  </si>
  <si>
    <t>Монтаж видеорегистратора</t>
  </si>
  <si>
    <t>II00-10-02-12</t>
  </si>
  <si>
    <t>Монтаж PoE-инжектора</t>
  </si>
  <si>
    <t>II00-10-02-13</t>
  </si>
  <si>
    <t>Монтаж КВМ-удлинителя (приемник-передатчик)</t>
  </si>
  <si>
    <t>II00-10-04</t>
  </si>
  <si>
    <t>Установка и соединение антенной системы</t>
  </si>
  <si>
    <t>II00-10-04-1</t>
  </si>
  <si>
    <t>Монтаж опоры для антенны связи наружной установки высотой до 6м</t>
  </si>
  <si>
    <t>II00-10-04-2</t>
  </si>
  <si>
    <t>Монтаж опоры для антенны связи наружной установки высотой до 12м</t>
  </si>
  <si>
    <t>II00-10-04-3</t>
  </si>
  <si>
    <t>Монтаж опоры для антенны связи наружной установки высотой до 18м</t>
  </si>
  <si>
    <t>II00-10-04-4</t>
  </si>
  <si>
    <t>Монтаж опоры для антенны связи наружной установки высотой до 24м</t>
  </si>
  <si>
    <t>II00-10-04-5</t>
  </si>
  <si>
    <t>Монтаж опоры для антенны связи наружной установки высотой свыше 24м</t>
  </si>
  <si>
    <t>II00-10-04-6</t>
  </si>
  <si>
    <t>Монтаж антенны на опору высотой до 6м</t>
  </si>
  <si>
    <t>II00-10-04-7</t>
  </si>
  <si>
    <t>Монтаж антенны на опору высотой до 12м</t>
  </si>
  <si>
    <t>II00-10-04-8</t>
  </si>
  <si>
    <t>Монтаж антенны на опору высотой до 18м</t>
  </si>
  <si>
    <t>II00-10-04-9</t>
  </si>
  <si>
    <t>Монтаж антенны на опору высотой до 24м</t>
  </si>
  <si>
    <t>II00-10-04-10</t>
  </si>
  <si>
    <t>Монтаж антенны на опору высотой свыше до 24м</t>
  </si>
  <si>
    <t>II00-10-04-11</t>
  </si>
  <si>
    <t>Монтаж антенны в здании</t>
  </si>
  <si>
    <t>II00-10-04-13</t>
  </si>
  <si>
    <t>Монтаж мачты связи</t>
  </si>
  <si>
    <t>II00-10-04-14</t>
  </si>
  <si>
    <t>Монтаж антенны точки доступа WIFI (установка в зданиях)</t>
  </si>
  <si>
    <t>II00-10-04-15</t>
  </si>
  <si>
    <t>Монтаж антенны ретранслятора сотовой связи (установка в зданиях)</t>
  </si>
  <si>
    <t>II00-10-05</t>
  </si>
  <si>
    <t>Монтаж оборудования и панелей в зданиях</t>
  </si>
  <si>
    <t>II00-10-05-1</t>
  </si>
  <si>
    <t>Монтаж кроссового, телекоммуникационного шкафа до 100 кг</t>
  </si>
  <si>
    <t>II00-10-05-2</t>
  </si>
  <si>
    <t>Монтаж кроссового, телекоммуникационного шкафа от 101 до 300 кг</t>
  </si>
  <si>
    <t>II00-10-05-3</t>
  </si>
  <si>
    <t>Монтаж кроссового, телекоммуникационного шкафа свыше 301 кг</t>
  </si>
  <si>
    <t>II00-10-05-6</t>
  </si>
  <si>
    <t>Монтаж коммутационной панели оптоволоконных линий (до 12 волокон)</t>
  </si>
  <si>
    <t>II00-10-05-7</t>
  </si>
  <si>
    <t>Монтаж коммутационной панели оптоволоконных линий (до 24 волокон)</t>
  </si>
  <si>
    <t>II00-10-05-8</t>
  </si>
  <si>
    <t>Монтаж коммутационной панели оптоволоконных линий (до 48 волокон)</t>
  </si>
  <si>
    <t>II00-10-05-9</t>
  </si>
  <si>
    <t>Монтаж коммутационной панели оптоволоконных линий (до 96 волокон)</t>
  </si>
  <si>
    <t>II00-10-05-10</t>
  </si>
  <si>
    <t>Монтаж консоли оператора</t>
  </si>
  <si>
    <t>II00-10-05-11</t>
  </si>
  <si>
    <t>Монтаж коммутатора /маршрутизатора /криптошлюза /межсетевого экрана</t>
  </si>
  <si>
    <t>II00-10-05-12</t>
  </si>
  <si>
    <t>Монтаж медиаконвертера</t>
  </si>
  <si>
    <t>II00-10-05-14</t>
  </si>
  <si>
    <t>Монтаж преобразователь интерфейсов RS-485/RS-232 в Ethernet</t>
  </si>
  <si>
    <t>II00-10-05-19</t>
  </si>
  <si>
    <t>Монтаж розетки телекоммуникационной (накладной монтаж)</t>
  </si>
  <si>
    <t>II00-10-05-15</t>
  </si>
  <si>
    <t>Монтаж розетки телекоммуникационной (встраеваемой)</t>
  </si>
  <si>
    <t>II00-10-05-16</t>
  </si>
  <si>
    <t>Монтаж автоматического выключателя</t>
  </si>
  <si>
    <t>II00-10-05-17</t>
  </si>
  <si>
    <t>Монтаж пульта управления климатом кондиционер/вентиляция/теплый пол/отопление (накладной монтаж)</t>
  </si>
  <si>
    <t>II00-10-05-18</t>
  </si>
  <si>
    <t>Монтаж пульта управления климатом кондиционер/вентиляция/теплый пол/отопление (встраиваемый монтаж)</t>
  </si>
  <si>
    <t>II00-12</t>
  </si>
  <si>
    <t>Монтаж систем обеспечения безопасности</t>
  </si>
  <si>
    <t>II00-12-01</t>
  </si>
  <si>
    <t>II00-12-01-1</t>
  </si>
  <si>
    <t>Датчик пожарной сигнализации дыма / тепловой наружного исполнения</t>
  </si>
  <si>
    <t>II00-12-01-2</t>
  </si>
  <si>
    <t>Датчик пожарной сигнализации дыма / тепловой внутреннего исполнения</t>
  </si>
  <si>
    <t>II00-12-01-3</t>
  </si>
  <si>
    <t>Датчик пожарной сигнализации инфракрасный / пламени наружного исполнения</t>
  </si>
  <si>
    <t>II00-12-01-4</t>
  </si>
  <si>
    <t>Датчик пожарной сигнализации инфракрасный / пламени внутреннего исполнения</t>
  </si>
  <si>
    <t>II00-12-01-5</t>
  </si>
  <si>
    <t>Блок линейного теплового извещателя наружного исполнения</t>
  </si>
  <si>
    <t>II00-12-01-6</t>
  </si>
  <si>
    <t>Блок линейного теплового извещателя внутреннего исполнения</t>
  </si>
  <si>
    <t>II00-12-01-7</t>
  </si>
  <si>
    <t>Термокабель для линейного теплового извещателя</t>
  </si>
  <si>
    <t>II00-12-01-8</t>
  </si>
  <si>
    <t>Проблесковый маячок наружного исполнения</t>
  </si>
  <si>
    <t>II00-12-01-9</t>
  </si>
  <si>
    <t>Проблесковый маячок внутреннего исполнения</t>
  </si>
  <si>
    <t>II00-12-01-10</t>
  </si>
  <si>
    <t>Сирена, звуковой оповещатель наружного исполнения</t>
  </si>
  <si>
    <t>II00-12-01-11</t>
  </si>
  <si>
    <t>Сирена, звуковой оповещатель внутреннего исполнения</t>
  </si>
  <si>
    <t>II00-12-01-12</t>
  </si>
  <si>
    <t>Монтаж светового табло наружного исполнения</t>
  </si>
  <si>
    <t>II00-12-01-13</t>
  </si>
  <si>
    <t>Монтаж светового табло внутреннего исполнения</t>
  </si>
  <si>
    <t>II00-12-01-14</t>
  </si>
  <si>
    <t>Извещатель пожарный ручной, кнопка наружного исполнения</t>
  </si>
  <si>
    <t>II00-12-01-15</t>
  </si>
  <si>
    <t>Извещатель пожарный ручной, кнопка внутреннего исполнения</t>
  </si>
  <si>
    <t>II00-12-01-16</t>
  </si>
  <si>
    <t>Монтаж поста светозвуковой сигнализации наружного исполнения</t>
  </si>
  <si>
    <t>II00-12-01-17</t>
  </si>
  <si>
    <t>Монтаж поста светозвуковой сигнализации внутреннего исполнения</t>
  </si>
  <si>
    <t>II00-12-01-18</t>
  </si>
  <si>
    <t>Пункт ручного оповещения наружного исполнения</t>
  </si>
  <si>
    <t>II00-12-01-19</t>
  </si>
  <si>
    <t>Пункт ручного оповещения внутреннего исполнения</t>
  </si>
  <si>
    <t>II00-12-01-20</t>
  </si>
  <si>
    <t>Монтаж приемно-контрольного прибора на 1-4 зоны</t>
  </si>
  <si>
    <t>II00-12-01-21</t>
  </si>
  <si>
    <t>Монтаж приемно-контрольного прибора на 5-8 зон</t>
  </si>
  <si>
    <t>II00-12-01-22</t>
  </si>
  <si>
    <t>Монтаж приемно-контрольного прибора на 9 зон и более</t>
  </si>
  <si>
    <t>II00-12-01-23</t>
  </si>
  <si>
    <t>Датчик загазованности наружного исполнения</t>
  </si>
  <si>
    <t>II00-12-01-24</t>
  </si>
  <si>
    <t>Датчик загазованности внутреннего исполнения</t>
  </si>
  <si>
    <t>II00-12-01-25</t>
  </si>
  <si>
    <t>Линейный оптический дымовой извещатель наружного исполнения</t>
  </si>
  <si>
    <t>II00-12-01-26</t>
  </si>
  <si>
    <t>Линейный оптический дымовой извещатель внутреннего исполнения</t>
  </si>
  <si>
    <t>II00-12-01-27</t>
  </si>
  <si>
    <t>Блок аспирационного извещателя</t>
  </si>
  <si>
    <t>II00-12-01-28</t>
  </si>
  <si>
    <t>Монтаж труб для аспирационного извещателя</t>
  </si>
  <si>
    <t>II00-12-01-29</t>
  </si>
  <si>
    <t>Монтаж пульта контроля и управления</t>
  </si>
  <si>
    <t>II00-12-01-30</t>
  </si>
  <si>
    <t>Монтаж клавиатуры</t>
  </si>
  <si>
    <t>II00-12-01-31</t>
  </si>
  <si>
    <t>Монтаж модуля расширения</t>
  </si>
  <si>
    <t>II00-12-01-32</t>
  </si>
  <si>
    <t>Монтаж GSM-модуля</t>
  </si>
  <si>
    <t>II00-12-01-33</t>
  </si>
  <si>
    <t>Монтаж выносной антенны</t>
  </si>
  <si>
    <t>II00-12-01-34</t>
  </si>
  <si>
    <t>Монтаж щита распределительного</t>
  </si>
  <si>
    <t>II00-12-01-35</t>
  </si>
  <si>
    <t>Монтаж блока бесперебойного питания</t>
  </si>
  <si>
    <t>II00-12-01-36</t>
  </si>
  <si>
    <t>Монтаж РИП (резервного источника питания)</t>
  </si>
  <si>
    <t>II00-12-01-37</t>
  </si>
  <si>
    <t>Монтаж магнитоконтактного извещателя внутренней установки</t>
  </si>
  <si>
    <t>II00-12-01-38</t>
  </si>
  <si>
    <t>Монтаж магнитоконтактного извещателя наружной установки</t>
  </si>
  <si>
    <t>II00-12-01-39</t>
  </si>
  <si>
    <t>Монтаж извещателя поверхностного вибрационного/емкостного</t>
  </si>
  <si>
    <t>II00-12-01-40</t>
  </si>
  <si>
    <t>Монтаж извещателя охранного объемного оптико-электронного</t>
  </si>
  <si>
    <t>II00-12-01-41</t>
  </si>
  <si>
    <t>Монтаж блока разветвительно-изолирующего</t>
  </si>
  <si>
    <t>II00-12-01-42</t>
  </si>
  <si>
    <t>Монтаж адресного расширителя</t>
  </si>
  <si>
    <t>II00-12-01-43</t>
  </si>
  <si>
    <t>Монтаж тревожной кнопки</t>
  </si>
  <si>
    <t>II00-12-01-44</t>
  </si>
  <si>
    <t>Монтаж комбинированного светозвукового оповещателя СЗУ</t>
  </si>
  <si>
    <t>II00-12-01-45</t>
  </si>
  <si>
    <t>Монтаж сейфа оружейного</t>
  </si>
  <si>
    <t>II00-12-01-46</t>
  </si>
  <si>
    <t>Монтаж контроллера доступа в комплекте с источником питания</t>
  </si>
  <si>
    <t>II00-12-01-47</t>
  </si>
  <si>
    <t>Монтаж считывателя внутреннего</t>
  </si>
  <si>
    <t>II00-12-01-48</t>
  </si>
  <si>
    <t>Монтаж считывателя наружного</t>
  </si>
  <si>
    <t>II00-12-01-49</t>
  </si>
  <si>
    <t>Монтаж замка электромагнитного</t>
  </si>
  <si>
    <t>II00-12-01-50</t>
  </si>
  <si>
    <t>Монтаж защелки электромеханической</t>
  </si>
  <si>
    <t>II00-12-01-51</t>
  </si>
  <si>
    <t>Монтаж устройства коммутационного</t>
  </si>
  <si>
    <t>II00-12-01-52</t>
  </si>
  <si>
    <t>Монтаж кнопки аварийного открывания двери</t>
  </si>
  <si>
    <t>II00-12-01-53</t>
  </si>
  <si>
    <t>Монтаж турникета полуростового на 1 проход</t>
  </si>
  <si>
    <t>II00-12-01-54</t>
  </si>
  <si>
    <t>Монтаж турникета полуростового на 2 прохода</t>
  </si>
  <si>
    <t>II00-12-01-55</t>
  </si>
  <si>
    <t>Монтаж турникета полноростового на 1 проход</t>
  </si>
  <si>
    <t>II00-12-01-56</t>
  </si>
  <si>
    <t>Монтаж турникета полноростового на 2 прохода</t>
  </si>
  <si>
    <t>II00-12-01-57</t>
  </si>
  <si>
    <t>Монтаж турникета полноростового на 3 прохода</t>
  </si>
  <si>
    <t>II00-12-01-58</t>
  </si>
  <si>
    <t>Монтаж пульта управления турникетом</t>
  </si>
  <si>
    <t>II00-12-01-59</t>
  </si>
  <si>
    <t>Монтаж картоприемника</t>
  </si>
  <si>
    <t>II00-12-01-60</t>
  </si>
  <si>
    <t>Монтаж ограждения высота не менее 1200 мм, ширина 1000 мм (м/п)</t>
  </si>
  <si>
    <t>II00-12-01-61</t>
  </si>
  <si>
    <t>Металлодетектор стационарный панельный</t>
  </si>
  <si>
    <t>II00-12-01-62</t>
  </si>
  <si>
    <t>Монтаж блок вызова видеодомофона</t>
  </si>
  <si>
    <t>II00-12-01-63</t>
  </si>
  <si>
    <t>Монтаж абонентской панели видеодомофона</t>
  </si>
  <si>
    <t>II00-12-01-64</t>
  </si>
  <si>
    <t>Монтаж шкафа системы оповещения</t>
  </si>
  <si>
    <t>II00-12-01-65</t>
  </si>
  <si>
    <t>Монтаж микрофонной панели</t>
  </si>
  <si>
    <t>II00-12-01-66</t>
  </si>
  <si>
    <t>Монтаж громкоговорителя, в комплекте с коробкой</t>
  </si>
  <si>
    <t>II00-12-01-67</t>
  </si>
  <si>
    <t>Блок индикации с клавиатурой</t>
  </si>
  <si>
    <t>II00-12-01-68</t>
  </si>
  <si>
    <t>Монтаж блока вибрационного средства обнаружения</t>
  </si>
  <si>
    <t>II00-12-01-69</t>
  </si>
  <si>
    <t>Кабель вибрационного средства обнаружения</t>
  </si>
  <si>
    <t>II00-12-01-70</t>
  </si>
  <si>
    <t>Монтаж извещателя охранного радиоволнового</t>
  </si>
  <si>
    <t>II00-12-01-71</t>
  </si>
  <si>
    <t>Монтаж светофора, электронного табло</t>
  </si>
  <si>
    <t>II00-12-01-72</t>
  </si>
  <si>
    <t>Монтаж пульта управления шлагбаумом для проезда</t>
  </si>
  <si>
    <t>II00-12-01-73</t>
  </si>
  <si>
    <t>Монтаж пульта управления дорожным блокиратором</t>
  </si>
  <si>
    <t>II00-12-01-74</t>
  </si>
  <si>
    <t>Монтаж шлагбаума для установки на КПП</t>
  </si>
  <si>
    <t>II00-12-01-75</t>
  </si>
  <si>
    <t>Монтаж противотаранного устройства шлагбаумного типа</t>
  </si>
  <si>
    <t>II00-12-01-76</t>
  </si>
  <si>
    <t>Монтаж искусственной дорожной неровности</t>
  </si>
  <si>
    <t>II00-12-01-77</t>
  </si>
  <si>
    <t>Монтаж предупреждающей таблички до 600х400</t>
  </si>
  <si>
    <t>II00-12-01-78</t>
  </si>
  <si>
    <t>Монтаж колесоотбойника</t>
  </si>
  <si>
    <t>II00-12-01-79</t>
  </si>
  <si>
    <t>Монтаж противотаранного дорожного столба (по типу ДСС-275/18/800)</t>
  </si>
  <si>
    <t>II00-12-01-80</t>
  </si>
  <si>
    <t>Монтаж противотаранного устройства накладного до 4 м</t>
  </si>
  <si>
    <t>II00-12-01-81</t>
  </si>
  <si>
    <t>Монтаж противотаранного устройства подземного типа до 4 м</t>
  </si>
  <si>
    <t>II00-13</t>
  </si>
  <si>
    <t>Монтаж систем мультимедионого оборудования</t>
  </si>
  <si>
    <t>II00-13-02</t>
  </si>
  <si>
    <t>Монтаж экранов/панелей</t>
  </si>
  <si>
    <t>II00-13-02-01</t>
  </si>
  <si>
    <t>Монтаж TV панели до 65"</t>
  </si>
  <si>
    <t>II00-13-02-02</t>
  </si>
  <si>
    <t>Монтаж TV панели свыше 65"</t>
  </si>
  <si>
    <t>II00-13-02-03</t>
  </si>
  <si>
    <t>Монтаж видеостен на основе LED/OLED/QLED/TFT панелей</t>
  </si>
  <si>
    <t>м2</t>
  </si>
  <si>
    <t>II00-13-03</t>
  </si>
  <si>
    <t>Монтаж видеопроекторов</t>
  </si>
  <si>
    <t>II00-13-03-01</t>
  </si>
  <si>
    <t>Монтаж подвесного видеопроектора</t>
  </si>
  <si>
    <t>II00-13-03-02</t>
  </si>
  <si>
    <t>Монтаж напольного видеопроектора</t>
  </si>
  <si>
    <t>II00-13-03-03</t>
  </si>
  <si>
    <t>Монтаж экрана механизированного</t>
  </si>
  <si>
    <t>II00-13-03-04</t>
  </si>
  <si>
    <t>Монтаж экрана стационарного</t>
  </si>
  <si>
    <t>ET00</t>
  </si>
  <si>
    <t>Система электрообогрева</t>
  </si>
  <si>
    <t>ET00-01</t>
  </si>
  <si>
    <t>Монтаж греющего кабеля</t>
  </si>
  <si>
    <t>ET00-01-01</t>
  </si>
  <si>
    <t>Саморегулирующий кабель электрообогрева</t>
  </si>
  <si>
    <t>ET00-01-01-3</t>
  </si>
  <si>
    <t>Монтаж саморегулирующего греющего кабеля на элементах водосточной системы и кровле</t>
  </si>
  <si>
    <t>ET00-01-01-5</t>
  </si>
  <si>
    <t>Монтаж саморегулирующего греющего кабеля на трубопровод</t>
  </si>
  <si>
    <t>ET00-01-01-6</t>
  </si>
  <si>
    <t>Монтаж саморегулирующего греющего кабеля на оборудование</t>
  </si>
  <si>
    <t>ET00-01-02</t>
  </si>
  <si>
    <t>Греющий кабель с полимерной/минеральной изоляцией</t>
  </si>
  <si>
    <t>ET00-01-02-1</t>
  </si>
  <si>
    <t>Монтаж греющего кабеля с полимерной/минеральной изоляцией</t>
  </si>
  <si>
    <t>ET00-01-03</t>
  </si>
  <si>
    <t>Элементы для обеспечения работоспособности и контроля системы электрообогрева</t>
  </si>
  <si>
    <t>ET00-01-03-1</t>
  </si>
  <si>
    <t>Монтаж распределительной коробки для греющего кабеля</t>
  </si>
  <si>
    <t>ET00-01-03-3</t>
  </si>
  <si>
    <t>Устройство концевой заделки (оконцевание жил греющего кабеля)</t>
  </si>
  <si>
    <t>ET00-01-03-4</t>
  </si>
  <si>
    <t>Ввод греющего кабеля в коробку и его расключение</t>
  </si>
  <si>
    <t>ET00-01-03-5</t>
  </si>
  <si>
    <t>Монтаж термостата / контроллера / датчика температуры</t>
  </si>
  <si>
    <t>ET00-01-04</t>
  </si>
  <si>
    <t>Греющий кабель постоянной мощности (резистивный)</t>
  </si>
  <si>
    <t>ET00-01-04-1</t>
  </si>
  <si>
    <t>Монтаж греющего кабеля постоянной мощности для заливки в бетон</t>
  </si>
  <si>
    <t>ET00-02</t>
  </si>
  <si>
    <t>Монтаж локальных распределительных панелей питания/управления на строительной площадке</t>
  </si>
  <si>
    <t>ET00-02-01</t>
  </si>
  <si>
    <t>Распределительные шкаф, щиты, панели для систем электрообогрева</t>
  </si>
  <si>
    <t>ET00-02-01-1</t>
  </si>
  <si>
    <t>Монтаж панели распределения/управления электрообогревом высотой до 1200 мм, шириной до 1000 мм массой до 100кг</t>
  </si>
  <si>
    <t>ET00-02-01-5</t>
  </si>
  <si>
    <t>Монтаж распределительной панели питания/управления электрообогревом, высота до 2100 мм, ширина от 1000 до 2000 мм, массой до 500кг</t>
  </si>
  <si>
    <t>ET00-02-01-6</t>
  </si>
  <si>
    <t>Монтаж распределительной панели питания/управления электрообогревом, высота до 2100 мм, ширина от 2000 до 4000 мм, массой до 1000кг</t>
  </si>
  <si>
    <t>HU00</t>
  </si>
  <si>
    <t>Переходы подземные</t>
  </si>
  <si>
    <t>HU00-01</t>
  </si>
  <si>
    <t>Переходы подземные скрытые</t>
  </si>
  <si>
    <t>HU00-01-07</t>
  </si>
  <si>
    <t>Монтаж/демонтаж установки для продавливания</t>
  </si>
  <si>
    <t>HU00-01-07-1</t>
  </si>
  <si>
    <t>Монтаж и демонтаж установки для продавливания</t>
  </si>
  <si>
    <t>HU00-01-07-2</t>
  </si>
  <si>
    <t>Монтаж и демонтаж установки для прокола</t>
  </si>
  <si>
    <t>HU00-02</t>
  </si>
  <si>
    <t>Устройство футляра открытым способом</t>
  </si>
  <si>
    <t>HU00-02-01</t>
  </si>
  <si>
    <t>Устройство футляра открытым способом из стальных труб</t>
  </si>
  <si>
    <t>HU00-02-01-1</t>
  </si>
  <si>
    <t>Устройство футляра открытым способом из стальных труб до Ду 250</t>
  </si>
  <si>
    <t>HU00-02-01-2</t>
  </si>
  <si>
    <t>Устройство футляра открытым способом из стальных труб свыше Ду 250 до Ду 400</t>
  </si>
  <si>
    <t>HU00-02-01-3</t>
  </si>
  <si>
    <t>Устройство футляра открытым способом из стальных труб свыше Ду 400 до Ду 700</t>
  </si>
  <si>
    <t>HU00-02-01-4</t>
  </si>
  <si>
    <t>Устройство футляра открытым способом из стальных труб свыше Ду 700 до Ду 1100</t>
  </si>
  <si>
    <t>HU00-02-01-5</t>
  </si>
  <si>
    <t>Устройство футляра открытым способом из стальных труб свыше Ду 1100 до Ду 1300</t>
  </si>
  <si>
    <t>HU00-02-01-6</t>
  </si>
  <si>
    <t>Устройство футляра открытым способом из стальных труб свыше Ду 1300</t>
  </si>
  <si>
    <t>HU00-02-02</t>
  </si>
  <si>
    <t>Устройство футляра открытым способом из полиэтиленовых/полипропиленовых труб</t>
  </si>
  <si>
    <t>HU00-02-02-1</t>
  </si>
  <si>
    <t>Устройство футляра открытым способом из полиэтиленовых/полипропиленовых труб до Ду 250</t>
  </si>
  <si>
    <t>HU00-02-02-2</t>
  </si>
  <si>
    <t>Устройство футляра открытым способом из полиэтиленовых/полипропиленовых труб свыше Ду 250 до Ду 400</t>
  </si>
  <si>
    <t>HU00-02-02-3</t>
  </si>
  <si>
    <t>Устройство футляра открытым способом из полиэтиленовых/полипропиленовых труб свыше Ду 400 до Ду 700</t>
  </si>
  <si>
    <t>HU00-02-02-4</t>
  </si>
  <si>
    <t>Устройство футляра открытым способом из полиэтиленовых/полипропиленовых труб свыше Ду 700 до Ду 1100</t>
  </si>
  <si>
    <t>HU00-02-02-5</t>
  </si>
  <si>
    <t>Устройство футляра открытым способом из полиэтиленовых/полипропиленовых труб свыше Ду 1100 до Ду 1300</t>
  </si>
  <si>
    <t>HU00-02-02-6</t>
  </si>
  <si>
    <t>Устройство футляра открытым способом из полиэтиленовых/полипропиленовых труб свыше Ду 1300</t>
  </si>
  <si>
    <t>HU00-02-03</t>
  </si>
  <si>
    <t>Испытание манжет на герметичность</t>
  </si>
  <si>
    <t>HU00-02-03-1</t>
  </si>
  <si>
    <t>2 шт.</t>
  </si>
  <si>
    <t>PC00</t>
  </si>
  <si>
    <t>ПОДГОТОВКА К ПНР</t>
  </si>
  <si>
    <t>PC00-20</t>
  </si>
  <si>
    <t>РАБОТЫ ПО ЭЛЕКТРООБОРУДОВАНИЮ до 35 кВ</t>
  </si>
  <si>
    <t>PC00-20-01</t>
  </si>
  <si>
    <t>Трансформатор силовой до 35 кВ</t>
  </si>
  <si>
    <t>PC00-20-01-001</t>
  </si>
  <si>
    <t>Индивидуальные и функциональные испытания. Трансформатор силовой сухой, с номинальным напряжением первичной обмотки 6-35 кВ, с естественным охлаждением</t>
  </si>
  <si>
    <t>PC00-20-01-002</t>
  </si>
  <si>
    <t>Индивидуальные и функциональные испытания. Трансформатор силовой сухой, с номинальным напряжением первичной обмотки 6-35 кВ, с принудительным охлаждением</t>
  </si>
  <si>
    <t>PC00-20-01-003</t>
  </si>
  <si>
    <t>Индивидуальные и функциональные испытания. Трансформатор силовой масляный, с номинальным напряжением первичной обмотки 6-35 кВ, с естественным охлаждением</t>
  </si>
  <si>
    <t>PC00-20-01-004</t>
  </si>
  <si>
    <t>Индивидуальные и функциональные испытания. Трансформатор силовой масляный, с номинальным напряжением первичной обмотки 6-35 кВ, с принудительным охлаждением</t>
  </si>
  <si>
    <t>PC00-20-02</t>
  </si>
  <si>
    <t>Шинопровод до 35 кВ</t>
  </si>
  <si>
    <t>PC00-20-02-001</t>
  </si>
  <si>
    <t>Индивидуальные и функциональные испытания. Шинопровод 6-35 кВ (трехфазный+N)</t>
  </si>
  <si>
    <t>PC00-20-02-002</t>
  </si>
  <si>
    <t>Индивидуальные и функциональные испытания. Шинопровод до 1 кВ (трехфазный+N)</t>
  </si>
  <si>
    <t>PC00-20-03</t>
  </si>
  <si>
    <t>Кабельная линия до 35 кВ</t>
  </si>
  <si>
    <t>PC00-20-03-001</t>
  </si>
  <si>
    <t>Индивидуальные и функциональные испытания. Кабельная линия свыше 1 кВ до 35 кВ</t>
  </si>
  <si>
    <t>линия</t>
  </si>
  <si>
    <t>PC00-20-03-002</t>
  </si>
  <si>
    <t>Индивидуальные и функциональные испытания. Кабельная линия до 1 кВ</t>
  </si>
  <si>
    <t>PC00-20-04</t>
  </si>
  <si>
    <t>Распределительное устройство до 35 кВ</t>
  </si>
  <si>
    <t>PC00-20-04-001</t>
  </si>
  <si>
    <t>Индивидуальные и функциональные испытания. Ячейка ввода 6-35 кВ</t>
  </si>
  <si>
    <t>PC00-20-04-002</t>
  </si>
  <si>
    <t>Индивидуальные и функциональные испытания. Отходящая ячейка 6-35 кВ</t>
  </si>
  <si>
    <t>PC00-20-04-003</t>
  </si>
  <si>
    <t>Индивидуальные и функциональные испытания. Ячейка ввода до 1 кВ</t>
  </si>
  <si>
    <t>PC00-20-04-004</t>
  </si>
  <si>
    <t>Индивидуальные и функциональные испытания. Отходящая ячейка до 1 кВ</t>
  </si>
  <si>
    <t>PC00-20-04-005</t>
  </si>
  <si>
    <t>Индивидуальные и функциональные испытания. Ячейка секционного выключателя с АВР 6-35 кВ</t>
  </si>
  <si>
    <t>PC00-20-04-006</t>
  </si>
  <si>
    <t>Индивидуальные и функциональные испытания. Ячейка секционного выключателя с АВР до 1 кВ</t>
  </si>
  <si>
    <t>PC00-20-04-007</t>
  </si>
  <si>
    <t>Индивидуальные и функциональные испытания. Ячейка измерительного трансформатора напряжения 6-35 кВ</t>
  </si>
  <si>
    <t>PC00-20-05</t>
  </si>
  <si>
    <t>Система оперативного тока (ИБП)</t>
  </si>
  <si>
    <t>PC00-20-05-001</t>
  </si>
  <si>
    <t>Индивидуальные и функциональные испытания. Система оперативного тока (ИБП): мощностью от 5 до 20 кВА, включая контрольные линии</t>
  </si>
  <si>
    <t>система</t>
  </si>
  <si>
    <t>PC00-20-05-002</t>
  </si>
  <si>
    <t>Индивидуальные и функциональные испытания. Система оперативного тока (ИБП): мощностью от 20 до 50 кВА, включая контрольные линии</t>
  </si>
  <si>
    <t>PC00-20-05-003</t>
  </si>
  <si>
    <t>Индивидуальные и функциональные испытания. Система оперативного тока (ИБП): мощностью свыше 50 кВА, включая контрольные линии</t>
  </si>
  <si>
    <t>PC00-20-06</t>
  </si>
  <si>
    <t>Дизель-генераторная установка</t>
  </si>
  <si>
    <t>PC00-20-06-001</t>
  </si>
  <si>
    <t>Индивидуальные и функциональные испытания. Дизель-генераторная установка (ДГУ), мощностью свыше 50 кВА и до 100 кВА, включая контрольные линии</t>
  </si>
  <si>
    <t>PC00-20-06-002</t>
  </si>
  <si>
    <t>Индивидуальные и функциональные испытания. Дизель-генераторная установка (ДГУ), мощностью свыше 100 кВА, включая контрольные линии</t>
  </si>
  <si>
    <t>PC00-20-07</t>
  </si>
  <si>
    <t>Система аварийной, предупредительной и центральной сигнализации ПС / РУ</t>
  </si>
  <si>
    <t>PC00-20-07-001</t>
  </si>
  <si>
    <t>Индивидуальные и функциональные испытания. Система аварийной, предупредительной и центральной сигнализации ПС / РУ</t>
  </si>
  <si>
    <t>PC00-20-08</t>
  </si>
  <si>
    <t>Система ДГР (дугогасящий реактор) с управлением</t>
  </si>
  <si>
    <t>PC00-20-08-001</t>
  </si>
  <si>
    <t>Индивидуальные и функциональные испытания. Система ДГР (дугогасящий реактор) с управлением</t>
  </si>
  <si>
    <t>PC00-20-09</t>
  </si>
  <si>
    <t>Устройство компенсации реактивной мощности до 35 кВ</t>
  </si>
  <si>
    <t>PC00-20-09-001</t>
  </si>
  <si>
    <t>Индивидуальные и функциональные испытания. Устройство компенсации реактивной мощности (УКРМ) 6-35 кВ, включая контрольные линии</t>
  </si>
  <si>
    <t>PC00-20-09-002</t>
  </si>
  <si>
    <t>Индивидуальные и функциональные испытания. Устройство компенсации реактивной мощности (УКРМ) до 1кВ, включая контрольные линии</t>
  </si>
  <si>
    <t>PC00-20-10</t>
  </si>
  <si>
    <t>Вводно-распределительный/распределительный щит до 1кВ</t>
  </si>
  <si>
    <t>PC00-20-10-001</t>
  </si>
  <si>
    <t>Индивидуальные и функциональные испытания. Вводно-распределительный щит с АВР, включая контрольные линии: кол-во АВ до 12</t>
  </si>
  <si>
    <t>PC00-20-10-002</t>
  </si>
  <si>
    <t>Индивидуальные и функциональные испытания. Вводно-распределительный щит с АВР, включая контрольные линии: кол-во АВ до 24</t>
  </si>
  <si>
    <t>PC00-20-10-003</t>
  </si>
  <si>
    <t>Индивидуальные и функциональные испытания. Вводно-распределительный щит с АВР, включая контрольные линии: кол-во АВ свыше 24</t>
  </si>
  <si>
    <t>PC00-20-10-004</t>
  </si>
  <si>
    <t>Индивидуальные и функциональные испытания. Вводно-распределительный щит без АВР, включая контрольные линии: кол-во АВ до 12</t>
  </si>
  <si>
    <t>PC00-20-10-005</t>
  </si>
  <si>
    <t>Индивидуальные и функциональные испытания. Вводно-распределительный щит без АВР, включая контрольные линии: кол-во АВ до 24</t>
  </si>
  <si>
    <t>PC00-20-10-006</t>
  </si>
  <si>
    <t>Индивидуальные и функциональные испытания. Вводно-распределительный щит без АВР, включая контрольные линии: кол-во АВ свыше 24</t>
  </si>
  <si>
    <t>PC00-20-10-007</t>
  </si>
  <si>
    <t>Индивидуальные и функциональные испытания. Распределительный щит (освещения), включая контрольные линии: кол-во АВ до 12</t>
  </si>
  <si>
    <t>PC00-20-10-008</t>
  </si>
  <si>
    <t>Индивидуальные и функциональные испытания. Распределительный щит (освещения), включая контрольные линии: кол-во АВ свыше 12</t>
  </si>
  <si>
    <t>PC00-20-10-009</t>
  </si>
  <si>
    <t>Индивидуальные и функциональные испытания. Распределительный щит (потребители малой мощности, номинальный ток вводного автомата до 63А), включая контрольные линии: кол-во АВ до 12</t>
  </si>
  <si>
    <t>PC00-20-10-010</t>
  </si>
  <si>
    <t>Индивидуальные и функциональные испытания. Распределительный щит (потребители малой мощности, номинальный ток вводного автомата до 63А), включая контрольные линии: кол-во АВ свыше 12</t>
  </si>
  <si>
    <t>PC00-20-10-011</t>
  </si>
  <si>
    <t>Индивидуальные и функциональные испытания. Вводной-распределительный щит с рубильником и предохранителями</t>
  </si>
  <si>
    <t>PC00-20-11</t>
  </si>
  <si>
    <t>PC00-20-11-001</t>
  </si>
  <si>
    <t>Индивидуальные и функциональные испытания. Щит питания электрообогрева без АВР, включая контрольные линии и цепи управления: кол-во АВ до 12</t>
  </si>
  <si>
    <t>PC00-20-11-002</t>
  </si>
  <si>
    <t>Индивидуальные и функциональные испытания. Щит питания электрообогрева без АВР, включая контрольные линии и цепи управления: кол-во АВ до 24</t>
  </si>
  <si>
    <t>PC00-20-11-003</t>
  </si>
  <si>
    <t>Индивидуальные и функциональные испытания. Щит питания электрообогрева без АВР, включая контрольные линии и цепи управления: кол-во АВ свыше 24</t>
  </si>
  <si>
    <t>PC00-20-11-004</t>
  </si>
  <si>
    <t>Индивидуальные и функциональные испытания. Щит питания электрообогрева с АВР, включая контрольные линии и цепи управления: кол-во АВ до 12</t>
  </si>
  <si>
    <t>PC00-20-11-005</t>
  </si>
  <si>
    <t>Индивидуальные и функциональные испытания. Щит питания электрообогрева с АВР, включая контрольные линии и цепи управления: кол-во АВ до 24</t>
  </si>
  <si>
    <t>PC00-20-11-006</t>
  </si>
  <si>
    <t>Индивидуальные и функциональные испытания. Щит питания электрообогрева с АВР, включая контрольные линии и цепи управления: кол-во АВ свыше 24</t>
  </si>
  <si>
    <t>PC00-20-11-007</t>
  </si>
  <si>
    <t>Индивидуальные и функциональные испытания. Греющий кабель</t>
  </si>
  <si>
    <t>PC00-20-12</t>
  </si>
  <si>
    <t>Электродвигатель</t>
  </si>
  <si>
    <t>PC00-20-12-001</t>
  </si>
  <si>
    <t>Индивидуальные и функциональные испытания. Система питания и управления электродвигателем, с частотным преобразователем или устройством плавного пуска, до 1кВ, током до 100А, включая контрольные линии и цепи управления</t>
  </si>
  <si>
    <t>PC00-20-12-002</t>
  </si>
  <si>
    <t>Индивидуальные и функциональные испытания. Система питания и управления электродвигателем, с частотным преобразователем или устройством плавного пуска, до 1кВ, током свыше 100А, включая контрольные линии и цепи управления</t>
  </si>
  <si>
    <t>PC00-20-12-003</t>
  </si>
  <si>
    <t>Индивидуальные и функциональные испытания. Система питания и управления электродвигателем, с частотным преобразователем или устройством плавного пуска, свыше 1кВ, мощностью до 2 МВт, включая контрольные линии и цепи управления</t>
  </si>
  <si>
    <t>PC00-20-12-004</t>
  </si>
  <si>
    <t>Индивидуальные и функциональные испытания. Электродвигатель до 1 кВ, трёхфазный</t>
  </si>
  <si>
    <t>PC00-20-12-005</t>
  </si>
  <si>
    <t>Индивидуальные и функциональные испытания. Электродвигатель свыше 1кВ</t>
  </si>
  <si>
    <t>PC00-20-12-006</t>
  </si>
  <si>
    <t>Индивидуальные и функциональные испытания. Электропривод ЗРА, включая контрольные линии</t>
  </si>
  <si>
    <t>PC00-20-12-007</t>
  </si>
  <si>
    <t>Индивидуальные и функциональные испытания. Электродвигатель до 1кВ, однофазный</t>
  </si>
  <si>
    <t>PC00-20-12-008</t>
  </si>
  <si>
    <t>Индивидуальные и функциональные испытания. Система питания и управления электродвигателем, с частотным преобразователем или устройством плавного пуска, свыше 1кВ, мощностью свыше 2 МВт, включая контрольные линии и цепи управления</t>
  </si>
  <si>
    <t>PC00-20-13</t>
  </si>
  <si>
    <t>Технологический электронагреватель</t>
  </si>
  <si>
    <t>PC00-20-13-001</t>
  </si>
  <si>
    <t>Индивидуальные и функциональные испытания. Технологический электронагреватель до 1 кВ, трёхфазный, включая контрольные линии</t>
  </si>
  <si>
    <t>PC00-20-13-002</t>
  </si>
  <si>
    <t>Индивидуальные и функциональные испытания. Технологический электронагреватель до 1 кВ, однофазный, включая контрольные линии</t>
  </si>
  <si>
    <t>PC00-20-13-003</t>
  </si>
  <si>
    <t>Индивидуальные и функциональные испытания. Тиристорная панель управления электронагревателем до 1 кВ, включая контрольные линии</t>
  </si>
  <si>
    <t>PC00-20-14</t>
  </si>
  <si>
    <t>Система заземления</t>
  </si>
  <si>
    <t>PC00-20-14-001</t>
  </si>
  <si>
    <t>Индивидуальные и функциональные испытания. Система заземления эстакады</t>
  </si>
  <si>
    <t>PC00-20-14-002</t>
  </si>
  <si>
    <t>Индивидуальные и функциональные испытания. Система заземления опор, мачт, молниеотводов с локальным контуром заземления</t>
  </si>
  <si>
    <t>PC00-20-14-003</t>
  </si>
  <si>
    <t>Индивидуальные и функциональные испытания. Система заземления здания с диагональю контура заземления до 20м</t>
  </si>
  <si>
    <t>PC00-20-14-004</t>
  </si>
  <si>
    <t>Индивидуальные и функциональные испытания. Система заземления здания с диагональю контура заземления до 200м</t>
  </si>
  <si>
    <t>PC00-20-16</t>
  </si>
  <si>
    <t>Дополнительное электрооборудование</t>
  </si>
  <si>
    <t>PC00-20-16-001</t>
  </si>
  <si>
    <t>Индивидуальные и функциональные испытания. Микропроцессорное устройство (защита и/или управление электрооборудованием напряжением до 1 кВ) с кол-ом входных сигналов: до 10</t>
  </si>
  <si>
    <t>PC00-20-16-002</t>
  </si>
  <si>
    <t>Индивидуальные и функциональные испытания. Микропроцессорное устройство (защита и/или управление электрооборудованием напряжением до 1 кВ) с кол-ом входных сигналов: свыше 10</t>
  </si>
  <si>
    <t>PC00-20-16-003</t>
  </si>
  <si>
    <t>Индивидуальные и функциональные испытания. Выключатель до 1 кВ, с номинальным током до 100А</t>
  </si>
  <si>
    <t>PC00-20-16-004</t>
  </si>
  <si>
    <t>Индивидуальные и функциональные испытания. Выключатель до 1 кВ, с номинальным током свыше 100А</t>
  </si>
  <si>
    <t>PC00-20-16-005</t>
  </si>
  <si>
    <t>Индивидуальные и функциональные испытания. Разъединитель (отделитель, короткозамыкатель) напряжением 6-35 кВ</t>
  </si>
  <si>
    <t>PC00-20-16-006</t>
  </si>
  <si>
    <t>Индивидуальные и функциональные испытания. Трансформатор тока до 1 кВ</t>
  </si>
  <si>
    <t>PC00-20-16-007</t>
  </si>
  <si>
    <t>Индивидуальные и функциональные испытания. Трансформатор тока 6-35 кВ</t>
  </si>
  <si>
    <t>PC00-20-16-008</t>
  </si>
  <si>
    <t>Индивидуальные и функциональные испытания. Блок питания с аккумуляторной батареей, мощностью до 5 кВА</t>
  </si>
  <si>
    <t>PC00-20-16-009</t>
  </si>
  <si>
    <t>Индивидуальные и функциональные испытания. Ограничитель перенапряжения 6-35 кВ</t>
  </si>
  <si>
    <t>PC00-20-16-010</t>
  </si>
  <si>
    <t>Индивидуальные и функциональные испытания. Автоматический и/или дифференциальный выключатель, однофазный</t>
  </si>
  <si>
    <t>PC00-20-16-011</t>
  </si>
  <si>
    <t>Индивидуальные и функциональные испытания. Трансформатор сухой однофазный, напряжением до 1 кВ</t>
  </si>
  <si>
    <t>PC00-30</t>
  </si>
  <si>
    <t>РАБОТЫ ПО КОНФИГУРИРОВАНИЮ, НАСТРОЙКЕ И ПРОВЕРКЕ ФУНКЦИОНИРОВАНИЯ ОБОРУДОВАНИЯ АВТОМАТИЗИРОВАННЫХ СИСТЕМ УПРАВЛЕНИЯ И СИГНАЛИЗАЦИИ</t>
  </si>
  <si>
    <t>PC00-30-01</t>
  </si>
  <si>
    <t>Одиночный контур тестирования аналоговый</t>
  </si>
  <si>
    <t>PC00-30-01-001</t>
  </si>
  <si>
    <t>контур</t>
  </si>
  <si>
    <t>PC00-30-01-002</t>
  </si>
  <si>
    <t>Одиночный контур тестирования аналоговый. Полевой уровень</t>
  </si>
  <si>
    <t>PC00-30-01-003</t>
  </si>
  <si>
    <t>Одиночный контур тестирования аналоговый. Средний уровень</t>
  </si>
  <si>
    <t>PC00-30-01-004</t>
  </si>
  <si>
    <t>Одиночный контур тестирования аналоговый. Верхний уровень</t>
  </si>
  <si>
    <t>PC00-30-02</t>
  </si>
  <si>
    <t>Одиночный контур тестирования дискретный</t>
  </si>
  <si>
    <t>PC00-30-02-001</t>
  </si>
  <si>
    <t>PC00-30-02-002</t>
  </si>
  <si>
    <t>Одиночный контур тестирования дискретный. Полевой уровень</t>
  </si>
  <si>
    <t>PC00-30-02-003</t>
  </si>
  <si>
    <t>Одиночный контур тестирования дискретный. Средний уровень</t>
  </si>
  <si>
    <t>PC00-30-02-004</t>
  </si>
  <si>
    <t>Одиночный контур тестирования дискретный. Верхний уровень</t>
  </si>
  <si>
    <t>PC00-30-03</t>
  </si>
  <si>
    <t>Одиночный контур тестирования дискретный (не требующий наладки)</t>
  </si>
  <si>
    <t>PC00-30-03-001</t>
  </si>
  <si>
    <t>PC00-30-03-002</t>
  </si>
  <si>
    <t>Одиночный контур тестирования дискретный (не требующий наладки). Полевой уровень</t>
  </si>
  <si>
    <t>PC00-30-03-003</t>
  </si>
  <si>
    <t>Одиночный контур тестирования дискретный (не требующий наладки). Средний уровень</t>
  </si>
  <si>
    <t>PC00-30-03-004</t>
  </si>
  <si>
    <t>Одиночный контур тестирования дискретный (не требующий наладки). Верхний уровень</t>
  </si>
  <si>
    <t>PC00-30-04</t>
  </si>
  <si>
    <t>Проверка связи с электрическим оборудованием</t>
  </si>
  <si>
    <t>PC00-30-04-001</t>
  </si>
  <si>
    <t>сигнал</t>
  </si>
  <si>
    <t>PC00-30-04-002</t>
  </si>
  <si>
    <t>Проверка связи с электрическим оборудованием. Средний уровень</t>
  </si>
  <si>
    <t>PC00-30-04-003</t>
  </si>
  <si>
    <t>Проверка связи с электрическим оборудованием. Верхний уровень</t>
  </si>
  <si>
    <t>PC00-30-05</t>
  </si>
  <si>
    <t>Одиночный контур прибора с последовательным интерфейсом не адресный</t>
  </si>
  <si>
    <t>PC00-30-05-001</t>
  </si>
  <si>
    <t>PC00-30-05-002</t>
  </si>
  <si>
    <t>Одиночный контур прибора с последовательным интерфейсом не адресный. Полевой уровень</t>
  </si>
  <si>
    <t>PC00-30-05-003</t>
  </si>
  <si>
    <t>Одиночный контур прибора с последовательным интерфейсом не адресный. Средний уровень</t>
  </si>
  <si>
    <t>PC00-30-05-004</t>
  </si>
  <si>
    <t>Одиночный контур прибора с последовательным интерфейсом не адресный. Верхний уровень</t>
  </si>
  <si>
    <t>PC00-30-06</t>
  </si>
  <si>
    <t>Одиночный контур прибора с последовательным интерфейсом адресный</t>
  </si>
  <si>
    <t>PC00-30-06-001</t>
  </si>
  <si>
    <t>PC00-30-06-002</t>
  </si>
  <si>
    <t>Одиночный контур прибора с последовательным интерфейсом адресный. Полевой уровень</t>
  </si>
  <si>
    <t>PC00-30-06-003</t>
  </si>
  <si>
    <t>Одиночный контур прибора с последовательным интерфейсом адресный. Средний уровень</t>
  </si>
  <si>
    <t>PC00-30-06-004</t>
  </si>
  <si>
    <t>Одиночный контур прибора с последовательным интерфейсом адресный. Верхний уровень</t>
  </si>
  <si>
    <t>PC00-30-07</t>
  </si>
  <si>
    <t>Автономная наладка автоматизированной системы диспетчеризации (Верхний уровень)</t>
  </si>
  <si>
    <t>PC00-30-07-001</t>
  </si>
  <si>
    <t>PC00-42</t>
  </si>
  <si>
    <t>РАБОТЫ ПО КОНФИГУРИРОВАНИЮ, НАСТРОЙКЕ И ПРОВЕРКЕ ФУНКЦИОНИРОВАНИЯ ОБОРУДОВАНИЯ СИСТЕМЫ IP-ТЕЛЕФОНИИ</t>
  </si>
  <si>
    <t>PC00-42-01</t>
  </si>
  <si>
    <t>Проверка, настройка и конфигурирование IP АТС</t>
  </si>
  <si>
    <t>PC00-42-01-001</t>
  </si>
  <si>
    <t>PC00-42-02</t>
  </si>
  <si>
    <t>Конфигурация и настройка оконечного оборудования IP-телефонии</t>
  </si>
  <si>
    <t>PC00-42-02-001</t>
  </si>
  <si>
    <t>PC00-44</t>
  </si>
  <si>
    <t>РАБОТЫ ПО КОНФИГУРИРОВАНИЮ, НАСТРОЙКЕ И ПРОВЕРКЕ ФУНКЦИОНИРОВАНИЯ ТЕЛЕКОММУНИКАЦИОННОГО ОБОРУДОВАНИЯ</t>
  </si>
  <si>
    <t>PC00-44-01</t>
  </si>
  <si>
    <t>Конфигурирование и настройка коммуникационного аппарата</t>
  </si>
  <si>
    <t>PC00-44-01-001</t>
  </si>
  <si>
    <t>PC00-45</t>
  </si>
  <si>
    <t>РАБОТЫ ПО КОНФИГУРИРОВАНИЮ, НАСТРОЙКЕ И ПРОВЕРКЕ ФУНКЦИОНИРОВАНИЯ ОБОРУДОВАНИЯ СИСТЕМЫ ВИДЕОНАБЛЮДЕНИЯ</t>
  </si>
  <si>
    <t>PC00-45-01</t>
  </si>
  <si>
    <t>Конфигурирование и настройка IP-камеры видеонаблюдения</t>
  </si>
  <si>
    <t>PC00-45-01-001</t>
  </si>
  <si>
    <t>PC00-45-02</t>
  </si>
  <si>
    <t>Конфигурирование и настройка программного обеспечения на сервере системы видеонаблюдения</t>
  </si>
  <si>
    <t>PC00-45-02-001</t>
  </si>
  <si>
    <t>PC00-45-03</t>
  </si>
  <si>
    <t>Интегрирование IP-камеры видеонаблюдения в программное обеспечение серверов системы видеонаблюдения</t>
  </si>
  <si>
    <t>PC00-45-03-001</t>
  </si>
  <si>
    <t>PC00-45-04</t>
  </si>
  <si>
    <t>Конфигурирование и настройка программного обеспечения на АРМ системы видеонаблюдения</t>
  </si>
  <si>
    <t>PC00-45-04-001</t>
  </si>
  <si>
    <t>PC00-45-05</t>
  </si>
  <si>
    <t>Конфигурирование и настройка программного обеспечения на видеосервере распознавания номеров (автомобильных, железнодорожных) системы видеонаблюдения</t>
  </si>
  <si>
    <t>PC00-45-05-001</t>
  </si>
  <si>
    <t>PC00-45-05-002</t>
  </si>
  <si>
    <t>Конфигурирование и настройка программного обеспечения на видеосервере распознавания номеров (автомобильных, железнодорожных) системы видеонаблюдения. Совмещение функций по распознаванию номеров (автомобильных, железнодорожных) на сервере системы видеонаблюдения</t>
  </si>
  <si>
    <t>PC00-45-06</t>
  </si>
  <si>
    <t>Конфигурирование и настройка программного обеспечения на видеосервере распознавания лиц системы видеонаблюдения</t>
  </si>
  <si>
    <t>PC00-45-06-001</t>
  </si>
  <si>
    <t>PC00-45-06-002</t>
  </si>
  <si>
    <t>Конфигурирование и настройка программного обеспечения на видеосервере распознавания лиц системы видеонаблюдения. Совмещение функций по распознаванию лиц на сервере системы видеонаблюдения</t>
  </si>
  <si>
    <t>PC00-45-07</t>
  </si>
  <si>
    <t>Конфигурирование и настройка программного обеспечения на панели управления камерами видеонаблюдения</t>
  </si>
  <si>
    <t>PC00-45-07-001</t>
  </si>
  <si>
    <t>PC00-46</t>
  </si>
  <si>
    <t>РАБОТЫ ПО КОНФИГУРИРОВАНИЮ, НАСТРОЙКЕ И ПРОВЕРКЕ ФУНКЦИОНИРОВАНИЯ ОБОРУДОВАНИЯ ДГГС/ЛСО</t>
  </si>
  <si>
    <t>PC00-46-01</t>
  </si>
  <si>
    <t>Конфигурирование и настройка головного устройства управления ДГГС/ЛСО</t>
  </si>
  <si>
    <t>PC00-46-01-001</t>
  </si>
  <si>
    <t>PC00-46-02</t>
  </si>
  <si>
    <t>Конфигурирование и настройка оконечного оборудования ДГГС/ЛСО</t>
  </si>
  <si>
    <t>PC00-46-02-001</t>
  </si>
  <si>
    <t>PC00-46-03</t>
  </si>
  <si>
    <t>Проверка и настройка прохождения сигнала по всей цепи "Головное устройство-объект оповещения-оконечные устройства" ДГГС/ЛСО</t>
  </si>
  <si>
    <t>PC00-46-03-001</t>
  </si>
  <si>
    <t>PC00-46-03-002</t>
  </si>
  <si>
    <t>Проверка и настройка прохождения сигнала по всей цепи "Головное устройство-объект оповещения-оконечные устройства" ДГГС/ЛСО. Полевой уровень</t>
  </si>
  <si>
    <t>PC00-46-03-003</t>
  </si>
  <si>
    <t>Проверка и настройка прохождения сигнала по всей цепи "Головное устройство-объект оповещения-оконечные устройства" ДГГС/ЛСО. Верхний уровень</t>
  </si>
  <si>
    <t>PC00-47</t>
  </si>
  <si>
    <t>РАБОТЫ ПО КОНФИГУРИРОВАНИЮ, НАСТРОЙКЕ И ПРОВЕРКЕ ФУНКЦИОНИРОВАНИЯ ОБОРУДОВАНИЯ СЕРВЕРОВ И АРМ-ов СИСТЕМ СВЯЗИ</t>
  </si>
  <si>
    <t>PC00-47-01</t>
  </si>
  <si>
    <t>Конфигурирование и настройка программного обеспечения на сервере системы связи</t>
  </si>
  <si>
    <t>PC00-47-01-001</t>
  </si>
  <si>
    <t>PC00-47-02</t>
  </si>
  <si>
    <t>Конфигурирование и настройка программного обеспечения на АРМ системы связи</t>
  </si>
  <si>
    <t>PC00-47-02-001</t>
  </si>
  <si>
    <t>PC00-50</t>
  </si>
  <si>
    <t>РАБОТЫ ПО КОНФИГУРИРОВАНИЮ, НАСТРОЙКЕ И ПРОВЕРКЕ ФУНКЦИОНИРОВАНИЯ ОБОРУДОВАНИЯ АНАЛИТИЧЕСКИХ СИСТЕМ</t>
  </si>
  <si>
    <t>PC00-50-01</t>
  </si>
  <si>
    <t>Конфигурирование, настройка, проверка. Хроматограф газовый</t>
  </si>
  <si>
    <t>PC00-50-01-001</t>
  </si>
  <si>
    <t>PC00-50-02</t>
  </si>
  <si>
    <t>Конфигурирование, настройка, проверка. Анализатор следов влаги</t>
  </si>
  <si>
    <t>PC00-50-02-001</t>
  </si>
  <si>
    <t>PC00-50-03</t>
  </si>
  <si>
    <t>Конфигурирование, настройка, проверка. Газоанализатор</t>
  </si>
  <si>
    <t>PC00-50-03-001</t>
  </si>
  <si>
    <t>PC00-50-03-002</t>
  </si>
  <si>
    <t>Конфигурирование, настройка, проверка. Газоанализатор многоканальный</t>
  </si>
  <si>
    <t>PC00-50-04</t>
  </si>
  <si>
    <t>Конфигурирование, настройка, проверка. Анализатор жидкости</t>
  </si>
  <si>
    <t>PC00-50-04-001</t>
  </si>
  <si>
    <t>PC00-50-05</t>
  </si>
  <si>
    <t>Конфигурирование, настройка, проверка. Анализатор общего органического углерода/натрия/кремния</t>
  </si>
  <si>
    <t>PC00-50-05-001</t>
  </si>
  <si>
    <t>PC00-50-06</t>
  </si>
  <si>
    <t>Конфигурирование, настройка, проверка. Шкаф/пункт системы пробоподготовки</t>
  </si>
  <si>
    <t>PC00-50-06-001</t>
  </si>
  <si>
    <t>PC00-60</t>
  </si>
  <si>
    <t>ДОПОЛНИТЕЛЬНЫЕ РАБОТЫ ПО КОНФИГУРИРОВАНИЮ, НАСТРОЙКЕ И ПРОВЕРКЕ ФУНКЦИОНИРОВАНИЯ ОБОРУДОВАНИЯ АВТОМАТИЗИРОВАННЫХ СИСТЕМ УПРАВЛЕНИЯ И СИГНАЛИЗАЦИИ, СИСТЕМ СВЯЗИ</t>
  </si>
  <si>
    <t>PC00-60-01</t>
  </si>
  <si>
    <t>Подготовка полевой линии связи одиночного контура аналогового (от датчика аналогового/исполнительного устройства с аналоговым управлением до клемника в шкафу)</t>
  </si>
  <si>
    <t>PC00-60-01-001</t>
  </si>
  <si>
    <t>PC00-60-02</t>
  </si>
  <si>
    <t>Подготовка полевой линии связи одиночного контура дискретного (от датчика дискретного/исполнительного устройства с дискретным управлением до клемника в шкафу)</t>
  </si>
  <si>
    <t>PC00-60-02-001</t>
  </si>
  <si>
    <t>PC00-60-03</t>
  </si>
  <si>
    <t>Подготовка полевой линии связи контура прибора с последовательным интерфейсом не адресным</t>
  </si>
  <si>
    <t>PC00-60-03-001</t>
  </si>
  <si>
    <t>кабель</t>
  </si>
  <si>
    <t>PC00-60-04</t>
  </si>
  <si>
    <t>Подготовка полевой линии связи контура прибора с последовательным интерфейсом адресным</t>
  </si>
  <si>
    <t>PC00-60-04-001</t>
  </si>
  <si>
    <t>PC00-60-05</t>
  </si>
  <si>
    <t>Подготовка полевой линии связи до оконечного устройства системы связи</t>
  </si>
  <si>
    <t>PC00-60-05-001</t>
  </si>
  <si>
    <t>PC00-60-06</t>
  </si>
  <si>
    <t>Проверка оптической линии связи</t>
  </si>
  <si>
    <t>PC00-60-06-001</t>
  </si>
  <si>
    <t>PC00-60-07</t>
  </si>
  <si>
    <t>Проверка полевой интерфейсной линии связи</t>
  </si>
  <si>
    <t>PC00-60-07-001</t>
  </si>
  <si>
    <t>PC00-60-08</t>
  </si>
  <si>
    <t>Конфигурирование и настройка программного обеспечения</t>
  </si>
  <si>
    <t>PC00-60-08-001</t>
  </si>
  <si>
    <t>PC00-60-09</t>
  </si>
  <si>
    <t>Настройка сетевой карты ИБП</t>
  </si>
  <si>
    <t>PC00-60-09-001</t>
  </si>
  <si>
    <t>PC00-60-10</t>
  </si>
  <si>
    <t>Настройка системы мониторинга климата (контроль температуры, влажности, открытия дверей) в Телекоммуникационных шкафах систем связи</t>
  </si>
  <si>
    <t>PC00-60-10-001</t>
  </si>
  <si>
    <t>PC00-60-11</t>
  </si>
  <si>
    <t>Разработка логической взаимосвязи (топологии) на коммуникационном аппарате (Ядро)</t>
  </si>
  <si>
    <t>PC00-60-11-001</t>
  </si>
  <si>
    <t>CM00</t>
  </si>
  <si>
    <t>ПУСКОНАЛАДОЧНЫЕ РАБОТЫ</t>
  </si>
  <si>
    <t>CM00-20</t>
  </si>
  <si>
    <t>ЭЛЕКТРООБОРУДОВАНИЕ ДО 35 КВ</t>
  </si>
  <si>
    <t>CM00-20-01</t>
  </si>
  <si>
    <t>CM00-20-01-001</t>
  </si>
  <si>
    <t>Функциональные испытания под нагрузкой и комплексное опробование. Трансформатор силовой сухой, с номинальным напряжением первичной обмотки 6-35 кВ, с естественным охлаждением</t>
  </si>
  <si>
    <t>CM00-20-01-002</t>
  </si>
  <si>
    <t>Функциональные испытания под нагрузкой и комплексное опробование. Трансформатор силовой сухой, с номинальным напряжением первичной обмотки 6-35 кВ, с принудительным охлаждением</t>
  </si>
  <si>
    <t>CM00-20-01-003</t>
  </si>
  <si>
    <t>Функциональные испытания под нагрузкой и комплексное опробование. Трансформатор силовой масляный, с номинальным напряжением первичной обмотки 6-35 кВ, с естественным охлаждением</t>
  </si>
  <si>
    <t>CM00-20-01-004</t>
  </si>
  <si>
    <t>Функциональные испытания под нагрузкой и комплексное опробование. Трансформатор силовой масляный, с номинальным напряжением первичной обмотки 6-35 кВ, с принудительным охлаждением</t>
  </si>
  <si>
    <t>CM00-20-02</t>
  </si>
  <si>
    <t>CM00-20-02-001</t>
  </si>
  <si>
    <t>Функциональные испытания под нагрузкой и комплексное опробование. Шинопровод 6-35 кВ (трехфазный+N)</t>
  </si>
  <si>
    <t>CM00-20-02-002</t>
  </si>
  <si>
    <t>Функциональные испытания под нагрузкой и комплексное опробование. Шинопровод до 1 кВ (трехфазный+N)</t>
  </si>
  <si>
    <t>CM00-20-04</t>
  </si>
  <si>
    <t>CM00-20-04-001</t>
  </si>
  <si>
    <t>Функциональные испытания и комплексное опробование. Ячейка ввода 6-35 кВ</t>
  </si>
  <si>
    <t>CM00-20-04-002</t>
  </si>
  <si>
    <t>Функциональные испытания и комплексное опробование. Отходящая ячейка 6-35 кВ</t>
  </si>
  <si>
    <t>CM00-20-04-003</t>
  </si>
  <si>
    <t>Функциональные испытания и комплексное опробование. Ячейка ввода до 1 кВ</t>
  </si>
  <si>
    <t>CM00-20-04-004</t>
  </si>
  <si>
    <t>Функциональные испытания и комплексное опробование. Отходящая ячейка до 1 кВ</t>
  </si>
  <si>
    <t>CM00-20-04-005</t>
  </si>
  <si>
    <t>Функциональные испытания и комплексное опробование. Ячейка секционного выключателя с АВР 6-35 кВ</t>
  </si>
  <si>
    <t>CM00-20-04-006</t>
  </si>
  <si>
    <t>Функциональные испытания и комплексное опробование. Ячейка секционного выключателя с АВР до 1 кВ</t>
  </si>
  <si>
    <t>CM00-20-04-007</t>
  </si>
  <si>
    <t>Функциональные испытания и комплексное опробование. Ячейка измерительного трансформатора напряжения 6-35 кВ</t>
  </si>
  <si>
    <t>CM00-20-05</t>
  </si>
  <si>
    <t>CM00-20-05-001</t>
  </si>
  <si>
    <t>Функциональные испытания и комплексное опробование. Система оперативного тока (ИБП): мощностью от 5 до 20 кВА, включая контрольные линии</t>
  </si>
  <si>
    <t>CM00-20-05-002</t>
  </si>
  <si>
    <t>Функциональные испытания и комплексное опробование. Система оперативного тока (ИБП): мощностью от 20 до 50 кВА, включая контрольные линии</t>
  </si>
  <si>
    <t>CM00-20-05-003</t>
  </si>
  <si>
    <t>Функциональные испытания и комплексное опробование. Система оперативного тока (ИБП): мощностью свыше 50 кВА, включая контрольные линии</t>
  </si>
  <si>
    <t>CM00-20-06</t>
  </si>
  <si>
    <t>Дизель-генераторная установка (ДГУ)</t>
  </si>
  <si>
    <t>CM00-20-06-001</t>
  </si>
  <si>
    <t>Функциональные испытания и комплексное опробование. Дизель-генераторная установка (ДГУ), мощностью свыше 50 кВА и до 100 кВА, включая контрольные линии</t>
  </si>
  <si>
    <t>CM00-20-06-002</t>
  </si>
  <si>
    <t>Функциональные испытания и комплексное опробование. Дизель-генераторная установка (ДГУ), мощностью свыше 100 кВА, включая контрольные линии</t>
  </si>
  <si>
    <t>CM00-20-07</t>
  </si>
  <si>
    <t>CM00-20-07-001</t>
  </si>
  <si>
    <t>Функциональные испытания и комплексное опробование. Система аварийной, предупредительной и центральной сигнализации ПС / РУ</t>
  </si>
  <si>
    <t>CM00-20-08</t>
  </si>
  <si>
    <t>CM00-20-08-001</t>
  </si>
  <si>
    <t>Функциональные испытания и комплексное опробование. Система ДГР (дугогасящий реактор) с управлением</t>
  </si>
  <si>
    <t>CM00-20-09</t>
  </si>
  <si>
    <t>Устройство компенсации реактивной мощности (УКРМ) до 35 КВ</t>
  </si>
  <si>
    <t>CM00-20-09-001</t>
  </si>
  <si>
    <t>Функциональные испытания и комплексное опробование. Устройство компенсации реактивной мощности (УКРМ) 6-35 кВ, включая контрольные линии</t>
  </si>
  <si>
    <t>CM00-20-09-002</t>
  </si>
  <si>
    <t>Функциональные испытания и комплексное опробование. Устройство компенсации реактивной мощности (УКРМ) до 1 кВ, включая контрольные линии</t>
  </si>
  <si>
    <t>CM00-20-10</t>
  </si>
  <si>
    <t>Вводно-распределительный/распределительный щит до 1 кВ</t>
  </si>
  <si>
    <t>CM00-20-10-001</t>
  </si>
  <si>
    <t>Функциональные испытания и комплексное опробование. Вводно-распределительный щит с АВР, включая контрольные линии: кол-во АВ до 12</t>
  </si>
  <si>
    <t>CM00-20-10-002</t>
  </si>
  <si>
    <t>Функциональные испытания и комплексное опробование. Вводно-распределительный щит с АВР, включая контрольные линии: кол-во АВ до 24</t>
  </si>
  <si>
    <t>CM00-20-10-003</t>
  </si>
  <si>
    <t>Функциональные испытания и комплексное опробование. Вводно-распределительный щит с АВР, включая контрольные линии: кол-во АВ свыше 24</t>
  </si>
  <si>
    <t>CM00-20-10-004</t>
  </si>
  <si>
    <t>Функциональные испытания и комплексное опробование. Вводно-распределительный щит без АВР, включая контрольные линии: кол-во АВ до 12</t>
  </si>
  <si>
    <t>CM00-20-10-005</t>
  </si>
  <si>
    <t>Функциональные испытания и комплексное опробование. Вводно-распределительный щит без АВР, включая контрольные линии: кол-во АВ до 24</t>
  </si>
  <si>
    <t>CM00-20-10-006</t>
  </si>
  <si>
    <t>Функциональные испытания и комплексное опробование. Вводно-распределительный щит без АВР, включая контрольные линии: кол-во АВ свыше 24</t>
  </si>
  <si>
    <t>CM00-20-10-007</t>
  </si>
  <si>
    <t>Функциональные испытания и комплексное опробование. Распределительный щит (освещения), включая контрольные линии: кол-во АВ до 12</t>
  </si>
  <si>
    <t>CM00-20-10-008</t>
  </si>
  <si>
    <t>Функциональные испытания и комплексное опробование. Распределительный щит (освещения), включая контрольные линии: кол-во АВ свыше 12</t>
  </si>
  <si>
    <t>CM00-20-10-009</t>
  </si>
  <si>
    <t>Функциональные испытания и комплексное опробование. Распределительный щит (потребители малой мощности, номинальный ток вводного автомата до 63А), включая контрольные линии: кол-во АВ до 12</t>
  </si>
  <si>
    <t>CM00-20-10-010</t>
  </si>
  <si>
    <t>Функциональные испытания и комплексное опробование. Распределительный щит (потребители малой мощности, номинальный ток вводного автомата до 63А), включая контрольные линии: кол-во АВ свыше 12</t>
  </si>
  <si>
    <t>CM00-20-10-011</t>
  </si>
  <si>
    <t>Функциональные испытания и комплексное опробование. Вводной-распределительный щит с рубильником и предохранителями</t>
  </si>
  <si>
    <t>CM00-20-11</t>
  </si>
  <si>
    <t>CM00-20-11-001</t>
  </si>
  <si>
    <t>Функциональные испытания и комплексное опробование. Щит питания электрообогрева без АВР, включая контрольные линии и цепи управления: кол-во АВ до 12</t>
  </si>
  <si>
    <t>CM00-20-11-002</t>
  </si>
  <si>
    <t>Функциональные испытания и комплексное опробование. Щит питания электрообогрева без АВР, включая контрольные линии и цепи управления: кол-во АВ до 24</t>
  </si>
  <si>
    <t>CM00-20-11-003</t>
  </si>
  <si>
    <t>Функциональные испытания и комплексное опробование. Щит питания электрообогрева без АВР, включая контрольные линии и цепи управления: кол-во АВ свыше 24</t>
  </si>
  <si>
    <t>CM00-20-11-004</t>
  </si>
  <si>
    <t>Функциональные испытания и комплексное опробование. Щит питания электрообогрева с АВР, включая контрольные линии и цепи управления: кол-во АВ до 12</t>
  </si>
  <si>
    <t>CM00-20-11-005</t>
  </si>
  <si>
    <t>Функциональные испытания и комплексное опробование. Щит питания электрообогрева с АВР, включая контрольные линии и цепи управления: кол-во АВ до 24</t>
  </si>
  <si>
    <t>CM00-20-11-006</t>
  </si>
  <si>
    <t>Функциональные испытания и комплексное опробование. Щит питания электрообогрева с АВР, включая контрольные линии и цепи управления: кол-во АВ свыше 24</t>
  </si>
  <si>
    <t>CM00-20-11-007</t>
  </si>
  <si>
    <t>Функциональные испытания и комплексное опробование. Греющий кабель</t>
  </si>
  <si>
    <t>CM00-20-12</t>
  </si>
  <si>
    <t>CM00-20-12-001</t>
  </si>
  <si>
    <t>Функциональные испытания и комплексное опробование. Система питания и управления электродвигателем, с частотным преобразователем или устройством плавного пуска, до 1кВ, током до 100А, включая контрольные линии и цепи управления</t>
  </si>
  <si>
    <t>CM00-20-12-002</t>
  </si>
  <si>
    <t>Функциональные испытания и комплексное опробование. Система питания и управления электродвигателем, с частотным преобразователем или устройством плавного пуска, до 1кВ, током свыше 100А, включая контрольные линии и цепи управления</t>
  </si>
  <si>
    <t>CM00-20-12-003</t>
  </si>
  <si>
    <t>Функциональные испытания и комплексное опробование. Система питания и управления электродвигателем, с частотным преобразователем или устройством плавного пуска, свыше 1кВ, мощностью до 2 МВт, включая контрольные линии и цепи управления</t>
  </si>
  <si>
    <t>CM00-20-12-004</t>
  </si>
  <si>
    <t>Функциональные испытания и комплексное опробование. Электродвигатель до 1 кВ, трёхфазный</t>
  </si>
  <si>
    <t>CM00-20-12-005</t>
  </si>
  <si>
    <t>Функциональные испытания и комплексное опробование. Электродвигатель свыше 1 кВ</t>
  </si>
  <si>
    <t>CM00-20-12-006</t>
  </si>
  <si>
    <t>Функциональные испытания и комплексное опробование. Электропривод ЗРА, включая контрольные линии</t>
  </si>
  <si>
    <t>CM00-20-12-007</t>
  </si>
  <si>
    <t>Функциональные испытания и комплексное опробование. Электродвигатель до 1 кВ, однофазный</t>
  </si>
  <si>
    <t>CM00-20-12-008</t>
  </si>
  <si>
    <t>Функциональные испытания и комплексное опробование. Система питания и управления электродвигателем, с частотным преобразователем или устройством плавного пуска, свыше 1кВ, мощностью свыше 2 МВт, включая контрольные линии и цепи управления</t>
  </si>
  <si>
    <t>CM00-20-13</t>
  </si>
  <si>
    <t>CM00-20-13-001</t>
  </si>
  <si>
    <t>Функциональные испытания и комплексное опробование. Технологический электронагреватель до 1 кВ, трёхфазный, включая контрольные линии</t>
  </si>
  <si>
    <t>CM00-20-13-002</t>
  </si>
  <si>
    <t>Функциональные испытания и комплексное опробование. Технологический электронагреватель до 1 кВ, однофазный, включая контрольные линии</t>
  </si>
  <si>
    <t>CM00-20-13-003</t>
  </si>
  <si>
    <t>Функциональные испытания и комплексное опробование. Тиристорная панель управления электронагревателем до 1 кВ, включая контрольные линии</t>
  </si>
  <si>
    <t>CM00-30</t>
  </si>
  <si>
    <t>АВТОМАТИЗИРОВАННЫЕ СИСТЕМЫ УПРАВЛЕНИЯ И СИГНАЛИЗАЦИИ</t>
  </si>
  <si>
    <t>CM00-30-01</t>
  </si>
  <si>
    <t>Комплексные испытания автоматизированной системы управления и сигнализации с технологическим оборудованием</t>
  </si>
  <si>
    <t>CM00-30-01-001</t>
  </si>
  <si>
    <t>CM00-30-01-002</t>
  </si>
  <si>
    <t>Комплексные испытания автоматизированной системы управления и сигнализации с технологическим оборудованием. Полевой уровень</t>
  </si>
  <si>
    <t>CM00-30-01-003</t>
  </si>
  <si>
    <t>Комплексные испытания автоматизированной системы управления и сигнализации с технологическим оборудованием. Средний уровень</t>
  </si>
  <si>
    <t>CM00-30-01-004</t>
  </si>
  <si>
    <t>Комплексные испытания автоматизированной системы управления и сигнализации с технологическим оборудованием. Верхний уровень</t>
  </si>
  <si>
    <t>CM00-30-02</t>
  </si>
  <si>
    <t>Комплексные испытания автоматизированной системы сигнализации</t>
  </si>
  <si>
    <t>CM00-30-02-001</t>
  </si>
  <si>
    <t>CM00-30-02-002</t>
  </si>
  <si>
    <t>Комплексные испытания автоматизированной системы сигнализации. Полевой уровень</t>
  </si>
  <si>
    <t>CM00-30-02-003</t>
  </si>
  <si>
    <t>Комплексные испытания автоматизированной системы сигнализации. Средний уровень</t>
  </si>
  <si>
    <t>CM00-30-02-004</t>
  </si>
  <si>
    <t>Комплексные испытания автоматизированной системы сигнализации. Верхний уровень</t>
  </si>
  <si>
    <t>CM00-30-03</t>
  </si>
  <si>
    <t>Комплексные испытания автоматизированной системы диспетчеризации (Верхний уровень)</t>
  </si>
  <si>
    <t>CM00-30-03-001</t>
  </si>
  <si>
    <t>CM00-42</t>
  </si>
  <si>
    <t>ОБОРУДОВАНИЕ СИСТЕМ IP-ТЕЛЕФОНИИ</t>
  </si>
  <si>
    <t>CM00-42-01</t>
  </si>
  <si>
    <t>Комплексная проверка и сдача в эксплуатацию участка системы IP-телефонии</t>
  </si>
  <si>
    <t>CM00-42-01-001</t>
  </si>
  <si>
    <t>участок</t>
  </si>
  <si>
    <t>CM00-42-01-002</t>
  </si>
  <si>
    <t>Комплексная проверка и сдача в эксплуатацию участка системы IP-телефонии (на каждые последующие 10 телефонных номеров свыше 500)</t>
  </si>
  <si>
    <t>CM00-42-02</t>
  </si>
  <si>
    <t>Комплексная отладка интерфейса взаимосвязи между участками системы IP-телефонии</t>
  </si>
  <si>
    <t>CM00-42-02-001</t>
  </si>
  <si>
    <t>Комплексная отладка взаимосвязи между участками системы IP-телефонии</t>
  </si>
  <si>
    <t>CM00-44</t>
  </si>
  <si>
    <t>КОММУНИКАЦИОННОЕ ОБОРУДОВАНИЕ</t>
  </si>
  <si>
    <t>CM00-44-01</t>
  </si>
  <si>
    <t>Комплексная проверка и сдача в эксплуатацию участка коммуникационного оборудования</t>
  </si>
  <si>
    <t>CM00-44-01-001</t>
  </si>
  <si>
    <t>CM00-44-02</t>
  </si>
  <si>
    <t>Комплексная отладка интерфейса взаимосвязи между участками коммуникационного оборудования</t>
  </si>
  <si>
    <t>CM00-44-02-001</t>
  </si>
  <si>
    <t>Комплексная отладка взаимосвязи между участками коммуникационного оборудования</t>
  </si>
  <si>
    <t>CM00-45</t>
  </si>
  <si>
    <t>ОБОРУДОВАНИЕ СИСТЕМ ВИДЕОНАБЛЮДЕНИЯ</t>
  </si>
  <si>
    <t>CM00-45-01</t>
  </si>
  <si>
    <t>Комплексная проверка и сдача в эксплуатацию участка системы видеонаблюдения</t>
  </si>
  <si>
    <t>CM00-45-01-001</t>
  </si>
  <si>
    <t>CM00-45-01-002</t>
  </si>
  <si>
    <t>Комплексная проверка и сдача в эксплуатацию участка системы видеонаблюдения. Полевой уровень</t>
  </si>
  <si>
    <t>CM00-45-01-003</t>
  </si>
  <si>
    <t>Комплексная проверка и сдача в эксплуатацию участка системы видеонаблюдения. Средний уровень</t>
  </si>
  <si>
    <t>CM00-45-01-004</t>
  </si>
  <si>
    <t>Комплексная проверка и сдача в эксплуатацию участка системы видеонаблюдения. Верхний уровень</t>
  </si>
  <si>
    <t>CM00-46</t>
  </si>
  <si>
    <t>ОБОРУДОВАНИЕ СИСТЕМ ДГГС/ЛСО</t>
  </si>
  <si>
    <t>CM00-46-01</t>
  </si>
  <si>
    <t>Комплексная проверка и сдача в эксплуатацию участка ДГГС/ЛСО</t>
  </si>
  <si>
    <t>CM00-46-01-001</t>
  </si>
  <si>
    <t>Комплексная проверка и сдача в эксплуатацию участка системы ДГГС/ЛСО</t>
  </si>
  <si>
    <t>CM00-46-02</t>
  </si>
  <si>
    <t>Комплексная отладка интерфейса взаимосвязи между участками ДГГС/ЛСО</t>
  </si>
  <si>
    <t>CM00-46-02-001</t>
  </si>
  <si>
    <t>Комплексная отладка интерфейса взаимосвязи между участками системы ДГГС/ЛСО</t>
  </si>
  <si>
    <t>CM00-50</t>
  </si>
  <si>
    <t>КОМПЛЕКСНАЯ ПРОВЕРКА И СДАЧА В ЭКСПЛУАТАЦИЮ ОБОРУДОВАНИЯ АНАЛИТИЧЕСКИХ СИСТЕМ</t>
  </si>
  <si>
    <t>CM00-50-01</t>
  </si>
  <si>
    <t>Комплексная проверка и сдача в эксплуатауию. Хроматограф газовый</t>
  </si>
  <si>
    <t>CM00-50-01-001</t>
  </si>
  <si>
    <t>CM00-50-02</t>
  </si>
  <si>
    <t>Комплексная проверка и сдача в эксплуатауию. Анализатор следов влаги</t>
  </si>
  <si>
    <t>CM00-50-02-001</t>
  </si>
  <si>
    <t>CM00-50-03</t>
  </si>
  <si>
    <t>Комплексная проверка и сдача в эксплуатауию. Газоанализатор</t>
  </si>
  <si>
    <t>CM00-50-03-001</t>
  </si>
  <si>
    <t>CM00-50-03-002</t>
  </si>
  <si>
    <t>Комплексная проверка и сдача в эксплуатауию. Газоанализатор многоканальный</t>
  </si>
  <si>
    <t>CM00-50-04</t>
  </si>
  <si>
    <t>Комплексная проверка и сдача в эксплуатауию. Анализатор жидкости</t>
  </si>
  <si>
    <t>CM00-50-04-001</t>
  </si>
  <si>
    <t>CM00-50-05</t>
  </si>
  <si>
    <t>Комплексная проверка и сдача в эксплуатауию. Анализатор общего органического углерода/натрия/кремния</t>
  </si>
  <si>
    <t>CM00-50-05-001</t>
  </si>
  <si>
    <t>CM00-50-06</t>
  </si>
  <si>
    <t>Комплексная проверка и сдача в эксплуатауию. Шкаф/пункт системы пробоподготовки</t>
  </si>
  <si>
    <t>CM00-50-06-001</t>
  </si>
  <si>
    <t>CM00-60</t>
  </si>
  <si>
    <t>ОТЛАДКА СВЯЗИ МЕЖДУ СМЕЖНЫМИ СИСТЕМАМИ</t>
  </si>
  <si>
    <t>CM00-60-01</t>
  </si>
  <si>
    <t>Проверка связи со смежными системами по интерфейсной линии связи</t>
  </si>
  <si>
    <t>CM00-60-01-001</t>
  </si>
  <si>
    <t>CM00-60-02</t>
  </si>
  <si>
    <t>Проверка связи со смежными системами по дискретной линии связи</t>
  </si>
  <si>
    <t>CM00-60-02-001</t>
  </si>
  <si>
    <t>CM00-70</t>
  </si>
  <si>
    <t>ИНЖЕНЕРНОЕ СОПРОВОЖДЕНИЕ АВТОМАТИЗИРОВАННЫХ СИСТЕМ УПРАВЛЕНИЯ И СИГНАЛИЗАЦИИ, СИСТЕМ СВЯЗИ</t>
  </si>
  <si>
    <t>CM00-70-01</t>
  </si>
  <si>
    <t>Инженерное сопровождение автоматизированной системы управления и сигнализации/системы связи, после ввода в эксплуатацию</t>
  </si>
  <si>
    <t>CM00-70-01-001</t>
  </si>
  <si>
    <t>чел.час</t>
  </si>
  <si>
    <t>DW00</t>
  </si>
  <si>
    <t>Демонтажные работы</t>
  </si>
  <si>
    <t>DW00-10</t>
  </si>
  <si>
    <t>Демонтаж элементов электрических сетей</t>
  </si>
  <si>
    <t>DW00-10-01</t>
  </si>
  <si>
    <t>Демонтаж кабеленесущих систем</t>
  </si>
  <si>
    <t>DW00-10-01-01</t>
  </si>
  <si>
    <t>Демонтаж опор электрических сетей</t>
  </si>
  <si>
    <t>DW00-10-01-01-03</t>
  </si>
  <si>
    <t>Демонтаж стальных опор уличного освещения, высотой до 4 м</t>
  </si>
  <si>
    <t>DW00-10-01-01-04</t>
  </si>
  <si>
    <t>Демонтаж стальных опор Освещения/ЛЭП/Связи/Молниезащиты, профилированные/решетчатые, Стоечного типа, высотой от 5 до 12 м, разбором</t>
  </si>
  <si>
    <t>DW00-10-01-01-05</t>
  </si>
  <si>
    <t>Демонтаж стальных опор Освещения/ЛЭП/Связи/Молниезащиты, профилированные/решетчатые, Стоечного типа, высотой от 13 м до 24 м, разбором</t>
  </si>
  <si>
    <t>DW00-10-01-01-06</t>
  </si>
  <si>
    <t>Демонтаж стальных опор Освещения/ЛЭП/Связи/Молниезащиты, профилированные/решетчатые, Стоечного типа, высотой от 25 м до 40 м, разбором</t>
  </si>
  <si>
    <t>DW00-10-01-01-07</t>
  </si>
  <si>
    <t>Демонтаж стальных опор Освещения/ЛЭП/Связи/Молниезащиты, круглые/многогранные, высотой от 5 до 12 м, разбором</t>
  </si>
  <si>
    <t>DW00-10-01-01-08</t>
  </si>
  <si>
    <t>Демонтаж стальных опор Освещения/ЛЭП/Связи/Молниезащиты, круглые/многогранные, высотой от 13 м до 24 м, разбором</t>
  </si>
  <si>
    <t>DW00-10-01-01-09</t>
  </si>
  <si>
    <t>Демонтаж стальных опор Освещения/ЛЭП/Связи/Молниезащиты, круглые/многогранные, высотой от 25 м до 40 м, разбором</t>
  </si>
  <si>
    <t>DW00-10-01-01-10</t>
  </si>
  <si>
    <t>Демонтаж стальных опор Освещения/ЛЭП/Связи/Молниезащиты, круглые/многогранные, высотой от 41 м, разбором</t>
  </si>
  <si>
    <t>DW00-10-01-01-11</t>
  </si>
  <si>
    <t>Демонтаж стальных опор Освещения/ЛЭП/Связи/Молниезащиты, профилированные/решетчатые, Башенного типа, высотой от 13 м до 24 м, разбором</t>
  </si>
  <si>
    <t>DW00-10-01-01-12</t>
  </si>
  <si>
    <t>Демонтаж стальных опор Освещения/ЛЭП/Связи/Молниезащиты, профилированные/решетчатые, Башенного типа, высотой от 25 м до 40 м, разбором</t>
  </si>
  <si>
    <t>DW00-10-01-01-13</t>
  </si>
  <si>
    <t>Демонтаж стальных опор Освещения/ЛЭП/Связи/Молниезащиты, профилированные/решетчатые, Башенного типа, высотой от 41 м, разбором</t>
  </si>
  <si>
    <t>DW00-10-01-01-14</t>
  </si>
  <si>
    <t>Демонтаж железобетонных опор Освещения/ЛЭП/Связи/Молниезащиты, высотой до 12 м, разбором</t>
  </si>
  <si>
    <t>DW00-10-01-01-15</t>
  </si>
  <si>
    <t>Демонтаж железобетонных опор Освещения/ЛЭП/Связи/Молниезащиты, высотой от 13 м до 24 м, разбором</t>
  </si>
  <si>
    <t>DW00-10-01-01-16</t>
  </si>
  <si>
    <t>Демонтаж железобетонных опор Освещения/ЛЭП/Связи/Молниезащиты, высотой от 25 м до 40 м, разбором</t>
  </si>
  <si>
    <t>DW00-10-01-01-17</t>
  </si>
  <si>
    <t>Демонтаж стальных опор Освещения/ЛЭП/Связи/Молниезащиты, обрушением (все типы и размеры)</t>
  </si>
  <si>
    <t>DW00-10-01-01-18</t>
  </si>
  <si>
    <t>Демонтаж ЖБ опор Освещения/ЛЭП/Связи/Молниезащиты, обрушением (все типы и размеры)</t>
  </si>
  <si>
    <t>DW00-10-01-02</t>
  </si>
  <si>
    <t>Демонтаж стальных кабельных лотков</t>
  </si>
  <si>
    <t>DW00-10-01-02-04</t>
  </si>
  <si>
    <t>Демонтаж стального кабельного лотка шириной &lt;=300 мм</t>
  </si>
  <si>
    <t>100 м</t>
  </si>
  <si>
    <t>DW00-10-01-02-05</t>
  </si>
  <si>
    <t>Демонтаж стального кабельного лотка шириной &gt;300 - 700 мм</t>
  </si>
  <si>
    <t>DW00-10-01-02-06</t>
  </si>
  <si>
    <t>Демонтаж стального кабельного лотка шириной &gt;700 - 1000 мм</t>
  </si>
  <si>
    <t>DW00-10-01-03</t>
  </si>
  <si>
    <t>Демонтаж стальных кабелепроводов</t>
  </si>
  <si>
    <t>DW00-10-01-03-05</t>
  </si>
  <si>
    <t>Демонтаж стальных кабелепроводов &lt;=25 мм</t>
  </si>
  <si>
    <t>DW00-10-01-03-06</t>
  </si>
  <si>
    <t>Демонтаж стальных кабелепроводов &gt;25 - 63 мм</t>
  </si>
  <si>
    <t>DW00-10-01-03-07</t>
  </si>
  <si>
    <t>Демонтаж стальных кабелепроводов &gt; 63 мм</t>
  </si>
  <si>
    <t>DW00-10-01-04</t>
  </si>
  <si>
    <t>Демонтаж пластиковых коробов или кабелепроводов</t>
  </si>
  <si>
    <t>DW00-10-01-04-01</t>
  </si>
  <si>
    <t>Демонтаж пластиковых кабельных каналов и коробов шириной от 31мм до 60 мм включительно</t>
  </si>
  <si>
    <t>DW00-10-01-04-02</t>
  </si>
  <si>
    <t>Демонтаж пластиковых кабельных каналов и коробов шириной 61 мм и более</t>
  </si>
  <si>
    <t>DW00-10-01-05</t>
  </si>
  <si>
    <t>Демонтаж малогабаритных металлоконструкций</t>
  </si>
  <si>
    <t>DW00-10-01-05-02</t>
  </si>
  <si>
    <t>Демонтаж малогабаритных металлоконструкций массой &lt;=5 кг</t>
  </si>
  <si>
    <t>DW00-10-01-05-03</t>
  </si>
  <si>
    <t>Демонтаж малогабаритных металлоконструкций массой &gt;5 - 10 кг</t>
  </si>
  <si>
    <t>DW00-10-01-05-04</t>
  </si>
  <si>
    <t>Демонтаж малогабаритных металлоконструкций массой &gt;10 - 30 кг</t>
  </si>
  <si>
    <t>DW00-10-02</t>
  </si>
  <si>
    <t>Демонтаж кабельно-проводниковой продукции внутриплощадочных сетей</t>
  </si>
  <si>
    <t>DW00-10-02-01</t>
  </si>
  <si>
    <t>Демонтаж кабелей и проводов, проложенных по лоткам и строительным конструкциям</t>
  </si>
  <si>
    <t>DW00-10-02-01-07</t>
  </si>
  <si>
    <t>Демонтаж кабелей и проводов удельной массой метра &lt;=0,1 кг/м</t>
  </si>
  <si>
    <t>DW00-10-02-01-08</t>
  </si>
  <si>
    <t>Демонтаж кабелей и проводов удельной массой метра &gt;0,1 - 0,5 кг/м</t>
  </si>
  <si>
    <t>DW00-10-02-01-09</t>
  </si>
  <si>
    <t>Демонтаж кабелей и проводов удельной массой метра &gt;0,5 - 1,0 кг/м</t>
  </si>
  <si>
    <t>DW00-10-02-01-10</t>
  </si>
  <si>
    <t>Демонтаж кабелей и проводов удельной массой метра &gt;1,0 - 3,0 кг/м</t>
  </si>
  <si>
    <t>DW00-10-02-01-11</t>
  </si>
  <si>
    <t>Демонтаж кабелей и проводов удельной массой метра &gt;3,0 - 9,0 кг/м</t>
  </si>
  <si>
    <t>DW00-10-02-01-12</t>
  </si>
  <si>
    <t>Демонтаж кабелей и проводов удельной массой метра &gt;9,0 кг/м</t>
  </si>
  <si>
    <t>DW00-10-02-03</t>
  </si>
  <si>
    <t>Демонтаж полосы заземления</t>
  </si>
  <si>
    <t>DW00-10-02-03-02</t>
  </si>
  <si>
    <t>DW00-10-02-04</t>
  </si>
  <si>
    <t>Демонтаж кабелей и проводов, подвесных</t>
  </si>
  <si>
    <t>DW00-10-02-04-07</t>
  </si>
  <si>
    <t>Демонтаж кабелей и проводов, подвесных, удельной массой метра &lt;=1,0 кг/м</t>
  </si>
  <si>
    <t>DW00-10-02-04-08</t>
  </si>
  <si>
    <t>Демонтаж кабелей и проводов, подвесных, удельной массой метра &gt;1,0 - 3,0 кг/м</t>
  </si>
  <si>
    <t>DW00-10-02-04-09</t>
  </si>
  <si>
    <t>Демонтаж кабелей и проводов, подвесных, удельной массой метра &gt;3,0 - 9,0 кг/м</t>
  </si>
  <si>
    <t>DW00-10-02-04-10</t>
  </si>
  <si>
    <t>Демонтаж кабелей и проводов, подвесных, удельной массой метра &gt;9,0 - 15,0 кг/м</t>
  </si>
  <si>
    <t>DW00-10-03</t>
  </si>
  <si>
    <t>Демонтаж щитового оборудования, приборов и электроустановочных изделий</t>
  </si>
  <si>
    <t>DW00-10-03-01</t>
  </si>
  <si>
    <t>Демонтаж щитового оборудования</t>
  </si>
  <si>
    <t>DW00-10-03-01-01</t>
  </si>
  <si>
    <t>Демонтаж щитового оборудования массой &lt;=50 кг</t>
  </si>
  <si>
    <t>DW00-10-03-01-02</t>
  </si>
  <si>
    <t>Демонтаж щитового оборудования массой &gt;50 - 100 кг</t>
  </si>
  <si>
    <t>DW00-10-03-01-03</t>
  </si>
  <si>
    <t>Демонтаж щитового оборудования массой &gt;100 кг</t>
  </si>
  <si>
    <t>DW00-10-03-02</t>
  </si>
  <si>
    <t>Демонтаж электроустановочных изделий и компонентов КИПиА и слаботочных систем</t>
  </si>
  <si>
    <t>DW00-10-03-02-01</t>
  </si>
  <si>
    <t>Демонтаж электроустановочных изделий и компонентов КИПиА и слаботочных систем общепромышленного исполнения, устанавливаемых на высоте &lt;=2 м</t>
  </si>
  <si>
    <t>DW00-10-03-02-02</t>
  </si>
  <si>
    <t>Демонтаж электроустановочных изделий и компонентов КИПиА и слаботочных систем взрывозащищенного исполнения, устанавливаемых на высоте &lt;=2 м</t>
  </si>
  <si>
    <t>DW00-10-03-02-03</t>
  </si>
  <si>
    <t>Демонтаж электроустановочных изделий и компонентов КИПиА и слаботочных систем общепромышленного исполнения, устанавливаемых на высоте &gt;2 - 6 м</t>
  </si>
  <si>
    <t>DW00-10-03-02-04</t>
  </si>
  <si>
    <t>Демонтаж электроустановочных изделий и компонентов КИПиА и слаботочных систем взрывозащищенного исполнения, устанавливаемых на высоте &gt;2 - 6 м</t>
  </si>
  <si>
    <t>DW00-10-03-02-05</t>
  </si>
  <si>
    <t>Демонтаж электроустановочных изделий и компонентов КИПиА и слаботочных систем общепромышленного исполнения, устанавливаемых на высоте &gt;6 - 12 м</t>
  </si>
  <si>
    <t>DW00-10-03-02-06</t>
  </si>
  <si>
    <t>Демонтаж электроустановочных изделий и компонентов КИПиА и слаботочных систем взрывозащищенного исполнения, устанавливаемых на высоте &gt;6 - 12 м</t>
  </si>
  <si>
    <t>DW00-10-03-02-07</t>
  </si>
  <si>
    <t>Демонтаж электроустановочных изделий и компонентов КИПиА и слаботочных систем общепромышленного исполнения, устанавливаемых на высоте &gt;12 м</t>
  </si>
  <si>
    <t>DW00-10-03-02-08</t>
  </si>
  <si>
    <t>Демонтаж электроустановочных изделий и компонентов КИПиА и слаботочных систем взрывозащищенного исполнения, устанавливаемых на высоте &gt;12 м</t>
  </si>
  <si>
    <t>DW00-14</t>
  </si>
  <si>
    <t>Утилизация отходов</t>
  </si>
  <si>
    <t>DW00-14-01</t>
  </si>
  <si>
    <t>Транспортировка на полигон или площадку складирования</t>
  </si>
  <si>
    <t>DW00-14-01-01</t>
  </si>
  <si>
    <t>DW00-14-01-01-03</t>
  </si>
  <si>
    <t>Транспортировка на полигон или площадку складирования строительного боя и мусора</t>
  </si>
  <si>
    <t>т*км</t>
  </si>
  <si>
    <t>ЕР учтенные в ДС</t>
  </si>
  <si>
    <t>CS00-06-01-5</t>
  </si>
  <si>
    <t>Изготовление/сборка и монтаж малогабаритной металлоконструкции, до 5 кг, из горячеоцинкованной стали</t>
  </si>
  <si>
    <t>К_действ.</t>
  </si>
  <si>
    <t>НКНХ.9366-1-1</t>
  </si>
  <si>
    <t>CS00-02-01-4</t>
  </si>
  <si>
    <t>Монтаж лестничного лотка ширина от 300 мм до 400 мм, с установкой опор</t>
  </si>
  <si>
    <t>CS00-02-01-3</t>
  </si>
  <si>
    <t>Монтаж лестничного лотка ширина от 200 мм до 300 мм, с установкой опор</t>
  </si>
  <si>
    <t>CP00</t>
  </si>
  <si>
    <t>CP00-10-02-02</t>
  </si>
  <si>
    <t>Полный комплекс АКЗ металлоконструкций, включая подготовку поверхности до Sa2,5 и нанесение системы АКЗ, состоящей из грунтовочного и финишного покрытий</t>
  </si>
  <si>
    <t>DW00-03-01-01-02</t>
  </si>
  <si>
    <t>Демонтаж элементов второстепенных металлоконструкций</t>
  </si>
  <si>
    <t>PN00</t>
  </si>
  <si>
    <t>PN00-04-01-1</t>
  </si>
  <si>
    <t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до Ду 50 мм</t>
  </si>
  <si>
    <t>НКНХ.9366-3</t>
  </si>
  <si>
    <t>FW00-16-01-23</t>
  </si>
  <si>
    <t>Алмазное бурение железобетонных перекрытий диаметром до 100 мм</t>
  </si>
  <si>
    <t>НКНХ.9366-5</t>
  </si>
  <si>
    <t>II00-05-07-23</t>
  </si>
  <si>
    <t>Ручной переключатель, кнопочный пост, локальная станция управления уличного или взрывозащищенного исполнения</t>
  </si>
  <si>
    <t>НКНХ.9366-8</t>
  </si>
  <si>
    <t>II00-03-01-100</t>
  </si>
  <si>
    <t>Надземная прокладка контрольного кабеля, общее количество жил 1-4, сечением жилы до 1 мм2</t>
  </si>
  <si>
    <t>II00-03-01-112</t>
  </si>
  <si>
    <t>Надземная прокладка контрольного кабеля, общее количество жил 25-28, сечением жилы до 1 мм2</t>
  </si>
  <si>
    <t>II00-03-01-118</t>
  </si>
  <si>
    <t>Надземная прокладка контрольного кабеля, общее количество жил 37-40, сечением жилы до 1 мм2</t>
  </si>
  <si>
    <t>II00-03-01-101</t>
  </si>
  <si>
    <t>Надземная прокладка контрольного кабеля, общее количество жил 1-4, сечением жилы от 1 мм2 до 2,5 мм2</t>
  </si>
  <si>
    <t>II00-03-01-102</t>
  </si>
  <si>
    <t>Надземная прокладка контрольного кабеля, общее количество жил 5-8, сечением жилы до 1 мм2</t>
  </si>
  <si>
    <t>II00-03-01-106</t>
  </si>
  <si>
    <t>Надземная прокладка контрольного кабеля, общее количество жил 13-16, сечением жилы до 1 мм2</t>
  </si>
  <si>
    <t>II00-03-01-103</t>
  </si>
  <si>
    <t>Надземная прокладка контрольного кабеля, общее количество жил 5-8, сечением жилы от 1 мм2 до 2,5 мм2</t>
  </si>
  <si>
    <t>EL00-01-01-7</t>
  </si>
  <si>
    <t>Монтаж провода заземления, сечением до 16 мм2</t>
  </si>
  <si>
    <t>II00-05-07-25</t>
  </si>
  <si>
    <t>Монтаж взрывозащищенной коробки КИПиА</t>
  </si>
  <si>
    <t>CS00-02-02-19</t>
  </si>
  <si>
    <t>Монтаж перфорированного/неперфорированного кабельного лотка ширина до 100 мм, включая установку опор ( без установки крышек, фитингов)</t>
  </si>
  <si>
    <t>CS00-02-02-20</t>
  </si>
  <si>
    <t>Монтаж перфорированного/неперфорированного кабельного лотка ширина от 101 до 300 мм, включая установку опор ( без установки крышек, фитингов)</t>
  </si>
  <si>
    <t>CS00-02-04-5</t>
  </si>
  <si>
    <t>Монтаж фитингов перфорированного/неперфорированного лотка (углы, ответвители, повороты, тройники, переходы, пластины и т.д.) шириной до 100 мм</t>
  </si>
  <si>
    <t>CS00-02-04-6</t>
  </si>
  <si>
    <t>Монтаж фитингов перфорированного/неперфорированного лотка (углы, ответвители, повороты, тройники, переходы, пластины и т.д.) шириной от 101 мм до 300 мм</t>
  </si>
  <si>
    <t>II00-04-01-40</t>
  </si>
  <si>
    <t>Расключение контрольного кабеля, общее количество жил 1-4, сечением жилы от 1 мм2 до 2,5 мм2, небронированный</t>
  </si>
  <si>
    <t>II00-04-01-42</t>
  </si>
  <si>
    <t>Расключение контрольного кабеля, общее количество жил 5-8, сечением жилы от 1 мм2 до 2,5 мм2, небронированный</t>
  </si>
  <si>
    <t>II00-04-01-57</t>
  </si>
  <si>
    <t>Расключение контрольного кабеля, общее количество жил 37-40, сечением жилы до 1 мм2, небронированный</t>
  </si>
  <si>
    <t>II00-04-01-39</t>
  </si>
  <si>
    <t>Расключение контрольного кабеля, общее количество жил 1-4, сечением жилы до 1 мм2, небронированный</t>
  </si>
  <si>
    <t>II00-04-01-51</t>
  </si>
  <si>
    <t>Расключение контрольного кабеля, общее количество жил 25-28, сечением жилы до 1 мм2, небронированный</t>
  </si>
  <si>
    <t>II00-04-01-45</t>
  </si>
  <si>
    <t>Расключение контрольного кабеля, общее количество жил 13-16, сечением жилы до 1 мм2, небронированный</t>
  </si>
  <si>
    <t>II00-04-01-41</t>
  </si>
  <si>
    <t>Расключение контрольного кабеля, общее количество жил 5-8, сечением жилы до 1 мм2, небронированный</t>
  </si>
  <si>
    <t>EL00-01-02-9</t>
  </si>
  <si>
    <t>Оконцевание и присоединение провода заземления, сечением до 16 мм2</t>
  </si>
  <si>
    <t>CS00-03-01-12</t>
  </si>
  <si>
    <t>Монтаж крышки кабельного лотка ширина от 101 мм до 300 мм</t>
  </si>
  <si>
    <t>CS00-03-01-16</t>
  </si>
  <si>
    <t xml:space="preserve">Монтаж крышки фитингов кабельного лотка ширина от 101 мм до 300 мм </t>
  </si>
  <si>
    <t>CS00-02-04-1</t>
  </si>
  <si>
    <t>Монтаж фитингов лестничного лотка (углы, ответвители, повороты, тройники, переходы, пластины и т.д.) шириной до 100 мм</t>
  </si>
  <si>
    <t>CS00-03-01-15</t>
  </si>
  <si>
    <t xml:space="preserve">Монтаж крышки фитингов кабельного лотка ширина до 100 мм </t>
  </si>
  <si>
    <t>CS00-03-01-11</t>
  </si>
  <si>
    <t>CS00-01-01-15</t>
  </si>
  <si>
    <t>Монтаж лестничного лотка ширина от 301 мм до 600 мм, без установки опор, крышек, фитингов</t>
  </si>
  <si>
    <t>DW00-14-01-01-02</t>
  </si>
  <si>
    <t>Транспортировка на полигон или площадку складирования металлолома</t>
  </si>
  <si>
    <t>EL00-08-02-64</t>
  </si>
  <si>
    <t>Монтаж кабеля НИЗКОГО напряжения, надземная прокладка, 3-5 жильный, сечением до 6 мм2</t>
  </si>
  <si>
    <t>EL00-09-02-67</t>
  </si>
  <si>
    <t>Устройство концевой кабельной муфты/заделки/оконцевание жил кабеля/подключение кабеля НИЗКОГО напряжения до 1 кВ, 3-5 жильный, сечением до 6 мм2</t>
  </si>
  <si>
    <t>EL00-04-03-18</t>
  </si>
  <si>
    <t>Установка стойки КИП</t>
  </si>
  <si>
    <t>PC00-21-14-004</t>
  </si>
  <si>
    <t>Индивидуальные и функциональные испытания. Шкаф устройств передачи аварийных сигналов и команд</t>
  </si>
  <si>
    <t>CM00-21-14-004</t>
  </si>
  <si>
    <t>Комплексное опробование рабочим напряжением и током. Шкаф устройств передачи аварийных сигналов и команд</t>
  </si>
  <si>
    <t>EL00-01-01-8</t>
  </si>
  <si>
    <t>Монтаж провода заземления, сечением от 25 мм2 до 70 мм2</t>
  </si>
  <si>
    <t>EL00-01-02-10</t>
  </si>
  <si>
    <t>Оконцевание и присоединение провода заземления, сечением от 25 мм2 до 70 мм2</t>
  </si>
  <si>
    <t>PI00</t>
  </si>
  <si>
    <t>PI00-06-02-13</t>
  </si>
  <si>
    <t>Встроенные элементы трубопроводов DN &lt;=50 мм / &lt;=2 дюйм</t>
  </si>
  <si>
    <t>НКНХ.9366-12</t>
  </si>
  <si>
    <t>II00-03-01-104</t>
  </si>
  <si>
    <t>Надземная прокладка контрольного кабеля, общее количество жил 9-12, сечением жилы до 1 мм2</t>
  </si>
  <si>
    <t>II00-04-01-43</t>
  </si>
  <si>
    <t>Расключение контрольного кабеля, общее количество жил 9-12, сечением жилы до 1 мм2, небронированный</t>
  </si>
  <si>
    <t>EL00-08-02-60</t>
  </si>
  <si>
    <t>Монтаж кабеля НИЗКОГО напряжения, надземная прокладка, 1-жильный, сечением до 16 мм2</t>
  </si>
  <si>
    <t>EL00-09-02-63</t>
  </si>
  <si>
    <t>Устройство концевой кабельной муфты/заделки/оконцевание жил кабеля/подключение кабеля НИЗКОГО напряжения до 1 кВ, 1-жильный, сечением до 16 мм2</t>
  </si>
  <si>
    <t>PF00</t>
  </si>
  <si>
    <t>PF00-02-07-3</t>
  </si>
  <si>
    <t>Огнезащитные маты прошивные (например, Fyrewrap или аналоги) непосредственно на конструкции/элементы  - толщина {&lt;= 50 мм}</t>
  </si>
  <si>
    <t>CS00-06-01-6</t>
  </si>
  <si>
    <t>Изготовление/сборка и монтаж малогабаритной металлоконструкции, от 5 кг до 10 кг, из горячеоцинкованной стали</t>
  </si>
  <si>
    <t>EL00-08-02-74</t>
  </si>
  <si>
    <t>Монтаж кабеля НИЗКОГО напряжения, надземная прокладка, 5 жильный, сечением от 25 мм2 до 70 мм2</t>
  </si>
  <si>
    <t>НКНХ.9366-8-1.1</t>
  </si>
  <si>
    <t>EL00-09-02-77</t>
  </si>
  <si>
    <t>Устройство концевой кабельной муфты/заделки/оконцевание жил кабеля/подключение кабеля НИЗКОГО напряжения до 1 кВ, 5 жильный, сечением от 25 мм2 до 70 мм2</t>
  </si>
  <si>
    <t>CS00-02-02-21</t>
  </si>
  <si>
    <t>Монтаж перфорированного/неперфорированного кабельного лотка ширина от 301 до 600 мм, включая установку опор ( без установки крышек, фитингов)</t>
  </si>
  <si>
    <t>CS00-03-01-13</t>
  </si>
  <si>
    <t>Монтаж крышки кабельного лотка ширина от 301 мм до 600 мм</t>
  </si>
  <si>
    <t>CS00-02-04-7</t>
  </si>
  <si>
    <t>Монтаж фитингов перфорированного/неперфорированного лотка (углы, ответвители, повороты, тройники, переходы, пластины и т.д.) шириной от 301 мм до 600 мм</t>
  </si>
  <si>
    <t>CS00-03-01-17</t>
  </si>
  <si>
    <t xml:space="preserve">Монтаж крышки фитингов кабельного лотка ширина от 301 мм до 600 мм </t>
  </si>
  <si>
    <t>CS00-02-03-6</t>
  </si>
  <si>
    <t>PE00</t>
  </si>
  <si>
    <t>PE00-15-01-1</t>
  </si>
  <si>
    <t>Модуль пожаротушения (модули порошкового, газопорошкового, газового, аэрозольного пожаротушения)</t>
  </si>
  <si>
    <t>НКНХ.9366-8-1.2</t>
  </si>
  <si>
    <t>PE00-15-01-6</t>
  </si>
  <si>
    <t>Дренчерный ороситель, спринклерный ороситель, насадок</t>
  </si>
  <si>
    <t>PE00-15-01-5</t>
  </si>
  <si>
    <t>Узлы управления, блоки клапанов, клапаны водосигнальные, клапана воздушные</t>
  </si>
  <si>
    <t>PN00-03-10-1</t>
  </si>
  <si>
    <t>Монтаж внутреннего трубопровода пожаротушения спринклерных и дренчерных систем, от Ду 15 до Ду 80</t>
  </si>
  <si>
    <t>CS00-02-05-1</t>
  </si>
  <si>
    <t>Установка опорных металлоконструкций кабеленесущих трасс заводской готовности из горячеоцинкованной стали</t>
  </si>
  <si>
    <t>HU00-01-08-7</t>
  </si>
  <si>
    <t>Устройство переходов подземных методом горизонтального прокола с устройством полиэтиленового футляра Ду от 100 мм до 200 мм</t>
  </si>
  <si>
    <t>CS00-01-02-21</t>
  </si>
  <si>
    <t>Монтаж перфорированного/неперфорированного кабельного лотка ширина до 100 мм, без установки опор, крышек, фитингов</t>
  </si>
  <si>
    <t>DW00-01-03-01-04</t>
  </si>
  <si>
    <t>Демонтаж покрытий дорог, площадок и тротуаров из асфальта и асфальтобетона</t>
  </si>
  <si>
    <t>CW00-01-01-6</t>
  </si>
  <si>
    <t>Разработка грунта механизированным способом под траншеи (для прокладки труб, кабелей, нестандартных фундаментов, под тротуары), под проектную высотную отметку с перемещением грунта до 50 м </t>
  </si>
  <si>
    <t>CW00-01-02-9</t>
  </si>
  <si>
    <t>Обратная засыпка местным грунтом с уплотнением (пазух фундаментов, дренажных емкостей и т.д..)</t>
  </si>
  <si>
    <t>CW00-01-05-27</t>
  </si>
  <si>
    <t>Устройство подстилающего слоя из щебня по методу заклинки с уплотнением</t>
  </si>
  <si>
    <t>CW00-04-04-10</t>
  </si>
  <si>
    <t>Устройство верхнего слоя из асфальтовых или асфальтобетонных смесей, тип смеси принять по проекту</t>
  </si>
  <si>
    <t>CS00-02-02-3</t>
  </si>
  <si>
    <t>Монтаж кабельного лотка, от 200 мм до 300 мм, перфорированный, с установкой опор</t>
  </si>
  <si>
    <t>НКНХ.9366-13</t>
  </si>
  <si>
    <t>CS00-02-02-2</t>
  </si>
  <si>
    <t>Монтаж кабельного лотка, от 100 мм до 200 мм, перфорированный, с установкой опор</t>
  </si>
  <si>
    <t>CS00-02-02-1</t>
  </si>
  <si>
    <t>Монтаж кабельного лотка, до 100 мм, перфорированный, с установкой опор</t>
  </si>
  <si>
    <t>II00-03-03-39</t>
  </si>
  <si>
    <t>Надземная прокладка кабеля, Группа (Б)/(Б+ОЭ)/(ОЭ+ИЭ)/(Б+ОЭ+ИЭ), общее количество жил 5-8, сечением жилы от 1мм2 до 2,5 мм2, огнестойкий</t>
  </si>
  <si>
    <t>НКНХ.9366-14</t>
  </si>
  <si>
    <t>II00-03-03-37</t>
  </si>
  <si>
    <t>Надземная прокладка кабеля, Группа (Б)/(Б+ОЭ)/(ОЭ+ИЭ)/(Б+ОЭ+ИЭ), общее количество жил 1-4, сечением жилы от 1мм2 до 2,5 мм2, огнестойкий</t>
  </si>
  <si>
    <t>II00-03-03-36</t>
  </si>
  <si>
    <t>Надземная прокладка кабеля, Группа (Б)/(Б+ОЭ)/(ОЭ+ИЭ)/(Б+ОЭ+ИЭ), общее количество жил 1-4, сечением жилы до 1 мм2, огнестойкий</t>
  </si>
  <si>
    <t>II00-03-03-42</t>
  </si>
  <si>
    <t>Надземная прокладка кабеля, Группа (Б)/(Б+ОЭ)/(ОЭ+ИЭ)/(Б+ОЭ+ИЭ), общее количество жил 13-16, сечением жилы до 1 мм2, огнестойкий</t>
  </si>
  <si>
    <t>Дополнительные ЕР</t>
  </si>
  <si>
    <t>К_ДЕЙСТВ</t>
  </si>
  <si>
    <t>Новые ЕР</t>
  </si>
  <si>
    <t>(пусто)</t>
  </si>
  <si>
    <t>Общий итог</t>
  </si>
  <si>
    <t>Уровень 1</t>
  </si>
  <si>
    <t>Уровень 2</t>
  </si>
  <si>
    <t>Уровень 3</t>
  </si>
  <si>
    <t>CS00_Кабеленесущие конструкции</t>
  </si>
  <si>
    <t>CS00-01_Кабеленесущие конструкции БЕЗ опорных конструкций</t>
  </si>
  <si>
    <t>Уровень 4</t>
  </si>
  <si>
    <t>CS00-01-02_Неперфорированный/ перфорированный мет.лоток, без установки опор</t>
  </si>
  <si>
    <t>CS00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</si>
</sst>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_-;\-* #,##0.0000_-;_-* &quot;-&quot;??_-;_-@_-"/>
    <numFmt numFmtId="165" formatCode="_-* #,##0.00\ _₽_-;\-* #,##0.00\ _₽_-;_-* &quot;-&quot;??\ _₽_-;_-@_-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color theme="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8"/>
      <name val="Arial"/>
      <family val="2"/>
    </font>
    <font>
      <sz val="10"/>
      <color rgb="FFFF000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</font>
    <font>
      <sz val="8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8C9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DAFB7"/>
        <bgColor rgb="FF000000"/>
      </patternFill>
    </fill>
    <fill>
      <patternFill patternType="solid">
        <fgColor rgb="FF85F2F7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DAFB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9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 tint="0.3999755851924192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  <xf numFmtId="0" fontId="4" fillId="0" borderId="0"/>
    <xf numFmtId="0" fontId="6" fillId="0" borderId="0"/>
    <xf numFmtId="0" fontId="1" fillId="0" borderId="0"/>
    <xf numFmtId="43" fontId="4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</cellStyleXfs>
  <cellXfs count="74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164" fontId="3" fillId="3" borderId="1" xfId="3" applyNumberFormat="1" applyFont="1" applyFill="1" applyBorder="1" applyAlignment="1">
      <alignment horizontal="center" vertical="center" wrapText="1"/>
    </xf>
    <xf numFmtId="43" fontId="3" fillId="3" borderId="1" xfId="3" applyFont="1" applyFill="1" applyBorder="1" applyAlignment="1">
      <alignment horizontal="center" vertical="center" wrapText="1"/>
    </xf>
    <xf numFmtId="0" fontId="2" fillId="4" borderId="1" xfId="4" applyFont="1" applyFill="1" applyBorder="1" applyAlignment="1">
      <alignment horizontal="center" vertical="center"/>
    </xf>
    <xf numFmtId="0" fontId="5" fillId="4" borderId="1" xfId="4" applyFont="1" applyFill="1" applyBorder="1" applyAlignment="1">
      <alignment horizontal="center" vertical="center"/>
    </xf>
    <xf numFmtId="0" fontId="5" fillId="4" borderId="1" xfId="4" applyFont="1" applyFill="1" applyBorder="1" applyAlignment="1">
      <alignment horizontal="left" vertical="center"/>
    </xf>
    <xf numFmtId="9" fontId="5" fillId="4" borderId="1" xfId="1" applyFont="1" applyFill="1" applyBorder="1" applyAlignment="1">
      <alignment horizontal="center" vertical="center"/>
    </xf>
    <xf numFmtId="0" fontId="5" fillId="5" borderId="1" xfId="4" applyFont="1" applyFill="1" applyBorder="1" applyAlignment="1">
      <alignment horizontal="center" vertical="center"/>
    </xf>
    <xf numFmtId="0" fontId="5" fillId="5" borderId="1" xfId="4" applyFont="1" applyFill="1" applyBorder="1" applyAlignment="1">
      <alignment horizontal="left" vertical="center"/>
    </xf>
    <xf numFmtId="9" fontId="5" fillId="5" borderId="1" xfId="1" applyFont="1" applyFill="1" applyBorder="1" applyAlignment="1">
      <alignment horizontal="center" vertical="center"/>
    </xf>
    <xf numFmtId="0" fontId="2" fillId="6" borderId="1" xfId="4" applyFont="1" applyFill="1" applyBorder="1" applyAlignment="1">
      <alignment horizontal="center" vertical="center"/>
    </xf>
    <xf numFmtId="0" fontId="5" fillId="6" borderId="1" xfId="4" applyFont="1" applyFill="1" applyBorder="1" applyAlignment="1">
      <alignment horizontal="center" vertical="center"/>
    </xf>
    <xf numFmtId="0" fontId="5" fillId="7" borderId="1" xfId="4" applyFont="1" applyFill="1" applyBorder="1" applyAlignment="1">
      <alignment horizontal="center" vertical="center"/>
    </xf>
    <xf numFmtId="0" fontId="5" fillId="6" borderId="1" xfId="4" applyFont="1" applyFill="1" applyBorder="1" applyAlignment="1">
      <alignment horizontal="left" vertical="center"/>
    </xf>
    <xf numFmtId="9" fontId="5" fillId="6" borderId="1" xfId="1" applyFont="1" applyFill="1" applyBorder="1" applyAlignment="1">
      <alignment horizontal="center" vertical="center"/>
    </xf>
    <xf numFmtId="1" fontId="2" fillId="0" borderId="1" xfId="5" applyNumberFormat="1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" xfId="4" applyFont="1" applyBorder="1" applyAlignment="1">
      <alignment horizontal="left" vertical="center"/>
    </xf>
    <xf numFmtId="43" fontId="2" fillId="0" borderId="1" xfId="3" applyFont="1" applyFill="1" applyBorder="1" applyAlignment="1">
      <alignment horizontal="center" vertical="center"/>
    </xf>
    <xf numFmtId="49" fontId="2" fillId="0" borderId="1" xfId="3" applyNumberFormat="1" applyFont="1" applyFill="1" applyBorder="1" applyAlignment="1">
      <alignment horizontal="center" vertical="top" wrapText="1"/>
    </xf>
    <xf numFmtId="165" fontId="2" fillId="0" borderId="1" xfId="5" applyNumberFormat="1" applyFont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4" fontId="2" fillId="0" borderId="1" xfId="4" applyNumberFormat="1" applyFont="1" applyBorder="1" applyAlignment="1">
      <alignment horizontal="center" vertical="center"/>
    </xf>
    <xf numFmtId="165" fontId="5" fillId="0" borderId="1" xfId="5" applyNumberFormat="1" applyFont="1" applyBorder="1" applyAlignment="1">
      <alignment horizontal="center" vertical="center"/>
    </xf>
    <xf numFmtId="10" fontId="5" fillId="6" borderId="1" xfId="1" applyNumberFormat="1" applyFont="1" applyFill="1" applyBorder="1" applyAlignment="1">
      <alignment horizontal="center" vertical="center"/>
    </xf>
    <xf numFmtId="0" fontId="2" fillId="5" borderId="1" xfId="4" applyFont="1" applyFill="1" applyBorder="1" applyAlignment="1">
      <alignment horizontal="center" vertical="center"/>
    </xf>
    <xf numFmtId="10" fontId="5" fillId="5" borderId="1" xfId="1" applyNumberFormat="1" applyFont="1" applyFill="1" applyBorder="1" applyAlignment="1">
      <alignment horizontal="center" vertical="center"/>
    </xf>
    <xf numFmtId="10" fontId="5" fillId="4" borderId="1" xfId="1" applyNumberFormat="1" applyFont="1" applyFill="1" applyBorder="1" applyAlignment="1">
      <alignment horizontal="center" vertical="center"/>
    </xf>
    <xf numFmtId="0" fontId="5" fillId="8" borderId="1" xfId="4" applyFont="1" applyFill="1" applyBorder="1" applyAlignment="1">
      <alignment horizontal="left" vertical="center"/>
    </xf>
    <xf numFmtId="0" fontId="5" fillId="8" borderId="1" xfId="4" applyFont="1" applyFill="1" applyBorder="1" applyAlignment="1">
      <alignment horizontal="center" vertical="center"/>
    </xf>
    <xf numFmtId="0" fontId="5" fillId="6" borderId="1" xfId="4" applyFont="1" applyFill="1" applyBorder="1" applyAlignment="1">
      <alignment horizontal="center" vertical="top"/>
    </xf>
    <xf numFmtId="0" fontId="7" fillId="0" borderId="1" xfId="4" applyFont="1" applyBorder="1" applyAlignment="1">
      <alignment horizontal="left" vertical="center"/>
    </xf>
    <xf numFmtId="0" fontId="5" fillId="9" borderId="1" xfId="4" applyFont="1" applyFill="1" applyBorder="1" applyAlignment="1">
      <alignment horizontal="center" vertical="center"/>
    </xf>
    <xf numFmtId="0" fontId="5" fillId="9" borderId="1" xfId="4" applyFont="1" applyFill="1" applyBorder="1" applyAlignment="1">
      <alignment horizontal="left" vertical="center"/>
    </xf>
    <xf numFmtId="1" fontId="2" fillId="8" borderId="1" xfId="5" applyNumberFormat="1" applyFont="1" applyFill="1" applyBorder="1" applyAlignment="1">
      <alignment horizontal="center" vertical="center"/>
    </xf>
    <xf numFmtId="0" fontId="5" fillId="7" borderId="1" xfId="4" applyFont="1" applyFill="1" applyBorder="1" applyAlignment="1">
      <alignment horizontal="left" vertical="center"/>
    </xf>
    <xf numFmtId="10" fontId="5" fillId="7" borderId="1" xfId="1" applyNumberFormat="1" applyFont="1" applyFill="1" applyBorder="1" applyAlignment="1">
      <alignment horizontal="left" vertical="center"/>
    </xf>
    <xf numFmtId="9" fontId="5" fillId="7" borderId="1" xfId="1" applyFont="1" applyFill="1" applyBorder="1" applyAlignment="1">
      <alignment horizontal="left" vertical="center"/>
    </xf>
    <xf numFmtId="0" fontId="2" fillId="0" borderId="0" xfId="6" applyFont="1"/>
    <xf numFmtId="0" fontId="2" fillId="0" borderId="0" xfId="6" applyFont="1" applyAlignment="1">
      <alignment vertical="center"/>
    </xf>
    <xf numFmtId="0" fontId="8" fillId="0" borderId="0" xfId="6" applyFont="1"/>
    <xf numFmtId="1" fontId="5" fillId="4" borderId="1" xfId="4" applyNumberFormat="1" applyFont="1" applyFill="1" applyBorder="1" applyAlignment="1">
      <alignment horizontal="center" vertical="center"/>
    </xf>
    <xf numFmtId="0" fontId="8" fillId="4" borderId="1" xfId="4" applyFont="1" applyFill="1" applyBorder="1" applyAlignment="1">
      <alignment horizontal="center" vertical="center"/>
    </xf>
    <xf numFmtId="0" fontId="8" fillId="4" borderId="1" xfId="4" applyFont="1" applyFill="1" applyBorder="1" applyAlignment="1">
      <alignment horizontal="left" vertical="center"/>
    </xf>
    <xf numFmtId="4" fontId="2" fillId="10" borderId="1" xfId="4" applyNumberFormat="1" applyFont="1" applyFill="1" applyBorder="1" applyAlignment="1">
      <alignment horizontal="center" vertical="center"/>
    </xf>
    <xf numFmtId="10" fontId="2" fillId="10" borderId="1" xfId="4" applyNumberFormat="1" applyFont="1" applyFill="1" applyBorder="1" applyAlignment="1">
      <alignment horizontal="center" vertical="center"/>
    </xf>
    <xf numFmtId="4" fontId="8" fillId="10" borderId="1" xfId="4" applyNumberFormat="1" applyFont="1" applyFill="1" applyBorder="1" applyAlignment="1">
      <alignment horizontal="center" vertical="center"/>
    </xf>
    <xf numFmtId="1" fontId="2" fillId="11" borderId="1" xfId="5" applyNumberFormat="1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left" vertical="center" wrapText="1"/>
    </xf>
    <xf numFmtId="43" fontId="2" fillId="11" borderId="1" xfId="7" applyFont="1" applyFill="1" applyBorder="1" applyAlignment="1">
      <alignment horizontal="center" vertical="center"/>
    </xf>
    <xf numFmtId="49" fontId="2" fillId="11" borderId="1" xfId="7" applyNumberFormat="1" applyFont="1" applyFill="1" applyBorder="1" applyAlignment="1">
      <alignment horizontal="center" vertical="center" wrapText="1"/>
    </xf>
    <xf numFmtId="4" fontId="2" fillId="11" borderId="1" xfId="4" applyNumberFormat="1" applyFont="1" applyFill="1" applyBorder="1" applyAlignment="1">
      <alignment horizontal="center" vertical="center"/>
    </xf>
    <xf numFmtId="165" fontId="2" fillId="11" borderId="1" xfId="5" applyNumberFormat="1" applyFont="1" applyFill="1" applyBorder="1" applyAlignment="1">
      <alignment horizontal="center" vertical="center"/>
    </xf>
    <xf numFmtId="10" fontId="2" fillId="11" borderId="1" xfId="8" applyNumberFormat="1" applyFont="1" applyFill="1" applyBorder="1" applyAlignment="1">
      <alignment horizontal="center" vertical="center"/>
    </xf>
    <xf numFmtId="4" fontId="8" fillId="11" borderId="1" xfId="4" applyNumberFormat="1" applyFont="1" applyFill="1" applyBorder="1" applyAlignment="1">
      <alignment horizontal="center" vertical="center"/>
    </xf>
    <xf numFmtId="0" fontId="2" fillId="0" borderId="1" xfId="4" applyFont="1" applyBorder="1" applyAlignment="1">
      <alignment horizontal="left" vertical="center" wrapText="1"/>
    </xf>
    <xf numFmtId="43" fontId="2" fillId="0" borderId="1" xfId="7" applyFont="1" applyFill="1" applyBorder="1" applyAlignment="1">
      <alignment horizontal="center" vertical="center"/>
    </xf>
    <xf numFmtId="1" fontId="2" fillId="0" borderId="2" xfId="4" applyNumberFormat="1" applyFont="1" applyBorder="1" applyAlignment="1" applyProtection="1">
      <alignment horizontal="center" vertical="center"/>
      <protection locked="0"/>
    </xf>
    <xf numFmtId="0" fontId="2" fillId="0" borderId="1" xfId="4" applyFont="1" applyBorder="1" applyAlignment="1" applyProtection="1">
      <alignment horizontal="center" vertical="center"/>
      <protection locked="0"/>
    </xf>
    <xf numFmtId="0" fontId="2" fillId="0" borderId="1" xfId="4" applyFont="1" applyBorder="1" applyAlignment="1" applyProtection="1">
      <alignment horizontal="left" vertical="center" wrapText="1"/>
      <protection locked="0"/>
    </xf>
    <xf numFmtId="0" fontId="2" fillId="0" borderId="1" xfId="3" applyNumberFormat="1" applyFont="1" applyBorder="1" applyAlignment="1" applyProtection="1">
      <alignment horizontal="center" vertical="center"/>
      <protection locked="0"/>
    </xf>
    <xf numFmtId="43" fontId="2" fillId="0" borderId="1" xfId="3" applyFont="1" applyBorder="1" applyAlignment="1" applyProtection="1">
      <alignment horizontal="center" vertical="center"/>
      <protection locked="0"/>
    </xf>
    <xf numFmtId="49" fontId="2" fillId="0" borderId="1" xfId="7" applyNumberFormat="1" applyFont="1" applyFill="1" applyBorder="1" applyAlignment="1" applyProtection="1">
      <alignment horizontal="center" vertical="center" wrapText="1"/>
      <protection locked="0"/>
    </xf>
    <xf numFmtId="4" fontId="2" fillId="12" borderId="1" xfId="4" applyNumberFormat="1" applyFont="1" applyFill="1" applyBorder="1" applyAlignment="1" applyProtection="1">
      <alignment horizontal="center" vertical="center"/>
      <protection locked="0"/>
    </xf>
    <xf numFmtId="4" fontId="2" fillId="13" borderId="1" xfId="4" applyNumberFormat="1" applyFont="1" applyFill="1" applyBorder="1" applyAlignment="1" applyProtection="1">
      <alignment horizontal="center" vertical="center"/>
      <protection hidden="1"/>
    </xf>
    <xf numFmtId="4" fontId="8" fillId="0" borderId="1" xfId="4" applyNumberFormat="1" applyFont="1" applyBorder="1" applyAlignment="1">
      <alignment horizontal="center" vertical="center"/>
    </xf>
    <xf numFmtId="0" fontId="2" fillId="0" borderId="3" xfId="3" applyNumberFormat="1" applyFont="1" applyBorder="1" applyAlignment="1" applyProtection="1">
      <alignment horizontal="center" vertical="center"/>
      <protection locked="0"/>
    </xf>
    <xf numFmtId="43" fontId="2" fillId="0" borderId="3" xfId="3" applyFont="1" applyBorder="1" applyAlignment="1" applyProtection="1">
      <alignment horizontal="center" vertical="center"/>
      <protection locked="0"/>
    </xf>
    <xf numFmtId="43" fontId="2" fillId="0" borderId="1" xfId="7" applyFont="1" applyFill="1" applyBorder="1" applyAlignment="1" applyProtection="1">
      <alignment horizontal="center" vertical="center"/>
      <protection locked="0"/>
    </xf>
    <xf numFmtId="0" fontId="0" fillId="0" borderId="0" xfId="0" pivotButton="1"/>
  </cellXfs>
  <cellStyles count="9">
    <cellStyle name="Обычный" xfId="0" builtinId="0"/>
    <cellStyle name="Обычный 18" xfId="6" xr:uid="{616A088A-3A08-44C8-ABC5-CD778E35F2BE}"/>
    <cellStyle name="Обычный 2 2 2" xfId="2" xr:uid="{906970FC-80ED-4A74-97C6-01F0FF0F7828}"/>
    <cellStyle name="Обычный 3 2 3" xfId="5" xr:uid="{B5D7CF98-4A9F-40C3-8110-39774D1661A4}"/>
    <cellStyle name="Обычный 4" xfId="4" xr:uid="{CA835E04-5805-46B3-A910-B1F269EACA22}"/>
    <cellStyle name="Процентный" xfId="1" builtinId="5"/>
    <cellStyle name="Процентный 2" xfId="8" xr:uid="{19496D9E-7B7F-43C4-A752-095E1C93B714}"/>
    <cellStyle name="Финансовый 2 5" xfId="3" xr:uid="{76CA41C3-2516-404D-A7C9-4F4B85AFD0A3}"/>
    <cellStyle name="Финансовый 2 5 2" xfId="7" xr:uid="{B1302C9F-132F-471A-BA19-68693DC63259}"/>
  </cellStyles>
  <dxfs count="3"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.16.0.200\Database\2.%20&#1055;&#1056;&#1054;&#1045;&#1050;&#1058;&#1067;\6.%20&#1057;&#1052;&#1056;,%20&#1055;&#1053;&#1056;\1.%20&#1056;&#1072;&#1084;&#1082;&#1072;%20&#1053;&#1041;%20&#1080;%20&#1057;&#1041;\&#1056;&#1044;&#1062;_&#1069;&#1052;&#1056;_&#1057;&#1080;&#1085;&#1090;&#1077;&#1075;&#1088;&#1072;_&#1053;&#1050;&#1053;&#1061;.9366%20(&#1086;&#1073;&#1085;.)_19.02.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струкция"/>
      <sheetName val="2. РДЦ"/>
      <sheetName val="3 BOQ свод"/>
      <sheetName val="3.1 BOQ"/>
      <sheetName val="3.2 BOM"/>
      <sheetName val="3.3 BOE"/>
      <sheetName val="3.3 BOD"/>
      <sheetName val="Пр.4 BOQ на ЕИ"/>
      <sheetName val="КФО"/>
      <sheetName val="Не учтенные ЕР"/>
      <sheetName val="1. Расчетные показатели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Рахимов Ильнар" refreshedDate="46111.492859259262" createdVersion="6" refreshedVersion="6" minRefreshableVersion="3" recordCount="1751" xr:uid="{548F106C-513B-49C9-82F5-FBE6D80469CE}">
  <cacheSource type="worksheet">
    <worksheetSource ref="B1:H1048576" sheet="Лист1"/>
  </cacheSource>
  <cacheFields count="3">
    <cacheField name="Раздел ЕР" numFmtId="0">
      <sharedItems containsBlank="1" count="17">
        <s v="CW00"/>
        <s v="FW00"/>
        <s v="SS00"/>
        <s v="EL00"/>
        <s v="CS00"/>
        <s v="II00"/>
        <s v="ET00"/>
        <s v="HU00"/>
        <s v="PC00"/>
        <s v="CM00"/>
        <s v="DW00"/>
        <m/>
        <s v="CP00"/>
        <s v="PN00"/>
        <s v="PI00"/>
        <s v="PF00"/>
        <s v="PE00"/>
      </sharedItems>
    </cacheField>
    <cacheField name="Шифр ЕР" numFmtId="0">
      <sharedItems containsBlank="1" count="1699">
        <s v="CW00"/>
        <s v="CW00-01"/>
        <s v="CW00-01-01"/>
        <s v="CW00-01-01-7"/>
        <s v="CW00-01-01-20"/>
        <s v="CW00-01-02"/>
        <s v="CW00-01-02-2"/>
        <s v="CW00-01-02-3"/>
        <s v="CW00-01-02-8"/>
        <s v="CW00-03"/>
        <s v="CW00-03-01"/>
        <s v="CW00-03-01-1"/>
        <s v="CW00-03-06"/>
        <s v="CW00-03-06-11"/>
        <s v="FW00-16"/>
        <s v="FW00-16-01"/>
        <s v="FW00-16-01-01"/>
        <s v="FW00-16-01-02"/>
        <s v="FW00-16-01-03"/>
        <s v="FW00-16-01-04"/>
        <s v="FW00-16-01-05"/>
        <s v="FW00-16-01-06"/>
        <s v="FW00-16-01-07"/>
        <s v="FW00-16-01-08"/>
        <s v="FW00-16-01-09"/>
        <s v="FW00-16-01-10"/>
        <s v="FW00-16-01-11"/>
        <s v="FW00-16-01-12"/>
        <s v="FW00-16-01-13"/>
        <s v="FW00-16-01-14"/>
        <s v="FW00-16-01-15"/>
        <s v="FW00-16-01-16"/>
        <s v="FW00-16-01-17"/>
        <s v="FW00-16-01-18"/>
        <s v="FW00-16-01-19"/>
        <s v="FW00-16-01-20"/>
        <s v="FW00-16-01-21"/>
        <s v="FW00-16-01-22"/>
        <s v="FW00-16-02"/>
        <s v="FW00-16-02-01"/>
        <s v="FW00-16-02-02"/>
        <s v="SS00"/>
        <s v="SS00-01"/>
        <s v="SS00-01-01"/>
        <s v="SS00-01-01-6"/>
        <s v="SS00-01-01-7"/>
        <s v="SS00-01-02"/>
        <s v="SS00-01-02-6"/>
        <s v="SS00-01-02-7"/>
        <s v="SS00-01-03"/>
        <s v="SS00-01-03-6"/>
        <s v="SS00-01-03-7"/>
        <s v="SS00-06"/>
        <s v="SS00-06-01"/>
        <s v="SS00-06-01-1"/>
        <s v="SS00-07"/>
        <s v="SS00-07-01"/>
        <s v="SS00-07-01-1"/>
        <s v="EL00"/>
        <s v="EL00-01"/>
        <s v="EL00-01-01"/>
        <s v="EL00-01-01-1"/>
        <s v="EL00-01-01-2"/>
        <s v="EL00-01-01-3"/>
        <s v="EL00-01-01-4"/>
        <s v="EL00-01-01-5"/>
        <s v="EL00-01-01-6"/>
        <s v="EL00-01-02"/>
        <s v="EL00-01-02-1"/>
        <s v="EL00-01-02-2"/>
        <s v="EL00-01-02-8"/>
        <s v="EL00-01-02-3"/>
        <s v="EL00-01-02-6"/>
        <s v="EL00-01-02-4"/>
        <s v="EL00-01-03"/>
        <s v="EL00-01-03-5"/>
        <s v="EL00-01-04"/>
        <s v="EL00-01-04-4"/>
        <s v="EL00-02"/>
        <s v="EL00-02-01"/>
        <s v="EL00-02-01-9"/>
        <s v="EL00-02-09"/>
        <s v="EL00-02-09-3"/>
        <s v="EL00-03"/>
        <s v="EL00-03-01"/>
        <s v="EL00-03-01-9"/>
        <s v="EL00-03-01-11"/>
        <s v="EL00-03-02"/>
        <s v="EL00-03-02-1"/>
        <s v="EL00-03-02-2"/>
        <s v="EL00-03-03"/>
        <s v="EL00-03-03-1"/>
        <s v="EL00-03-03-2"/>
        <s v="EL00-03-03-3"/>
        <s v="EL00-03-03-4"/>
        <s v="EL00-03-03-5"/>
        <s v="EL00-08"/>
        <s v="EL00-08-01"/>
        <s v="EL00-08-01-10"/>
        <s v="EL00-08-01-25"/>
        <s v="EL00-08-01-11"/>
        <s v="EL00-08-01-12"/>
        <s v="EL00-08-01-13"/>
        <s v="EL00-08-01-14"/>
        <s v="EL00-08-01-15"/>
        <s v="EL00-08-01-16"/>
        <s v="EL00-08-01-17"/>
        <s v="EL00-08-01-18"/>
        <s v="EL00-08-01-26"/>
        <s v="EL00-08-01-19"/>
        <s v="EL00-08-01-20"/>
        <s v="EL00-08-01-21"/>
        <s v="EL00-08-01-22"/>
        <s v="EL00-08-01-23"/>
        <s v="EL00-08-01-24"/>
        <s v="EL00-08-02"/>
        <s v="EL00-08-02-10"/>
        <s v="EL00-08-02-55"/>
        <s v="EL00-08-02-56"/>
        <s v="EL00-08-02-57"/>
        <s v="EL00-08-02-58"/>
        <s v="EL00-08-02-59"/>
        <s v="EL00-08-02-11"/>
        <s v="EL00-08-02-12"/>
        <s v="EL00-08-02-13"/>
        <s v="EL00-08-02-14"/>
        <s v="EL00-08-02-15"/>
        <s v="EL00-08-02-16"/>
        <s v="EL00-08-02-17"/>
        <s v="EL00-08-02-18"/>
        <s v="EL00-08-02-19"/>
        <s v="EL00-08-02-20"/>
        <s v="EL00-08-02-21"/>
        <s v="EL00-08-02-22"/>
        <s v="EL00-08-02-23"/>
        <s v="EL00-08-02-24"/>
        <s v="EL00-08-02-25"/>
        <s v="EL00-08-02-26"/>
        <s v="EL00-08-02-27"/>
        <s v="EL00-08-02-28"/>
        <s v="EL00-08-02-29"/>
        <s v="EL00-08-02-30"/>
        <s v="EL00-08-02-31"/>
        <s v="EL00-08-02-32"/>
        <s v="EL00-08-02-33"/>
        <s v="EL00-08-02-34"/>
        <s v="EL00-08-02-35"/>
        <s v="EL00-08-02-36"/>
        <s v="EL00-08-02-37"/>
        <s v="EL00-08-02-38"/>
        <s v="EL00-08-02-39"/>
        <s v="EL00-08-02-40"/>
        <s v="EL00-08-02-41"/>
        <s v="EL00-08-02-42"/>
        <s v="EL00-08-02-43"/>
        <s v="EL00-08-02-44"/>
        <s v="EL00-08-02-45"/>
        <s v="EL00-08-02-46"/>
        <s v="EL00-08-02-47"/>
        <s v="EL00-08-02-48"/>
        <s v="EL00-08-02-49"/>
        <s v="EL00-08-02-50"/>
        <s v="EL00-08-02-51"/>
        <s v="EL00-08-02-52"/>
        <s v="EL00-08-02-53"/>
        <s v="EL00-08-02-54"/>
        <s v="EL00-09"/>
        <s v="EL00-09-01"/>
        <s v="EL00-09-01-1"/>
        <s v="EL00-09-01-2"/>
        <s v="EL00-09-01-3"/>
        <s v="EL00-09-01-6"/>
        <s v="EL00-09-01-7"/>
        <s v="EL00-09-01-8"/>
        <s v="EL00-09-01-11"/>
        <s v="EL00-09-01-12"/>
        <s v="EL00-09-01-13"/>
        <s v="EL00-09-01-14"/>
        <s v="EL00-09-01-15"/>
        <s v="EL00-09-01-16"/>
        <s v="EL00-09-01-21"/>
        <s v="EL00-09-01-17"/>
        <s v="EL00-09-01-18"/>
        <s v="EL00-09-01-19"/>
        <s v="EL00-09-01-20"/>
        <s v="EL00-09-02"/>
        <s v="EL00-09-02-13"/>
        <s v="EL00-09-02-58"/>
        <s v="EL00-09-02-59"/>
        <s v="EL00-09-02-60"/>
        <s v="EL00-09-02-61"/>
        <s v="EL00-09-02-62"/>
        <s v="EL00-09-02-14"/>
        <s v="EL00-09-02-15"/>
        <s v="EL00-09-02-16"/>
        <s v="EL00-09-02-17"/>
        <s v="EL00-09-02-18"/>
        <s v="EL00-09-02-19"/>
        <s v="EL00-09-02-20"/>
        <s v="EL00-09-02-21"/>
        <s v="EL00-09-02-22"/>
        <s v="EL00-09-02-23"/>
        <s v="EL00-09-02-24"/>
        <s v="EL00-09-02-25"/>
        <s v="EL00-09-02-26"/>
        <s v="EL00-09-02-27"/>
        <s v="EL00-09-02-28"/>
        <s v="EL00-09-02-29"/>
        <s v="EL00-09-02-30"/>
        <s v="EL00-09-02-31"/>
        <s v="EL00-09-02-32"/>
        <s v="EL00-09-02-33"/>
        <s v="EL00-09-02-34"/>
        <s v="EL00-09-02-35"/>
        <s v="EL00-09-02-36"/>
        <s v="EL00-09-02-37"/>
        <s v="EL00-09-02-38"/>
        <s v="EL00-09-02-39"/>
        <s v="EL00-09-02-40"/>
        <s v="EL00-09-02-41"/>
        <s v="EL00-09-02-42"/>
        <s v="EL00-09-02-43"/>
        <s v="EL00-09-02-44"/>
        <s v="EL00-09-02-45"/>
        <s v="EL00-09-02-46"/>
        <s v="EL00-09-02-47"/>
        <s v="EL00-09-02-48"/>
        <s v="EL00-09-02-49"/>
        <s v="EL00-09-02-50"/>
        <s v="EL00-09-02-51"/>
        <s v="EL00-09-02-52"/>
        <s v="EL00-09-02-53"/>
        <s v="EL00-09-02-54"/>
        <s v="EL00-09-02-55"/>
        <s v="EL00-09-02-56"/>
        <s v="EL00-09-02-57"/>
        <s v="EL00-09-04"/>
        <s v="EL00-09-04-1"/>
        <s v="EL00-09-04-46"/>
        <s v="EL00-09-04-47"/>
        <s v="EL00-09-04-48"/>
        <s v="EL00-09-04-49"/>
        <s v="EL00-09-04-50"/>
        <s v="EL00-09-04-2"/>
        <s v="EL00-09-04-3"/>
        <s v="EL00-09-04-4"/>
        <s v="EL00-09-04-5"/>
        <s v="EL00-09-04-6"/>
        <s v="EL00-09-04-7"/>
        <s v="EL00-09-04-8"/>
        <s v="EL00-09-04-9"/>
        <s v="EL00-09-04-10"/>
        <s v="EL00-09-04-11"/>
        <s v="EL00-09-04-12"/>
        <s v="EL00-09-04-13"/>
        <s v="EL00-09-04-14"/>
        <s v="EL00-09-04-15"/>
        <s v="EL00-09-04-16"/>
        <s v="EL00-09-04-17"/>
        <s v="EL00-09-04-18"/>
        <s v="EL00-09-04-19"/>
        <s v="EL00-09-04-20"/>
        <s v="EL00-09-04-21"/>
        <s v="EL00-09-04-22"/>
        <s v="EL00-09-04-23"/>
        <s v="EL00-09-04-24"/>
        <s v="EL00-09-04-25"/>
        <s v="EL00-09-04-26"/>
        <s v="EL00-09-04-27"/>
        <s v="EL00-09-04-28"/>
        <s v="EL00-09-04-29"/>
        <s v="EL00-09-04-30"/>
        <s v="EL00-09-04-31"/>
        <s v="EL00-09-04-32"/>
        <s v="EL00-09-04-33"/>
        <s v="EL00-09-04-34"/>
        <s v="EL00-09-04-35"/>
        <s v="EL00-09-04-36"/>
        <s v="EL00-09-04-37"/>
        <s v="EL00-09-04-38"/>
        <s v="EL00-09-04-39"/>
        <s v="EL00-09-04-40"/>
        <s v="EL00-09-04-41"/>
        <s v="EL00-09-04-42"/>
        <s v="EL00-09-04-43"/>
        <s v="EL00-09-04-44"/>
        <s v="EL00-09-04-45"/>
        <s v="EL00-10"/>
        <s v="EL00-10-01"/>
        <s v="EL00-10-01-1"/>
        <s v="EL00-10-01-2"/>
        <s v="EL00-10-01-3"/>
        <s v="EL00-10-01-4"/>
        <s v="EL00-10-01-5"/>
        <s v="EL00-10-02"/>
        <s v="EL00-10-02-1"/>
        <s v="EL00-10-02-2"/>
        <s v="EL00-10-03"/>
        <s v="EL00-10-03-1"/>
        <s v="EL00-10-04"/>
        <s v="EL00-10-04-1"/>
        <s v="EL00-10-04-2"/>
        <s v="EL00-10-04-3"/>
        <s v="EL00-10-04-4"/>
        <s v="EL00-10-04-5"/>
        <s v="EL00-10-04-9"/>
        <s v="EL00-10-05"/>
        <s v="EL00-10-07"/>
        <s v="EL00-10-07-4"/>
        <s v="EL00-10-09"/>
        <s v="EL00-10-09-1"/>
        <s v="EL00-10-10"/>
        <s v="EL00-10-10-1"/>
        <s v="EL00-10-10-2"/>
        <s v="EL00-10-10-3"/>
        <s v="EL00-10-11"/>
        <s v="EL00-10-11-1"/>
        <s v="EL00-10-11-2"/>
        <s v="EL00-10-11-3"/>
        <s v="EL00-10-11-4"/>
        <s v="EL00-10-11-5"/>
        <s v="EL00-10-11-6"/>
        <s v="EL00-11"/>
        <s v="EL00-11-01"/>
        <s v="EL00-11-01-5"/>
        <s v="EL00-11-01-6"/>
        <s v="EL00-11-01-7"/>
        <s v="EL00-11-01-8"/>
        <s v="EL00-11-02"/>
        <s v="EL00-11-03"/>
        <s v="EL00-11-03-5"/>
        <s v="EL00-11-03-6"/>
        <s v="EL00-11-03-7"/>
        <s v="EL00-11-03-8"/>
        <s v="EL00-11-03-9"/>
        <s v="EL00-11-03-10"/>
        <s v="EL00-11-03-11"/>
        <s v="EL00-11-03-12"/>
        <s v="EL00-11-03-14"/>
        <s v="EL00-11-03-15"/>
        <s v="EL00-11-03-16"/>
        <s v="EL00-11-03-17"/>
        <s v="EL00-11-03-18"/>
        <s v="EL00-11-03-19"/>
        <s v="EL00-11-06"/>
        <s v="EL00-11-06-3"/>
        <s v="EL00-11-06-5"/>
        <s v="EL00-11-06-6"/>
        <s v="EL00-11-06-7"/>
        <s v="EL00-11-06-8"/>
        <s v="EL00-11-07"/>
        <s v="EL00-11-07-3"/>
        <s v="EL00-11-07-4"/>
        <s v="EL00-11-07-5"/>
        <s v="EL00-11-07-7"/>
        <s v="EL00-11-07-8"/>
        <s v="EL00-11-07-9"/>
        <s v="EL00-11-09"/>
        <s v="EL00-11-09-12"/>
        <s v="EL00-11-09-13"/>
        <s v="EL00-11-09-14"/>
        <s v="EL00-11-09-15"/>
        <s v="EL00-11-09-16"/>
        <s v="EL00-11-09-17"/>
        <s v="EL00-11-09-18"/>
        <s v="EL00-11-09-19"/>
        <s v="EL00-11-10"/>
        <s v="EL00-11-10-1"/>
        <s v="EL00-11-10-2"/>
        <s v="EL00-11-10-3"/>
        <s v="EL00-11-10-4"/>
        <s v="EL00-11-10-5"/>
        <s v="EL00-11-10-6"/>
        <s v="EL00-11-10-7"/>
        <s v="EL00-11-11"/>
        <s v="EL00-11-11-1"/>
        <s v="EL00-11-11-2"/>
        <s v="EL00-11-11-3"/>
        <s v="EL00-11-11-4"/>
        <s v="EL00-11-11-5"/>
        <s v="EL00-11-11-6"/>
        <s v="EL00-11-11-7"/>
        <s v="EL00-11-11-8"/>
        <s v="EL00-11-11-9"/>
        <s v="EL00-11-11-10"/>
        <s v="EL00-11-12"/>
        <s v="EL00-11-12-1"/>
        <s v="EL00-11-12-2"/>
        <s v="EL00-11-12-3"/>
        <s v="EL00-11-12-4"/>
        <s v="EL00-11-12-5"/>
        <s v="EL00-11-12-6"/>
        <s v="EL00-11-12-7"/>
        <s v="EL00-12"/>
        <s v="EL00-12-01"/>
        <s v="EL00-12-01-01"/>
        <s v="EL00-12-01-02"/>
        <s v="EL00-12-01-03"/>
        <s v="EL00-12-01-04"/>
        <s v="EL00-12-01-05"/>
        <s v="EL00-12-01-06"/>
        <s v="EL00-12-04"/>
        <s v="EL00-12-04-5"/>
        <s v="EL00-12-04-7"/>
        <s v="EL00-16"/>
        <s v="EL00-16-05"/>
        <s v="EL00-16-05-1"/>
        <s v="EL00-16-05-46"/>
        <s v="EL00-16-05-47"/>
        <s v="EL00-16-05-48"/>
        <s v="EL00-16-05-49"/>
        <s v="EL00-16-05-50"/>
        <s v="EL00-16-05-2"/>
        <s v="EL00-16-05-3"/>
        <s v="EL00-16-05-4"/>
        <s v="EL00-16-05-5"/>
        <s v="EL00-16-05-6"/>
        <s v="EL00-16-05-7"/>
        <s v="EL00-16-05-8"/>
        <s v="EL00-16-05-9"/>
        <s v="EL00-16-05-10"/>
        <s v="EL00-16-05-11"/>
        <s v="EL00-16-05-12"/>
        <s v="EL00-16-05-13"/>
        <s v="EL00-16-05-14"/>
        <s v="EL00-16-05-15"/>
        <s v="EL00-16-05-16"/>
        <s v="EL00-16-05-17"/>
        <s v="EL00-16-05-18"/>
        <s v="EL00-16-05-19"/>
        <s v="EL00-16-05-20"/>
        <s v="EL00-16-05-21"/>
        <s v="EL00-16-05-22"/>
        <s v="EL00-16-05-23"/>
        <s v="EL00-16-05-24"/>
        <s v="EL00-16-05-25"/>
        <s v="EL00-16-05-26"/>
        <s v="EL00-16-05-27"/>
        <s v="EL00-16-05-28"/>
        <s v="EL00-16-05-29"/>
        <s v="EL00-16-05-30"/>
        <s v="EL00-16-05-31"/>
        <s v="EL00-16-05-32"/>
        <s v="EL00-16-05-33"/>
        <s v="EL00-16-05-34"/>
        <s v="EL00-16-05-35"/>
        <s v="EL00-16-05-36"/>
        <s v="EL00-16-05-37"/>
        <s v="EL00-16-05-38"/>
        <s v="EL00-16-05-39"/>
        <s v="EL00-16-05-40"/>
        <s v="EL00-16-05-41"/>
        <s v="EL00-16-05-42"/>
        <s v="EL00-16-05-43"/>
        <s v="EL00-16-05-44"/>
        <s v="EL00-16-05-45"/>
        <s v="EL00-16-06"/>
        <s v="EL00-16-06-1"/>
        <s v="EL00-16-06-16"/>
        <s v="EL00-16-06-2"/>
        <s v="EL00-16-06-3"/>
        <s v="EL00-16-06-4"/>
        <s v="EL00-16-06-5"/>
        <s v="EL00-16-06-6"/>
        <s v="EL00-16-06-7"/>
        <s v="EL00-16-06-8"/>
        <s v="EL00-16-06-9"/>
        <s v="EL00-16-06-10"/>
        <s v="EL00-16-06-11"/>
        <s v="EL00-16-06-12"/>
        <s v="EL00-16-06-13"/>
        <s v="EL00-16-06-14"/>
        <s v="EL00-16-06-15"/>
        <s v="EL00-17"/>
        <s v="EL00-17-03"/>
        <s v="EL00-17-03-1"/>
        <s v="EL00-17-03-51"/>
        <s v="EL00-17-03-52"/>
        <s v="EL00-17-03-53"/>
        <s v="EL00-17-03-54"/>
        <s v="EL00-17-03-55"/>
        <s v="EL00-17-03-2"/>
        <s v="EL00-17-03-3"/>
        <s v="EL00-17-03-4"/>
        <s v="EL00-17-03-5"/>
        <s v="EL00-17-03-6"/>
        <s v="EL00-17-03-7"/>
        <s v="EL00-17-03-8"/>
        <s v="EL00-17-03-9"/>
        <s v="EL00-17-03-10"/>
        <s v="EL00-17-03-11"/>
        <s v="EL00-17-03-12"/>
        <s v="EL00-17-03-13"/>
        <s v="EL00-17-03-14"/>
        <s v="EL00-17-03-15"/>
        <s v="EL00-17-03-16"/>
        <s v="EL00-17-03-17"/>
        <s v="EL00-17-03-18"/>
        <s v="EL00-17-03-19"/>
        <s v="EL00-17-03-20"/>
        <s v="EL00-17-03-21"/>
        <s v="EL00-17-03-22"/>
        <s v="EL00-17-03-23"/>
        <s v="EL00-17-03-24"/>
        <s v="EL00-17-03-25"/>
        <s v="EL00-17-03-26"/>
        <s v="EL00-17-03-27"/>
        <s v="EL00-17-03-28"/>
        <s v="EL00-17-03-29"/>
        <s v="EL00-17-03-30"/>
        <s v="EL00-17-03-31"/>
        <s v="EL00-17-03-32"/>
        <s v="EL00-17-03-33"/>
        <s v="EL00-17-03-34"/>
        <s v="EL00-17-03-35"/>
        <s v="EL00-17-03-36"/>
        <s v="EL00-17-03-37"/>
        <s v="EL00-17-03-38"/>
        <s v="EL00-17-03-39"/>
        <s v="EL00-17-03-40"/>
        <s v="EL00-17-03-41"/>
        <s v="EL00-17-03-42"/>
        <s v="EL00-17-03-43"/>
        <s v="EL00-17-03-44"/>
        <s v="EL00-17-03-45"/>
        <s v="EL00-17-04"/>
        <s v="EL00-17-04-1"/>
        <s v="EL00-17-04-2"/>
        <s v="EL00-17-04-3"/>
        <s v="EL00-17-04-4"/>
        <s v="EL00-17-04-5"/>
        <s v="EL00-17-04-6"/>
        <s v="EL00-17-04-7"/>
        <s v="EL00-17-04-8"/>
        <s v="EL00-17-04-9"/>
        <s v="EL00-17-04-10"/>
        <s v="EL00-17-04-11"/>
        <s v="EL00-17-04-12"/>
        <s v="EL00-17-04-13"/>
        <s v="EL00-17-04-14"/>
        <s v="EL00-17-04-15"/>
        <s v="EL00-17-04-17"/>
        <s v="EL00-17-06"/>
        <s v="EL00-17-06-1"/>
        <s v="EL00-17-06-51"/>
        <s v="EL00-17-06-52"/>
        <s v="EL00-17-06-53"/>
        <s v="EL00-17-06-54"/>
        <s v="EL00-17-06-55"/>
        <s v="EL00-17-06-2"/>
        <s v="EL00-17-06-3"/>
        <s v="EL00-17-06-4"/>
        <s v="EL00-17-06-5"/>
        <s v="EL00-17-06-6"/>
        <s v="EL00-17-06-7"/>
        <s v="EL00-17-06-8"/>
        <s v="EL00-17-06-9"/>
        <s v="EL00-17-06-10"/>
        <s v="EL00-17-06-11"/>
        <s v="EL00-17-06-12"/>
        <s v="EL00-17-06-13"/>
        <s v="EL00-17-06-14"/>
        <s v="EL00-17-06-15"/>
        <s v="EL00-17-06-16"/>
        <s v="EL00-17-06-17"/>
        <s v="EL00-17-06-18"/>
        <s v="EL00-17-06-19"/>
        <s v="EL00-17-06-20"/>
        <s v="EL00-17-06-21"/>
        <s v="EL00-17-06-22"/>
        <s v="EL00-17-06-23"/>
        <s v="EL00-17-06-24"/>
        <s v="EL00-17-06-25"/>
        <s v="EL00-17-06-26"/>
        <s v="EL00-17-06-27"/>
        <s v="EL00-17-06-28"/>
        <s v="EL00-17-06-29"/>
        <s v="EL00-17-06-30"/>
        <s v="EL00-17-06-31"/>
        <s v="EL00-17-06-32"/>
        <s v="EL00-17-06-33"/>
        <s v="EL00-17-06-34"/>
        <s v="EL00-17-06-35"/>
        <s v="EL00-17-06-36"/>
        <s v="EL00-17-06-37"/>
        <s v="EL00-17-06-38"/>
        <s v="EL00-17-06-39"/>
        <s v="EL00-17-06-40"/>
        <s v="EL00-17-06-41"/>
        <s v="EL00-17-06-42"/>
        <s v="EL00-17-06-43"/>
        <s v="EL00-17-06-44"/>
        <s v="EL00-17-06-45"/>
        <s v="EL00-17-07"/>
        <s v="EL00-17-07-1"/>
        <s v="EL00-17-07-2"/>
        <s v="EL00-17-07-3"/>
        <s v="EL00-17-07-4"/>
        <s v="EL00-17-07-5"/>
        <s v="EL00-17-07-6"/>
        <s v="EL00-17-07-7"/>
        <s v="EL00-17-07-8"/>
        <s v="EL00-17-07-9"/>
        <s v="EL00-17-07-10"/>
        <s v="EL00-17-07-11"/>
        <s v="EL00-17-07-12"/>
        <s v="EL00-17-07-13"/>
        <s v="EL00-17-07-14"/>
        <s v="EL00-17-07-15"/>
        <s v="EL00-17-07-17"/>
        <s v="CS00"/>
        <s v="CS00-01"/>
        <s v="CS00-01-02"/>
        <s v="CS00-01-02-1"/>
        <s v="CS00-01-02-2"/>
        <s v="CS00-01-02-3"/>
        <s v="CS00-01-02-4"/>
        <s v="CS00-01-02-5"/>
        <s v="CS00-01-02-6"/>
        <s v="CS00-01-02-7"/>
        <s v="CS00-01-02-8"/>
        <s v="CS00-01-02-9"/>
        <s v="CS00-01-02-10"/>
        <s v="CS00-01-02-11"/>
        <s v="CS00-01-02-12"/>
        <s v="CS00-01-02-13"/>
        <s v="CS00-01-02-14"/>
        <s v="CS00-01-02-15"/>
        <s v="CS00-01-02-16"/>
        <s v="CS00-01-02-17"/>
        <s v="CS00-01-02-18"/>
        <s v="CS00-01-02-19"/>
        <s v="CS00-01-02-20"/>
        <s v="CS00-02-03"/>
        <s v="CS00-02-03-1"/>
        <s v="CS00-02-03-2"/>
        <s v="CS00-02-03-3"/>
        <s v="CS00-02-03-4"/>
        <s v="CS00-02-03-5"/>
        <s v="CS00-03"/>
        <s v="CS00-03-01"/>
        <s v="CS00-03-01-1"/>
        <s v="CS00-03-01-2"/>
        <s v="CS00-03-01-3"/>
        <s v="CS00-03-01-4"/>
        <s v="CS00-03-01-5"/>
        <s v="CS00-03-01-6"/>
        <s v="CS00-03-01-7"/>
        <s v="CS00-03-01-8"/>
        <s v="CS00-03-01-9"/>
        <s v="CS00-03-01-10"/>
        <s v="CS00-04"/>
        <s v="CS00-04-01"/>
        <s v="CS00-04-01-1"/>
        <s v="CS00-04-01-2"/>
        <s v="CS00-04-01-3"/>
        <s v="CS00-04-01-4"/>
        <s v="CS00-04-01-5"/>
        <s v="CS00-04-01-6"/>
        <s v="CS00-04-01-7"/>
        <s v="CS00-04-01-8"/>
        <s v="CS00-04-01-9"/>
        <s v="CS00-04-01-10"/>
        <s v="CS00-04-01-11"/>
        <s v="CS00-04-01-12"/>
        <s v="CS00-04-01-13"/>
        <s v="CS00-04-01-14"/>
        <s v="CS00-04-01-15"/>
        <s v="CS00-04-01-16"/>
        <s v="CS00-04-01-17"/>
        <s v="CS00-04-01-18"/>
        <s v="CS00-04-01-19"/>
        <s v="CS00-04-02"/>
        <s v="CS00-04-02-1"/>
        <s v="CS00-04-02-2"/>
        <s v="CS00-04-02-3"/>
        <s v="CS00-04-02-4"/>
        <s v="CS00-04-02-5"/>
        <s v="CS00-05"/>
        <s v="CS00-05-01"/>
        <s v="CS00-05-03"/>
        <s v="CS00-05-03-1"/>
        <s v="CS00-05-03-2"/>
        <s v="CS00-05-03-3"/>
        <s v="CS00-05-03-4"/>
        <s v="CS00-05-04"/>
        <s v="CS00-05-04-1"/>
        <s v="CS00-05-04-2"/>
        <s v="CS00-05-04-3"/>
        <s v="CS00-05-04-4"/>
        <s v="CS00-05-04-5"/>
        <s v="CS00-05-04-6"/>
        <s v="CS00-05-05"/>
        <s v="CS00-05-05-1"/>
        <s v="CS00-05-05-2"/>
        <s v="CS00-05-05-3"/>
        <s v="CS00-05-05-4"/>
        <s v="CS00-05-05-5"/>
        <s v="CS00-05-05-6"/>
        <s v="CS00-06"/>
        <s v="CS00-06-01"/>
        <s v="CS00-06-01-4"/>
        <s v="CS00-06-02"/>
        <s v="CS00-06-02-1"/>
        <s v="CS00-06-02-2"/>
        <s v="CS00-07"/>
        <s v="CS00-07-01"/>
        <s v="CS00-07-01-01"/>
        <s v="CS00-07-01-02"/>
        <s v="CS00-07-01-03"/>
        <s v="CS00-07-01-04"/>
        <s v="CS00-07-02"/>
        <s v="CS00-07-02-01"/>
        <s v="CS00-07-02-02"/>
        <s v="CS00-07-02-03"/>
        <s v="II00"/>
        <s v="II00-03"/>
        <s v="II00-03-01"/>
        <s v="II00-03-01-9"/>
        <s v="II00-03-01-10"/>
        <s v="II00-03-01-11"/>
        <s v="II00-03-01-12"/>
        <s v="II00-03-01-13"/>
        <s v="II00-03-01-14"/>
        <s v="II00-03-01-15"/>
        <s v="II00-03-01-16"/>
        <s v="II00-03-01-17"/>
        <s v="II00-03-01-18"/>
        <s v="II00-03-01-19"/>
        <s v="II00-03-01-20"/>
        <s v="II00-03-01-21"/>
        <s v="II00-03-01-22"/>
        <s v="II00-03-01-23"/>
        <s v="II00-03-01-24"/>
        <s v="II00-03-01-25"/>
        <s v="II00-03-01-26"/>
        <s v="II00-03-01-27"/>
        <s v="II00-03-01-28"/>
        <s v="II00-03-01-29"/>
        <s v="II00-03-01-30"/>
        <s v="II00-03-01-31"/>
        <s v="II00-03-01-32"/>
        <s v="II00-03-01-33"/>
        <s v="II00-03-01-34"/>
        <s v="II00-03-01-35"/>
        <s v="II00-03-01-36"/>
        <s v="II00-03-01-37"/>
        <s v="II00-03-01-38"/>
        <s v="II00-03-01-39"/>
        <s v="II00-03-01-40"/>
        <s v="II00-03-01-41"/>
        <s v="II00-03-01-42"/>
        <s v="II00-03-01-43"/>
        <s v="II00-03-01-44"/>
        <s v="II00-03-01-45"/>
        <s v="II00-03-01-46"/>
        <s v="II00-03-01-47"/>
        <s v="II00-03-01-48"/>
        <s v="II00-03-01-49"/>
        <s v="II00-03-01-50"/>
        <s v="II00-03-01-51"/>
        <s v="II00-03-01-52"/>
        <s v="II00-03-01-53"/>
        <s v="II00-03-01-54"/>
        <s v="II00-03-01-55"/>
        <s v="II00-03-01-56"/>
        <s v="II00-03-01-57"/>
        <s v="II00-03-01-58"/>
        <s v="II00-03-01-59"/>
        <s v="II00-03-01-60"/>
        <s v="II00-03-01-61"/>
        <s v="II00-03-01-62"/>
        <s v="II00-03-01-63"/>
        <s v="II00-03-01-64"/>
        <s v="II00-03-01-65"/>
        <s v="II00-03-01-66"/>
        <s v="II00-03-01-67"/>
        <s v="II00-03-01-68"/>
        <s v="II00-03-01-69"/>
        <s v="II00-03-01-70"/>
        <s v="II00-03-01-71"/>
        <s v="II00-03-01-72"/>
        <s v="II00-03-02"/>
        <s v="II00-03-02-9"/>
        <s v="II00-03-02-10"/>
        <s v="II00-03-02-11"/>
        <s v="II00-03-02-12"/>
        <s v="II00-03-02-13"/>
        <s v="II00-03-02-14"/>
        <s v="II00-03-02-15"/>
        <s v="II00-03-02-16"/>
        <s v="II00-03-02-17"/>
        <s v="II00-03-02-18"/>
        <s v="II00-03-02-19"/>
        <s v="II00-03-02-20"/>
        <s v="II00-03-02-21"/>
        <s v="II00-03-02-22"/>
        <s v="II00-03-02-23"/>
        <s v="II00-03-02-24"/>
        <s v="II00-03-02-25"/>
        <s v="II00-03-02-26"/>
        <s v="II00-03-02-27"/>
        <s v="II00-03-02-28"/>
        <s v="II00-03-02-29"/>
        <s v="II00-03-02-30"/>
        <s v="II00-03-02-31"/>
        <s v="II00-03-02-32"/>
        <s v="II00-03-02-33"/>
        <s v="II00-03-02-34"/>
        <s v="II00-03-02-35"/>
        <s v="II00-03-02-36"/>
        <s v="II00-03-02-37"/>
        <s v="II00-03-02-38"/>
        <s v="II00-03-02-39"/>
        <s v="II00-03-02-40"/>
        <s v="II00-03-02-41"/>
        <s v="II00-03-02-42"/>
        <s v="II00-03-02-43"/>
        <s v="II00-03-02-44"/>
        <s v="II00-03-02-45"/>
        <s v="II00-03-02-46"/>
        <s v="II00-03-02-47"/>
        <s v="II00-03-02-48"/>
        <s v="II00-03-02-49"/>
        <s v="II00-03-02-50"/>
        <s v="II00-03-02-51"/>
        <s v="II00-03-02-52"/>
        <s v="II00-03-02-53"/>
        <s v="II00-03-02-54"/>
        <s v="II00-03-02-55"/>
        <s v="II00-03-02-56"/>
        <s v="II00-03-02-57"/>
        <s v="II00-03-02-58"/>
        <s v="II00-03-02-59"/>
        <s v="II00-03-02-60"/>
        <s v="II00-03-02-61"/>
        <s v="II00-03-02-62"/>
        <s v="II00-03-02-63"/>
        <s v="II00-03-02-64"/>
        <s v="II00-03-02-65"/>
        <s v="II00-03-02-66"/>
        <s v="II00-03-02-67"/>
        <s v="II00-03-02-68"/>
        <s v="II00-03-02-69"/>
        <s v="II00-03-02-70"/>
        <s v="II00-03-02-71"/>
        <s v="II00-03-02-72"/>
        <s v="II00-03-05"/>
        <s v="II00-03-05-1"/>
        <s v="II00-03-05-2"/>
        <s v="II00-03-05-3"/>
        <s v="II00-03-05-9"/>
        <s v="II00-03-06"/>
        <s v="II00-03-06-1"/>
        <s v="II00-03-06-2"/>
        <s v="II00-03-06-3"/>
        <s v="II00-03-06-4"/>
        <s v="II00-03-07"/>
        <s v="II00-03-07-1"/>
        <s v="II00-03-07-2"/>
        <s v="II00-03-07-3"/>
        <s v="II00-03-07-4"/>
        <s v="II00-03-08"/>
        <s v="II00-03-08-1"/>
        <s v="II00-03-08-2"/>
        <s v="II00-03-08-3"/>
        <s v="II00-03-08-4"/>
        <s v="II00-03-12"/>
        <s v="II00-03-12-1"/>
        <s v="II00-03-12-2"/>
        <s v="II00-03-12-3"/>
        <s v="II00-03-12-4"/>
        <s v="II00-03-12-5"/>
        <s v="II00-03-12-6"/>
        <s v="II00-03-12-7"/>
        <s v="II00-04"/>
        <s v="II00-04-01"/>
        <s v="II00-04-01-7"/>
        <s v="II00-04-01-8"/>
        <s v="II00-04-01-9"/>
        <s v="II00-04-01-10"/>
        <s v="II00-04-01-11"/>
        <s v="II00-04-01-12"/>
        <s v="II00-04-01-13"/>
        <s v="II00-04-01-14"/>
        <s v="II00-04-01-15"/>
        <s v="II00-04-01-16"/>
        <s v="II00-04-01-17"/>
        <s v="II00-04-01-18"/>
        <s v="II00-04-01-19"/>
        <s v="II00-04-01-20"/>
        <s v="II00-04-01-21"/>
        <s v="II00-04-01-22"/>
        <s v="II00-04-01-23"/>
        <s v="II00-04-01-24"/>
        <s v="II00-04-01-25"/>
        <s v="II00-04-01-26"/>
        <s v="II00-04-01-27"/>
        <s v="II00-04-01-28"/>
        <s v="II00-04-01-29"/>
        <s v="II00-04-01-30"/>
        <s v="II00-04-01-31"/>
        <s v="II00-04-01-32"/>
        <s v="II00-04-01-33"/>
        <s v="II00-04-01-34"/>
        <s v="II00-04-01-35"/>
        <s v="II00-04-01-36"/>
        <s v="II00-04-01-37"/>
        <s v="II00-04-01-38"/>
        <s v="II00-04-02"/>
        <s v="II00-04-02-7"/>
        <s v="II00-04-02-8"/>
        <s v="II00-04-02-9"/>
        <s v="II00-04-02-10"/>
        <s v="II00-04-02-11"/>
        <s v="II00-04-02-12"/>
        <s v="II00-04-02-13"/>
        <s v="II00-04-02-14"/>
        <s v="II00-04-02-15"/>
        <s v="II00-04-02-16"/>
        <s v="II00-04-02-17"/>
        <s v="II00-04-02-18"/>
        <s v="II00-04-02-19"/>
        <s v="II00-04-02-20"/>
        <s v="II00-04-02-21"/>
        <s v="II00-04-02-22"/>
        <s v="II00-04-02-23"/>
        <s v="II00-04-02-24"/>
        <s v="II00-04-02-25"/>
        <s v="II00-04-02-26"/>
        <s v="II00-04-02-27"/>
        <s v="II00-04-02-28"/>
        <s v="II00-04-02-29"/>
        <s v="II00-04-02-30"/>
        <s v="II00-04-02-31"/>
        <s v="II00-04-02-32"/>
        <s v="II00-04-02-33"/>
        <s v="II00-04-02-34"/>
        <s v="II00-04-02-35"/>
        <s v="II00-04-02-36"/>
        <s v="II00-04-02-37"/>
        <s v="II00-04-02-38"/>
        <s v="II00-04-04"/>
        <s v="II00-04-04-4"/>
        <s v="II00-04-04-5"/>
        <s v="II00-04-04-6"/>
        <s v="II00-04-04-8"/>
        <s v="II00-04-04-9"/>
        <s v="II00-04-05"/>
        <s v="II00-04-05-4"/>
        <s v="II00-04-05-5"/>
        <s v="II00-04-05-6"/>
        <s v="II00-04-05-8"/>
        <s v="II00-04-05-9"/>
        <s v="II00-04-08"/>
        <s v="II00-04-08-1"/>
        <s v="II00-04-08-2"/>
        <s v="II00-05"/>
        <s v="II00-05-01"/>
        <s v="II00-05-01-1"/>
        <s v="II00-05-01-4"/>
        <s v="II00-05-01-6"/>
        <s v="II00-05-01-7"/>
        <s v="II00-05-01-8"/>
        <s v="II00-05-01-9"/>
        <s v="II00-05-01-10"/>
        <s v="II00-05-01-11"/>
        <s v="II00-05-02"/>
        <s v="II00-05-02-9"/>
        <s v="II00-05-02-10"/>
        <s v="II00-05-02-11"/>
        <s v="II00-05-03"/>
        <s v="II00-05-03-5"/>
        <s v="II00-05-03-6"/>
        <s v="II00-05-03-10"/>
        <s v="II00-05-03-11"/>
        <s v="II00-05-03-12"/>
        <s v="II00-05-03-13"/>
        <s v="II00-05-03-14"/>
        <s v="II00-05-04"/>
        <s v="II00-05-04-11"/>
        <s v="II00-05-04-12"/>
        <s v="II00-05-04-13"/>
        <s v="II00-05-04-14"/>
        <s v="II00-05-05"/>
        <s v="II00-05-05-1"/>
        <s v="II00-05-05-2"/>
        <s v="II00-05-05-3"/>
        <s v="II00-05-05-4"/>
        <s v="II00-05-07"/>
        <s v="II00-05-07-6"/>
        <s v="II00-05-07-7"/>
        <s v="II00-05-07-8"/>
        <s v="II00-05-07-9"/>
        <s v="II00-05-07-10"/>
        <s v="II00-05-07-11"/>
        <s v="II00-05-07-12"/>
        <s v="II00-05-07-13"/>
        <s v="II00-05-07-14"/>
        <s v="II00-05-07-15"/>
        <s v="II00-05-07-16"/>
        <s v="II00-05-07-17"/>
        <s v="II00-05-07-18"/>
        <s v="II00-05-07-19"/>
        <s v="II00-05-07-20"/>
        <s v="II00-05-07-21"/>
        <s v="II00-05-07-22"/>
        <s v="II00-05-11"/>
        <s v="II00-05-11-1"/>
        <s v="II00-05-11-2"/>
        <s v="II00-05-11-3"/>
        <s v="II00-05-11-4"/>
        <s v="II00-05-12"/>
        <s v="II00-05-12-1"/>
        <s v="II00-05-12-2"/>
        <s v="II00-05-12-3"/>
        <s v="II00-05-12-4"/>
        <s v="II00-05-12-5"/>
        <s v="II00-05-13"/>
        <s v="II00-05-13-1"/>
        <s v="II00-06"/>
        <s v="II00-06-01"/>
        <s v="II00-06-01-1"/>
        <s v="II00-06-01-2"/>
        <s v="II00-06-01-3"/>
        <s v="II00-06-01-4"/>
        <s v="II00-06-01-5"/>
        <s v="II00-06-01-6"/>
        <s v="II00-06-01-7"/>
        <s v="II00-06-01-16"/>
        <s v="II00-06-01-17"/>
        <s v="II00-06-01-18"/>
        <s v="II00-06-01-19"/>
        <s v="II00-06-01-20"/>
        <s v="II00-07"/>
        <s v="II00-07-02"/>
        <s v="II00-07-02-1"/>
        <s v="II00-07-02-2"/>
        <s v="II00-07-02-3"/>
        <s v="II00-07-02-4"/>
        <s v="II00-07-02-5"/>
        <s v="II00-07-02-6"/>
        <s v="II00-07-02-7"/>
        <s v="II00-07-02-8"/>
        <s v="II00-07-02-9"/>
        <s v="II00-07-02-10"/>
        <s v="II00-07-02-11"/>
        <s v="II00-07-02-12"/>
        <s v="II00-07-02-13"/>
        <s v="II00-07-02-14"/>
        <s v="II00-07-02-15"/>
        <s v="II00-07-02-16"/>
        <s v="II00-07-02-17"/>
        <s v="II00-10"/>
        <s v="II00-10-01"/>
        <s v="II00-10-01-1"/>
        <s v="II00-10-01-2"/>
        <s v="II00-10-01-3"/>
        <s v="II00-10-01-4"/>
        <s v="II00-10-01-5"/>
        <s v="II00-10-01-6"/>
        <s v="II00-10-01-7"/>
        <s v="II00-10-02"/>
        <s v="II00-10-02-1"/>
        <s v="II00-10-02-2"/>
        <s v="II00-10-02-5"/>
        <s v="II00-10-02-6"/>
        <s v="II00-10-02-8"/>
        <s v="II00-10-02-10"/>
        <s v="II00-10-02-11"/>
        <s v="II00-10-02-12"/>
        <s v="II00-10-02-13"/>
        <s v="II00-10-04"/>
        <s v="II00-10-04-1"/>
        <s v="II00-10-04-2"/>
        <s v="II00-10-04-3"/>
        <s v="II00-10-04-4"/>
        <s v="II00-10-04-5"/>
        <s v="II00-10-04-6"/>
        <s v="II00-10-04-7"/>
        <s v="II00-10-04-8"/>
        <s v="II00-10-04-9"/>
        <s v="II00-10-04-10"/>
        <s v="II00-10-04-11"/>
        <s v="II00-10-04-13"/>
        <s v="II00-10-04-14"/>
        <s v="II00-10-04-15"/>
        <s v="II00-10-05"/>
        <s v="II00-10-05-1"/>
        <s v="II00-10-05-2"/>
        <s v="II00-10-05-3"/>
        <s v="II00-10-05-6"/>
        <s v="II00-10-05-7"/>
        <s v="II00-10-05-8"/>
        <s v="II00-10-05-9"/>
        <s v="II00-10-05-10"/>
        <s v="II00-10-05-11"/>
        <s v="II00-10-05-12"/>
        <s v="II00-10-05-14"/>
        <s v="II00-10-05-19"/>
        <s v="II00-10-05-15"/>
        <s v="II00-10-05-16"/>
        <s v="II00-10-05-17"/>
        <s v="II00-10-05-18"/>
        <s v="II00-12"/>
        <s v="II00-12-01"/>
        <s v="II00-12-01-1"/>
        <s v="II00-12-01-2"/>
        <s v="II00-12-01-3"/>
        <s v="II00-12-01-4"/>
        <s v="II00-12-01-5"/>
        <s v="II00-12-01-6"/>
        <s v="II00-12-01-7"/>
        <s v="II00-12-01-8"/>
        <s v="II00-12-01-9"/>
        <s v="II00-12-01-10"/>
        <s v="II00-12-01-11"/>
        <s v="II00-12-01-12"/>
        <s v="II00-12-01-13"/>
        <s v="II00-12-01-14"/>
        <s v="II00-12-01-15"/>
        <s v="II00-12-01-16"/>
        <s v="II00-12-01-17"/>
        <s v="II00-12-01-18"/>
        <s v="II00-12-01-19"/>
        <s v="II00-12-01-20"/>
        <s v="II00-12-01-21"/>
        <s v="II00-12-01-22"/>
        <s v="II00-12-01-23"/>
        <s v="II00-12-01-24"/>
        <s v="II00-12-01-25"/>
        <s v="II00-12-01-26"/>
        <s v="II00-12-01-27"/>
        <s v="II00-12-01-28"/>
        <s v="II00-12-01-29"/>
        <s v="II00-12-01-30"/>
        <s v="II00-12-01-31"/>
        <s v="II00-12-01-32"/>
        <s v="II00-12-01-33"/>
        <s v="II00-12-01-34"/>
        <s v="II00-12-01-35"/>
        <s v="II00-12-01-36"/>
        <s v="II00-12-01-37"/>
        <s v="II00-12-01-38"/>
        <s v="II00-12-01-39"/>
        <s v="II00-12-01-40"/>
        <s v="II00-12-01-41"/>
        <s v="II00-12-01-42"/>
        <s v="II00-12-01-43"/>
        <s v="II00-12-01-44"/>
        <s v="II00-12-01-45"/>
        <s v="II00-12-01-46"/>
        <s v="II00-12-01-47"/>
        <s v="II00-12-01-48"/>
        <s v="II00-12-01-49"/>
        <s v="II00-12-01-50"/>
        <s v="II00-12-01-51"/>
        <s v="II00-12-01-52"/>
        <s v="II00-12-01-53"/>
        <s v="II00-12-01-54"/>
        <s v="II00-12-01-55"/>
        <s v="II00-12-01-56"/>
        <s v="II00-12-01-57"/>
        <s v="II00-12-01-58"/>
        <s v="II00-12-01-59"/>
        <s v="II00-12-01-60"/>
        <s v="II00-12-01-61"/>
        <s v="II00-12-01-62"/>
        <s v="II00-12-01-63"/>
        <s v="II00-12-01-64"/>
        <s v="II00-12-01-65"/>
        <s v="II00-12-01-66"/>
        <s v="II00-12-01-67"/>
        <s v="II00-12-01-68"/>
        <s v="II00-12-01-69"/>
        <s v="II00-12-01-70"/>
        <s v="II00-12-01-71"/>
        <s v="II00-12-01-72"/>
        <s v="II00-12-01-73"/>
        <s v="II00-12-01-74"/>
        <s v="II00-12-01-75"/>
        <s v="II00-12-01-76"/>
        <s v="II00-12-01-77"/>
        <s v="II00-12-01-78"/>
        <s v="II00-12-01-79"/>
        <s v="II00-12-01-80"/>
        <s v="II00-12-01-81"/>
        <s v="II00-13"/>
        <s v="II00-13-02"/>
        <s v="II00-13-02-01"/>
        <s v="II00-13-02-02"/>
        <s v="II00-13-02-03"/>
        <s v="II00-13-03"/>
        <s v="II00-13-03-01"/>
        <s v="II00-13-03-02"/>
        <s v="II00-13-03-03"/>
        <s v="II00-13-03-04"/>
        <s v="ET00"/>
        <s v="ET00-01"/>
        <s v="ET00-01-01"/>
        <s v="ET00-01-01-3"/>
        <s v="ET00-01-01-5"/>
        <s v="ET00-01-01-6"/>
        <s v="ET00-01-02"/>
        <s v="ET00-01-02-1"/>
        <s v="ET00-01-03"/>
        <s v="ET00-01-03-1"/>
        <s v="ET00-01-03-3"/>
        <s v="ET00-01-03-4"/>
        <s v="ET00-01-03-5"/>
        <s v="ET00-01-04"/>
        <s v="ET00-01-04-1"/>
        <s v="ET00-02"/>
        <s v="ET00-02-01"/>
        <s v="ET00-02-01-1"/>
        <s v="ET00-02-01-5"/>
        <s v="ET00-02-01-6"/>
        <s v="HU00"/>
        <s v="HU00-01"/>
        <s v="HU00-01-07"/>
        <s v="HU00-01-07-1"/>
        <s v="HU00-01-07-2"/>
        <s v="HU00-02"/>
        <s v="HU00-02-01"/>
        <s v="HU00-02-01-1"/>
        <s v="HU00-02-01-2"/>
        <s v="HU00-02-01-3"/>
        <s v="HU00-02-01-4"/>
        <s v="HU00-02-01-5"/>
        <s v="HU00-02-01-6"/>
        <s v="HU00-02-02"/>
        <s v="HU00-02-02-1"/>
        <s v="HU00-02-02-2"/>
        <s v="HU00-02-02-3"/>
        <s v="HU00-02-02-4"/>
        <s v="HU00-02-02-5"/>
        <s v="HU00-02-02-6"/>
        <s v="HU00-02-03"/>
        <s v="HU00-02-03-1"/>
        <s v="PC00"/>
        <s v="PC00-20"/>
        <s v="PC00-20-01"/>
        <s v="PC00-20-01-001"/>
        <s v="PC00-20-01-002"/>
        <s v="PC00-20-01-003"/>
        <s v="PC00-20-01-004"/>
        <s v="PC00-20-02"/>
        <s v="PC00-20-02-001"/>
        <s v="PC00-20-02-002"/>
        <s v="PC00-20-03"/>
        <s v="PC00-20-03-001"/>
        <s v="PC00-20-03-002"/>
        <s v="PC00-20-04"/>
        <s v="PC00-20-04-001"/>
        <s v="PC00-20-04-002"/>
        <s v="PC00-20-04-003"/>
        <s v="PC00-20-04-004"/>
        <s v="PC00-20-04-005"/>
        <s v="PC00-20-04-006"/>
        <s v="PC00-20-04-007"/>
        <s v="PC00-20-05"/>
        <s v="PC00-20-05-001"/>
        <s v="PC00-20-05-002"/>
        <s v="PC00-20-05-003"/>
        <s v="PC00-20-06"/>
        <s v="PC00-20-06-001"/>
        <s v="PC00-20-06-002"/>
        <s v="PC00-20-07"/>
        <s v="PC00-20-07-001"/>
        <s v="PC00-20-08"/>
        <s v="PC00-20-08-001"/>
        <s v="PC00-20-09"/>
        <s v="PC00-20-09-001"/>
        <s v="PC00-20-09-002"/>
        <s v="PC00-20-10"/>
        <s v="PC00-20-10-001"/>
        <s v="PC00-20-10-002"/>
        <s v="PC00-20-10-003"/>
        <s v="PC00-20-10-004"/>
        <s v="PC00-20-10-005"/>
        <s v="PC00-20-10-006"/>
        <s v="PC00-20-10-007"/>
        <s v="PC00-20-10-008"/>
        <s v="PC00-20-10-009"/>
        <s v="PC00-20-10-010"/>
        <s v="PC00-20-10-011"/>
        <s v="PC00-20-11"/>
        <s v="PC00-20-11-001"/>
        <s v="PC00-20-11-002"/>
        <s v="PC00-20-11-003"/>
        <s v="PC00-20-11-004"/>
        <s v="PC00-20-11-005"/>
        <s v="PC00-20-11-006"/>
        <s v="PC00-20-11-007"/>
        <s v="PC00-20-12"/>
        <s v="PC00-20-12-001"/>
        <s v="PC00-20-12-002"/>
        <s v="PC00-20-12-003"/>
        <s v="PC00-20-12-004"/>
        <s v="PC00-20-12-005"/>
        <s v="PC00-20-12-006"/>
        <s v="PC00-20-12-007"/>
        <s v="PC00-20-12-008"/>
        <s v="PC00-20-13"/>
        <s v="PC00-20-13-001"/>
        <s v="PC00-20-13-002"/>
        <s v="PC00-20-13-003"/>
        <s v="PC00-20-14"/>
        <s v="PC00-20-14-001"/>
        <s v="PC00-20-14-002"/>
        <s v="PC00-20-14-003"/>
        <s v="PC00-20-14-004"/>
        <s v="PC00-20-16"/>
        <s v="PC00-20-16-001"/>
        <s v="PC00-20-16-002"/>
        <s v="PC00-20-16-003"/>
        <s v="PC00-20-16-004"/>
        <s v="PC00-20-16-005"/>
        <s v="PC00-20-16-006"/>
        <s v="PC00-20-16-007"/>
        <s v="PC00-20-16-008"/>
        <s v="PC00-20-16-009"/>
        <s v="PC00-20-16-010"/>
        <s v="PC00-20-16-011"/>
        <s v="PC00-30"/>
        <s v="PC00-30-01"/>
        <s v="PC00-30-01-001"/>
        <s v="PC00-30-01-002"/>
        <s v="PC00-30-01-003"/>
        <s v="PC00-30-01-004"/>
        <s v="PC00-30-02"/>
        <s v="PC00-30-02-001"/>
        <s v="PC00-30-02-002"/>
        <s v="PC00-30-02-003"/>
        <s v="PC00-30-02-004"/>
        <s v="PC00-30-03"/>
        <s v="PC00-30-03-001"/>
        <s v="PC00-30-03-002"/>
        <s v="PC00-30-03-003"/>
        <s v="PC00-30-03-004"/>
        <s v="PC00-30-04"/>
        <s v="PC00-30-04-001"/>
        <s v="PC00-30-04-002"/>
        <s v="PC00-30-04-003"/>
        <s v="PC00-30-05"/>
        <s v="PC00-30-05-001"/>
        <s v="PC00-30-05-002"/>
        <s v="PC00-30-05-003"/>
        <s v="PC00-30-05-004"/>
        <s v="PC00-30-06"/>
        <s v="PC00-30-06-001"/>
        <s v="PC00-30-06-002"/>
        <s v="PC00-30-06-003"/>
        <s v="PC00-30-06-004"/>
        <s v="PC00-30-07"/>
        <s v="PC00-30-07-001"/>
        <s v="PC00-42"/>
        <s v="PC00-42-01"/>
        <s v="PC00-42-01-001"/>
        <s v="PC00-42-02"/>
        <s v="PC00-42-02-001"/>
        <s v="PC00-44"/>
        <s v="PC00-44-01"/>
        <s v="PC00-44-01-001"/>
        <s v="PC00-45"/>
        <s v="PC00-45-01"/>
        <s v="PC00-45-01-001"/>
        <s v="PC00-45-02"/>
        <s v="PC00-45-02-001"/>
        <s v="PC00-45-03"/>
        <s v="PC00-45-03-001"/>
        <s v="PC00-45-04"/>
        <s v="PC00-45-04-001"/>
        <s v="PC00-45-05"/>
        <s v="PC00-45-05-001"/>
        <s v="PC00-45-05-002"/>
        <s v="PC00-45-06"/>
        <s v="PC00-45-06-001"/>
        <s v="PC00-45-06-002"/>
        <s v="PC00-45-07"/>
        <s v="PC00-45-07-001"/>
        <s v="PC00-46"/>
        <s v="PC00-46-01"/>
        <s v="PC00-46-01-001"/>
        <s v="PC00-46-02"/>
        <s v="PC00-46-02-001"/>
        <s v="PC00-46-03"/>
        <s v="PC00-46-03-001"/>
        <s v="PC00-46-03-002"/>
        <s v="PC00-46-03-003"/>
        <s v="PC00-47"/>
        <s v="PC00-47-01"/>
        <s v="PC00-47-01-001"/>
        <s v="PC00-47-02"/>
        <s v="PC00-47-02-001"/>
        <s v="PC00-50"/>
        <s v="PC00-50-01"/>
        <s v="PC00-50-01-001"/>
        <s v="PC00-50-02"/>
        <s v="PC00-50-02-001"/>
        <s v="PC00-50-03"/>
        <s v="PC00-50-03-001"/>
        <s v="PC00-50-03-002"/>
        <s v="PC00-50-04"/>
        <s v="PC00-50-04-001"/>
        <s v="PC00-50-05"/>
        <s v="PC00-50-05-001"/>
        <s v="PC00-50-06"/>
        <s v="PC00-50-06-001"/>
        <s v="PC00-60"/>
        <s v="PC00-60-01"/>
        <s v="PC00-60-01-001"/>
        <s v="PC00-60-02"/>
        <s v="PC00-60-02-001"/>
        <s v="PC00-60-03"/>
        <s v="PC00-60-03-001"/>
        <s v="PC00-60-04"/>
        <s v="PC00-60-04-001"/>
        <s v="PC00-60-05"/>
        <s v="PC00-60-05-001"/>
        <s v="PC00-60-06"/>
        <s v="PC00-60-06-001"/>
        <s v="PC00-60-07"/>
        <s v="PC00-60-07-001"/>
        <s v="PC00-60-08"/>
        <s v="PC00-60-08-001"/>
        <s v="PC00-60-09"/>
        <s v="PC00-60-09-001"/>
        <s v="PC00-60-10"/>
        <s v="PC00-60-10-001"/>
        <s v="PC00-60-11"/>
        <s v="PC00-60-11-001"/>
        <s v="CM00"/>
        <s v="CM00-20"/>
        <s v="CM00-20-01"/>
        <s v="CM00-20-01-001"/>
        <s v="CM00-20-01-002"/>
        <s v="CM00-20-01-003"/>
        <s v="CM00-20-01-004"/>
        <s v="CM00-20-02"/>
        <s v="CM00-20-02-001"/>
        <s v="CM00-20-02-002"/>
        <s v="CM00-20-04"/>
        <s v="CM00-20-04-001"/>
        <s v="CM00-20-04-002"/>
        <s v="CM00-20-04-003"/>
        <s v="CM00-20-04-004"/>
        <s v="CM00-20-04-005"/>
        <s v="CM00-20-04-006"/>
        <s v="CM00-20-04-007"/>
        <s v="CM00-20-05"/>
        <s v="CM00-20-05-001"/>
        <s v="CM00-20-05-002"/>
        <s v="CM00-20-05-003"/>
        <s v="CM00-20-06"/>
        <s v="CM00-20-06-001"/>
        <s v="CM00-20-06-002"/>
        <s v="CM00-20-07"/>
        <s v="CM00-20-07-001"/>
        <s v="CM00-20-08"/>
        <s v="CM00-20-08-001"/>
        <s v="CM00-20-09"/>
        <s v="CM00-20-09-001"/>
        <s v="CM00-20-09-002"/>
        <s v="CM00-20-10"/>
        <s v="CM00-20-10-001"/>
        <s v="CM00-20-10-002"/>
        <s v="CM00-20-10-003"/>
        <s v="CM00-20-10-004"/>
        <s v="CM00-20-10-005"/>
        <s v="CM00-20-10-006"/>
        <s v="CM00-20-10-007"/>
        <s v="CM00-20-10-008"/>
        <s v="CM00-20-10-009"/>
        <s v="CM00-20-10-010"/>
        <s v="CM00-20-10-011"/>
        <s v="CM00-20-11"/>
        <s v="CM00-20-11-001"/>
        <s v="CM00-20-11-002"/>
        <s v="CM00-20-11-003"/>
        <s v="CM00-20-11-004"/>
        <s v="CM00-20-11-005"/>
        <s v="CM00-20-11-006"/>
        <s v="CM00-20-11-007"/>
        <s v="CM00-20-12"/>
        <s v="CM00-20-12-001"/>
        <s v="CM00-20-12-002"/>
        <s v="CM00-20-12-003"/>
        <s v="CM00-20-12-004"/>
        <s v="CM00-20-12-005"/>
        <s v="CM00-20-12-006"/>
        <s v="CM00-20-12-007"/>
        <s v="CM00-20-12-008"/>
        <s v="CM00-20-13"/>
        <s v="CM00-20-13-001"/>
        <s v="CM00-20-13-002"/>
        <s v="CM00-20-13-003"/>
        <s v="CM00-30"/>
        <s v="CM00-30-01"/>
        <s v="CM00-30-01-001"/>
        <s v="CM00-30-01-002"/>
        <s v="CM00-30-01-003"/>
        <s v="CM00-30-01-004"/>
        <s v="CM00-30-02"/>
        <s v="CM00-30-02-001"/>
        <s v="CM00-30-02-002"/>
        <s v="CM00-30-02-003"/>
        <s v="CM00-30-02-004"/>
        <s v="CM00-30-03"/>
        <s v="CM00-30-03-001"/>
        <s v="CM00-42"/>
        <s v="CM00-42-01"/>
        <s v="CM00-42-01-001"/>
        <s v="CM00-42-01-002"/>
        <s v="CM00-42-02"/>
        <s v="CM00-42-02-001"/>
        <s v="CM00-44"/>
        <s v="CM00-44-01"/>
        <s v="CM00-44-01-001"/>
        <s v="CM00-44-02"/>
        <s v="CM00-44-02-001"/>
        <s v="CM00-45"/>
        <s v="CM00-45-01"/>
        <s v="CM00-45-01-001"/>
        <s v="CM00-45-01-002"/>
        <s v="CM00-45-01-003"/>
        <s v="CM00-45-01-004"/>
        <s v="CM00-46"/>
        <s v="CM00-46-01"/>
        <s v="CM00-46-01-001"/>
        <s v="CM00-46-02"/>
        <s v="CM00-46-02-001"/>
        <s v="CM00-50"/>
        <s v="CM00-50-01"/>
        <s v="CM00-50-01-001"/>
        <s v="CM00-50-02"/>
        <s v="CM00-50-02-001"/>
        <s v="CM00-50-03"/>
        <s v="CM00-50-03-001"/>
        <s v="CM00-50-03-002"/>
        <s v="CM00-50-04"/>
        <s v="CM00-50-04-001"/>
        <s v="CM00-50-05"/>
        <s v="CM00-50-05-001"/>
        <s v="CM00-50-06"/>
        <s v="CM00-50-06-001"/>
        <s v="CM00-60"/>
        <s v="CM00-60-01"/>
        <s v="CM00-60-01-001"/>
        <s v="CM00-60-02"/>
        <s v="CM00-60-02-001"/>
        <s v="CM00-70"/>
        <s v="CM00-70-01"/>
        <s v="CM00-70-01-001"/>
        <s v="DW00"/>
        <s v="DW00-10"/>
        <s v="DW00-10-01"/>
        <s v="DW00-10-01-01"/>
        <s v="DW00-10-01-01-03"/>
        <s v="DW00-10-01-01-04"/>
        <s v="DW00-10-01-01-05"/>
        <s v="DW00-10-01-01-06"/>
        <s v="DW00-10-01-01-07"/>
        <s v="DW00-10-01-01-08"/>
        <s v="DW00-10-01-01-09"/>
        <s v="DW00-10-01-01-10"/>
        <s v="DW00-10-01-01-11"/>
        <s v="DW00-10-01-01-12"/>
        <s v="DW00-10-01-01-13"/>
        <s v="DW00-10-01-01-14"/>
        <s v="DW00-10-01-01-15"/>
        <s v="DW00-10-01-01-16"/>
        <s v="DW00-10-01-01-17"/>
        <s v="DW00-10-01-01-18"/>
        <s v="DW00-10-01-02"/>
        <s v="DW00-10-01-02-04"/>
        <s v="DW00-10-01-02-05"/>
        <s v="DW00-10-01-02-06"/>
        <s v="DW00-10-01-03"/>
        <s v="DW00-10-01-03-05"/>
        <s v="DW00-10-01-03-06"/>
        <s v="DW00-10-01-03-07"/>
        <s v="DW00-10-01-04"/>
        <s v="DW00-10-01-04-01"/>
        <s v="DW00-10-01-04-02"/>
        <s v="DW00-10-01-05"/>
        <s v="DW00-10-01-05-02"/>
        <s v="DW00-10-01-05-03"/>
        <s v="DW00-10-01-05-04"/>
        <s v="DW00-10-02"/>
        <s v="DW00-10-02-01"/>
        <s v="DW00-10-02-01-07"/>
        <s v="DW00-10-02-01-08"/>
        <s v="DW00-10-02-01-09"/>
        <s v="DW00-10-02-01-10"/>
        <s v="DW00-10-02-01-11"/>
        <s v="DW00-10-02-01-12"/>
        <s v="DW00-10-02-03"/>
        <s v="DW00-10-02-03-02"/>
        <s v="DW00-10-02-04"/>
        <s v="DW00-10-02-04-07"/>
        <s v="DW00-10-02-04-08"/>
        <s v="DW00-10-02-04-09"/>
        <s v="DW00-10-02-04-10"/>
        <s v="DW00-10-03"/>
        <s v="DW00-10-03-01"/>
        <s v="DW00-10-03-01-01"/>
        <s v="DW00-10-03-01-02"/>
        <s v="DW00-10-03-01-03"/>
        <s v="DW00-10-03-02"/>
        <s v="DW00-10-03-02-01"/>
        <s v="DW00-10-03-02-02"/>
        <s v="DW00-10-03-02-03"/>
        <s v="DW00-10-03-02-04"/>
        <s v="DW00-10-03-02-05"/>
        <s v="DW00-10-03-02-06"/>
        <s v="DW00-10-03-02-07"/>
        <s v="DW00-10-03-02-08"/>
        <s v="DW00-14"/>
        <s v="DW00-14-01"/>
        <s v="DW00-14-01-01"/>
        <s v="DW00-14-01-01-03"/>
        <m/>
        <s v="CS00-06-01-5"/>
        <s v="CS00-02-01-4"/>
        <s v="CS00-02-01-3"/>
        <s v="CP00-10-02-02"/>
        <s v="DW00-03-01-01-02"/>
        <s v="PN00-04-01-1"/>
        <s v="FW00-16-01-23"/>
        <s v="II00-05-07-23"/>
        <s v="II00-03-01-100"/>
        <s v="II00-03-01-112"/>
        <s v="II00-03-01-118"/>
        <s v="II00-03-01-101"/>
        <s v="II00-03-01-102"/>
        <s v="II00-03-01-106"/>
        <s v="II00-03-01-103"/>
        <s v="EL00-01-01-7"/>
        <s v="II00-05-07-25"/>
        <s v="CS00-02-02-19"/>
        <s v="CS00-02-02-20"/>
        <s v="CS00-02-04-5"/>
        <s v="CS00-02-04-6"/>
        <s v="II00-04-01-40"/>
        <s v="II00-04-01-42"/>
        <s v="II00-04-01-57"/>
        <s v="II00-04-01-39"/>
        <s v="II00-04-01-51"/>
        <s v="II00-04-01-45"/>
        <s v="II00-04-01-41"/>
        <s v="EL00-01-02-9"/>
        <s v="CS00-03-01-12"/>
        <s v="CS00-03-01-16"/>
        <s v="CS00-02-04-1"/>
        <s v="CS00-03-01-15"/>
        <s v="CS00-03-01-11"/>
        <s v="CS00-01-01-15"/>
        <s v="DW00-14-01-01-02"/>
        <s v="EL00-08-02-64"/>
        <s v="EL00-09-02-67"/>
        <s v="EL00-04-03-18"/>
        <s v="PC00-21-14-004"/>
        <s v="CM00-21-14-004"/>
        <s v="EL00-01-01-8"/>
        <s v="EL00-01-02-10"/>
        <s v="PI00-06-02-13"/>
        <s v="II00-03-01-104"/>
        <s v="II00-04-01-43"/>
        <s v="EL00-08-02-60"/>
        <s v="EL00-09-02-63"/>
        <s v="PF00-02-07-3"/>
        <s v="CS00-06-01-6"/>
        <s v="EL00-08-02-74"/>
        <s v="EL00-09-02-77"/>
        <s v="CS00-02-02-21"/>
        <s v="CS00-03-01-13"/>
        <s v="CS00-02-04-7"/>
        <s v="CS00-03-01-17"/>
        <s v="CS00-02-03-6"/>
        <s v="PE00-15-01-1"/>
        <s v="PE00-15-01-6"/>
        <s v="PE00-15-01-5"/>
        <s v="PN00-03-10-1"/>
        <s v="CS00-02-05-1"/>
        <s v="HU00-01-08-7"/>
        <s v="CS00-01-02-21"/>
        <s v="DW00-01-03-01-04"/>
        <s v="CW00-01-01-6"/>
        <s v="CW00-01-02-9"/>
        <s v="CW00-01-05-27"/>
        <s v="CW00-04-04-10"/>
        <s v="CS00-02-02-3"/>
        <s v="CS00-02-02-2"/>
        <s v="CS00-02-02-1"/>
        <s v="II00-03-03-39"/>
        <s v="II00-03-03-37"/>
        <s v="II00-03-03-36"/>
        <s v="II00-03-03-42"/>
      </sharedItems>
    </cacheField>
    <cacheField name="Наименование ЕР" numFmtId="0">
      <sharedItems containsBlank="1" count="1625" longText="1">
        <s v="Общестроительные работы"/>
        <s v="Земляные работы и благоустройство"/>
        <s v="Выемка грунта"/>
        <s v="Разработка грунта в ручную"/>
        <s v="Разработка грунта в отвал механизированным способом, под проектную высотную отметку (III, IV кат. грунта) включая работы в карьере и котловане"/>
        <s v="Обратная засыпка"/>
        <s v="Устройство основания песком - траншеи (для прокладки труб, кабелей, нестандартных фундаментов, под тротуары, пазух фундаментов, дренажных емкостей и т.д.), с уплотнением"/>
        <s v="Устройство основания (обратная засыпка) местным грунтом (хранимым материалом), с уплотнением"/>
        <s v="Обратная засыпка вручную"/>
        <s v="Бетонные работы"/>
        <s v="Бетонирование монолитных конструкций из тяжелого бетона"/>
        <s v="Бетонирование фундаментов, ростверков, плит и т.д."/>
        <s v="Монтаж закладных деталей"/>
        <s v="Штробление и алмазное бурение"/>
        <s v="Алмазное бурение"/>
        <s v="Алмазное бурение Кирпичных стен диаметром до 100 мм"/>
        <s v="Алмазное бурение Кирпичных стен диаметром от 101 до 150 мм"/>
        <s v="Алмазное бурение Кирпичных стен диаметром от 151 до 200 мм"/>
        <s v="Алмазное бурение Кирпичных стен диаметром от 201 до 250 мм"/>
        <s v="Алмазное бурение Кирпичных стен диаметром от 251 до 300 мм"/>
        <s v="Алмазное бурение Кирпичных стен диаметром от 301 до 350 мм"/>
        <s v="Алмазное бурение Кирпичных стен диаметром от 351 до 400 мм"/>
        <s v="Алмазное бурение Кирпичных стен диаметром от 401 до 450 мм"/>
        <s v="Алмазное бурение Кирпичных стен диаметром от 451 до 500 мм"/>
        <s v="Алмазное бурение Кирпичных стен диаметром от 501 до 550 мм"/>
        <s v="Алмазное бурение Кирпичных стен диаметром свыше 551 мм"/>
        <s v="Алмазное бурение Бетонных/Железобетонных стен диаметром до 100 мм"/>
        <s v="Алмазное бурение Бетонных/Железобетонных стен диаметром от 101 до 150 мм"/>
        <s v="Алмазное бурение Бетонных/Железобетонных стен диаметром от 151 до 200 мм"/>
        <s v="Алмазное бурение Бетонных/Железобетонных стен диаметром от 201 до 250 мм"/>
        <s v="Алмазное бурение Бетонных/Железобетонных стен диаметром от 251 до 300 мм"/>
        <s v="Алмазное бурение Бетонных/Железобетонных стен диаметром от 301 до 350 мм"/>
        <s v="Алмазное бурение Бетонных/Железобетонных стен диаметром от 351 до 400 мм"/>
        <s v="Алмазное бурение Бетонных/Железобетонных стен диаметром от 401 до 450 мм"/>
        <s v="Алмазное бурение Бетонных/Железобетонных стен диаметром от 451 до 500 мм"/>
        <s v="Алмазное бурение Бетонных/Железобетонных стен диаметром от 501 до 550 мм"/>
        <s v="Алмазное бурение Бетонных/Железобетонных стен диаметром свыше 551 мм"/>
        <s v="Штробление стен"/>
        <s v="Устройство штробы в бетонной стене"/>
        <s v="Устройство штробы в кирпичной стене"/>
        <s v="Монтаж металлоконструкций"/>
        <s v="Сборка / установка основных металлоконструкций"/>
        <s v="Конструкции под оборудование (этажерки в т.ч. опоры обвязки, площадки, кабельные и другие конструкции за исключением вспомогательных конструкций и акссесуаров): монтаж основных металлоконструкций, включая метизную продукцию"/>
        <s v="Основные конструкции сооружения (колонны, балки, связи, прогоны, фахверковые конструкции, подкрановые пути)"/>
        <s v="Второстепенные конструкции (площадки, опоры обвязки, кронштейны, кабельные конструкции и т.д.)"/>
        <s v="Конструкции эстакад в т.ч. опоры обвязки, площадки, кабельные и другие конструкции за исключением вспомогательных конструкций и акссесуаров: монтаж основных металлоконструкций включая метизную продукцию"/>
        <s v="Конструкции зданий и навесов в т.ч. опоры обвязки, площадки, кабельные и другие конструкции за исключением вспомогательных конструкций и акссесуаров: монтаж основных металлоконструкций,включая метизную продукцию"/>
        <s v="Второстепенные конструкции (площадки, опоры обвязки, кронштейны, кабельные конструкции ,воздухозаборные трубы, козырьки и т.д.)"/>
        <s v="Изготовление металлоконструкций"/>
        <s v="Изготовление металлоконструкций в построечных условиях"/>
        <s v="Изготовление металлоконструкций на площадке"/>
        <s v="Специальные работы"/>
        <s v="Усиление существующих конструкций в построечных условиях"/>
        <s v="Усиление существующих металлоконструкций в построечных условиях"/>
        <s v="Электромонтажные работы"/>
        <s v="Монтаж заземления (надземная часть)"/>
        <s v="Заземляющий проводник надземной установки, изолированный ПВХ или голый"/>
        <s v="Монтаж провода заземления, сечением до 10 мм2"/>
        <s v="Монтаж провода заземления, сечением от 16 мм2 до 35 мм2"/>
        <s v="Монтаж провода заземления, сечением от 70 мм2 до 95 мм2"/>
        <s v="Монтаж провода заземления, сечением от 120 мм2 до 240 мм2"/>
        <s v="Монтаж провода заземления, сечением от 95 мм2 до 120 мм2"/>
        <s v="Монтаж провода заземления, сечением от 35 мм2 до 70 мм2"/>
        <s v="Соединение заземляющего провода"/>
        <s v="Оконцевание и присоединение провода заземления, сечением до 10 мм2"/>
        <s v="Оконцевание и присоединение провода заземления, сечением от 16 мм2 до 35 мм2"/>
        <s v="Оконцевание и присоединение провода заземления, сечением от 35 мм2 до 70 мм2"/>
        <s v="Оконцевание и присоединение провода заземления, сечением от 70 мм2 до 95 мм2"/>
        <s v="Оконцевание и присоединение провода заземления, сечением от 95 мм2 до 120 мм2"/>
        <s v="Оконцевание и присоединение провода заземления, сечением от 120 мм2 до 240 мм2"/>
        <s v="Монтаж шин заземления"/>
        <s v="Монтаж главной заземляющей шины от 100 мм2 и более"/>
        <s v="Монтаж полосы заземления в помещениях"/>
        <s v="Монтаж стальной, горячеоцинкованной полосы заземления по строительным конструкциям"/>
        <s v="Монтаж заземления (подземная часть)"/>
        <s v="Монтаж заземляющего проводника, электрода, сталь горячее цинкование"/>
        <s v="Установка стальной, горячеоцинкованной полосы заземления в траншею"/>
        <s v="Установка заземляющего электрода"/>
        <s v="Установка стального заземляющего электрода"/>
        <s v="Устройство системы молниезащиты"/>
        <s v="Монтаж проводника"/>
        <s v="Монтаж стального проводника молниезащиты круглого сечения, до 50мм2"/>
        <s v="Установка медного проводника молниезащиты круглого сечения, до 50мм2"/>
        <s v="Установка молниеприемника"/>
        <s v="Установка медного молниеприемника, высотой до 1 м"/>
        <s v="Устройство стального, горячеоцинкованного молниеприемника, до 6 м на кровлю"/>
        <s v="Устройство мачт молниезащиты"/>
        <s v="Устройство мачты молниезащиты до 10 м"/>
        <s v="Устройство мачты молниезащиты от 10 м до 20 м"/>
        <s v="Устройство мачты молниезащиты от 20 м до 40 м"/>
        <s v="Устройство мачты молниезащиты от 40 м до 60 м"/>
        <s v="Устройство мачты молниезащиты от 60 м до 90 м"/>
        <s v="Монтаж кабеля надземной прокладки"/>
        <s v="Кабель СРЕДНЕГО напряжения, надземная прокладка"/>
        <s v="Монтаж кабеля СРЕДНЕГО напряжения, надземная прокладка, 1-жильный, сечением до 95 мм2"/>
        <s v="Монтаж кабеля СРЕДНЕГО напряжения, надземная прокладка, 1-жильный, сечением 120 мм2"/>
        <s v="Монтаж кабеля СРЕДНЕГО напряжения, надземная прокладка, 1-жильный, сечением 150 мм2"/>
        <s v="Монтаж кабеля СРЕДНЕГО напряжения, надземная прокладка, 1-жильный, сечением 240 мм2"/>
        <s v="Монтаж кабеля СРЕДНЕГО напряжения, надземная прокладка, 1-жильный, сечением 300 мм2"/>
        <s v="Монтаж кабеля СРЕДНЕГО напряжения, надземная прокладка, 1-жильный, сечением 400 мм2"/>
        <s v="Монтаж кабеля СРЕДНЕГО напряжения, надземная прокладка, 1-жильный, сечением 500 мм2"/>
        <s v="Монтаж кабеля СРЕДНЕГО напряжения, надземная прокладка, 1-жильный, сечением 630 мм2"/>
        <s v="Монтаж кабеля СРЕДНЕГО напряжения, надземная прокладка, 1-жильный, сечением 800 мм2"/>
        <s v="Монтаж кабеля СРЕДНЕГО напряжения, надземная прокладка, 1-жильный, сечением 1000 мм2"/>
        <s v="Монтаж кабеля СРЕДНЕГО напряжения, надземная прокладка, 3 жильный, сечением 35 мм2"/>
        <s v="Монтаж кабеля СРЕДНЕГО напряжения, надземная прокладка, 3 жильный, сечением 50 мм2"/>
        <s v="Монтаж кабеля СРЕДНЕГО напряжения, надземная прокладка, 3 жильный, сечением 95 мм2"/>
        <s v="Монтаж кабеля СРЕДНЕГО напряжения, надземная прокладка, 3 жильный, сечением 120 мм2"/>
        <s v="Монтаж кабеля СРЕДНЕГО напряжения, надземная прокладка, 3 жильный, сечением 150 мм2"/>
        <s v="Монтаж кабеля СРЕДНЕГО напряжения, надземная прокладка, 3 жильный, сечением 185 мм2"/>
        <s v="Монтаж кабеля СРЕДНЕГО напряжения, надземная прокладка, 3 жильный, сечением 240 мм2"/>
        <s v="Монтаж кабеля питания и управления НИЗКОГО напряжения, надземная прокладка"/>
        <s v="Монтаж кабеля НИЗКОГО напряжения, надземная прокладка, 1-жильный, сечением 2,5 мм2"/>
        <s v="Монтаж кабеля НИЗКОГО напряжения, надземная прокладка, 1-жильный, сечением 4 мм2"/>
        <s v="Монтаж кабеля НИЗКОГО напряжения, надземная прокладка, 1-жильный, сечением 6 мм2"/>
        <s v="Монтаж кабеля НИЗКОГО напряжения, надземная прокладка, 1-жильный, сечением 10 мм2"/>
        <s v="Монтаж кабеля НИЗКОГО напряжения, надземная прокладка, 1-жильный, сечением 16 мм2"/>
        <s v="Монтаж кабеля НИЗКОГО напряжения, надземная прокладка, 1-жильный, сечением 25 мм2"/>
        <s v="Монтаж кабеля НИЗКОГО напряжения, надземная прокладка, 1-жильный, сечением 35 мм2"/>
        <s v="Монтаж кабеля НИЗКОГО напряжения, надземная прокладка, 1-жильный, сечением 50 мм2"/>
        <s v="Монтаж кабеля НИЗКОГО напряжения, надземная прокладка, 1-жильный, сечением 70 мм2"/>
        <s v="Монтаж кабеля НИЗКОГО напряжения, надземная прокладка, 1-жильный, сечением 95 мм2"/>
        <s v="Монтаж кабеля НИЗКОГО напряжения, надземная прокладка, 1-жильный, сечением 240 мм2"/>
        <s v="Монтаж кабеля НИЗКОГО напряжения, надземная прокладка, 3-5 жильный, сечением 1,5 мм2"/>
        <s v="Монтаж кабеля НИЗКОГО напряжения, надземная прокладка, 3-5 жильный, сечением 2,5 мм2"/>
        <s v="Монтаж кабеля НИЗКОГО напряжения, надземная прокладка, 3-5 жильный, сечением 4 мм2"/>
        <s v="Монтаж кабеля НИЗКОГО напряжения, надземная прокладка, 3-5 жильный, сечением 6 мм2"/>
        <s v="Монтаж кабеля НИЗКОГО напряжения, надземная прокладка, 3 жильный, сечением 10 мм2"/>
        <s v="Монтаж кабеля НИЗКОГО напряжения, надземная прокладка, 3 жильный, сечением 16 мм2"/>
        <s v="Монтаж кабеля НИЗКОГО напряжения, надземная прокладка, 3 жильный, сечением 25 мм2"/>
        <s v="Монтаж кабеля НИЗКОГО напряжения, надземная прокладка, 3 жильный, сечением 35 мм2"/>
        <s v="Монтаж кабеля НИЗКОГО напряжения, надземная прокладка, 3 жильный, сечением 50 мм2"/>
        <s v="Монтаж кабеля НИЗКОГО напряжения, надземная прокладка, 3 жильный, сечением 70 мм2"/>
        <s v="Монтаж кабеля НИЗКОГО напряжения, надземная прокладка, 3 жильный, сечением 95 мм2"/>
        <s v="Монтаж кабеля НИЗКОГО напряжения, надземная прокладка, 3 жильный, сечением 120 мм2"/>
        <s v="Монтаж кабеля НИЗКОГО напряжения, надземная прокладка, 3 жильный, сечением 150 мм2"/>
        <s v="Монтаж кабеля НИЗКОГО напряжения, надземная прокладка, 3 жильный, сечением 185 мм2"/>
        <s v="Монтаж кабеля НИЗКОГО напряжения, надземная прокладка, 3 жильный, сечением 240 мм2"/>
        <s v="Монтаж кабеля НИЗКОГО напряжения, надземная прокладка, 4 жильный, сечением 10 мм2"/>
        <s v="Монтаж кабеля НИЗКОГО напряжения, надземная прокладка, 4 жильный, сечением 16 мм2"/>
        <s v="Монтаж кабеля НИЗКОГО напряжения, надземная прокладка, 4 жильный, сечением 25 мм2"/>
        <s v="Монтаж кабеля НИЗКОГО напряжения, надземная прокладка, 4 жильный, сечением 35 мм2"/>
        <s v="Монтаж кабеля НИЗКОГО напряжения, надземная прокладка, 4 жильный, сечением 50 мм2"/>
        <s v="Монтаж кабеля НИЗКОГО напряжения, надземная прокладка, 4 жильный, сечением 70 мм2"/>
        <s v="Монтаж кабеля НИЗКОГО напряжения, надземная прокладка, 4 жильный, сечением 95 мм2"/>
        <s v="Монтаж кабеля НИЗКОГО напряжения, надземная прокладка, 4 жильный, сечением 120 мм2"/>
        <s v="Монтаж кабеля НИЗКОГО напряжения, надземная прокладка, 4 жильный, сечением 150 мм2"/>
        <s v="Монтаж кабеля НИЗКОГО напряжения, надземная прокладка, 4 жильный, сечением 185 мм2"/>
        <s v="Монтаж кабеля НИЗКОГО напряжения, надземная прокладка, 4 жильный, сечением 240 мм2"/>
        <s v="Монтаж кабеля НИЗКОГО напряжения, надземная прокладка, 5 жильный, сечением 10 мм2"/>
        <s v="Монтаж кабеля НИЗКОГО напряжения, надземная прокладка, 5 жильный, сечением 16 мм2"/>
        <s v="Монтаж кабеля НИЗКОГО напряжения, надземная прокладка, 5 жильный, сечением 25 мм2"/>
        <s v="Монтаж кабеля НИЗКОГО напряжения, надземная прокладка, 5 жильный, сечением 35 мм2"/>
        <s v="Монтаж кабеля НИЗКОГО напряжения, надземная прокладка, 5 жильный, сечением 50 мм2"/>
        <s v="Монтаж кабеля НИЗКОГО напряжения, надземная прокладка, 5 жильный, сечением 70 мм2"/>
        <s v="Монтаж кабеля НИЗКОГО напряжения, надземная прокладка, 5 жильный, сечением 95 мм2"/>
        <s v="Монтаж кабеля НИЗКОГО напряжения, надземная прокладка, 5 жильный, сечением 120 мм2"/>
        <s v="Монтаж кабеля НИЗКОГО напряжения, надземная прокладка, 5 жильный, сечением 150 мм2"/>
        <s v="Монтаж кабеля НИЗКОГО напряжения, надземная прокладка, 5 жильный, сечением 185 мм2"/>
        <s v="Монтаж кабеля НИЗКОГО напряжения, надземная прокладка, 5 жильный, сечением 240 мм2"/>
        <s v="Монтаж кабеля НИЗКОГО напряжения, надземная прокладка, 7 жильный, сечением 1,5 мм2"/>
        <s v="Монтаж кабеля НИЗКОГО напряжения, надземная прокладка, 7 жильный, сечением 2,5 мм2"/>
        <s v="Работы по подключению кабелей"/>
        <s v="Подключение кабеля, СРЕДНЕГО напряжения от 1 кВ до 35 кВ, небронированный"/>
        <s v="Устройство концевой кабельной муфты/заделки/оконцевание жил кабеля/подключение кабеля СРЕДНЕГО напряжения от 1 кВ до 35 кВ, 1-жильный, сечением 150 мм2"/>
        <s v="Устройство концевой кабельной муфты/заделки/оконцевание жил кабеля/подключение кабеля СРЕДНЕГО напряжения от 1 кВ до 35 кВ, 1-жильный, сечением 240 мм2"/>
        <s v="Устройство концевой кабельной муфты/заделки/оконцевание жил кабеля/подключение кабеля СРЕДНЕГО напряжения от 1 кВ до 35 кВ, 1-жильный, сечением 630 мм2"/>
        <s v="Устройство концевой кабельной муфты/заделки/оконцевание жил кабеля/подключение кабеля СРЕДНЕГО напряжения от 1 кВ до 35 кВ, 3 жильный, сечением 120 мм2"/>
        <s v="Устройство концевой кабельной муфты/заделки/оконцевание жил кабеля/подключение кабеля СРЕДНЕГО напряжения от 1 кВ до 35 кВ, 3 жильный, сечением 185 мм2"/>
        <s v="Устройство концевой кабельной муфты/заделки/оконцевание жил кабеля/подключение кабеля СРЕДНЕГО напряжения от 1 кВ до 35 кВ, 3 жильный, сечением 240 мм2"/>
        <s v="Устройство концевой кабельной муфты/заделки/оконцевание жил кабеля/подключение кабеля СРЕДНЕГО напряжения от 1 кВ до 35 кВ, 1-жильный, сечением до 95 мм2"/>
        <s v="Устройство концевой кабельной муфты/заделки/оконцевание жил кабеля/подключение кабеля СРЕДНЕГО напряжения от 1 кВ до 35 кВ, 1-жильный, сечением 300 мм2"/>
        <s v="Устройство концевой кабельной муфты/заделки/оконцевание жил кабеля/подключение кабеля СРЕДНЕГО напряжения от 1 кВ до 35 кВ, 1-жильный, сечением 400 мм2"/>
        <s v="Устройство концевой кабельной муфты/заделки/оконцевание жил кабеля/подключение кабеля СРЕДНЕГО напряжения от 1 кВ до 35 кВ, 1-жильный, сечением 500 мм2"/>
        <s v="Устройство концевой кабельной муфты/заделки/оконцевание жил кабеля/подключение кабеля СРЕДНЕГО напряжения от 1 кВ до 35 кВ, 1-жильный, сечением 800 мм2"/>
        <s v="Устройство концевой кабельной муфты/заделки/оконцевание жил кабеля/подключение кабеля СРЕДНЕГО напряжения от 1 кВ до 35 кВ, 1-жильный, сечением 1000 мм2"/>
        <s v="Устройство концевой кабельной муфты/заделки/оконцевание жил кабеля/подключение кабеля СРЕДНЕГО напряжения от 1 кВ до 35 кВ, 3 жильный, сечением 35 мм2"/>
        <s v="Устройство концевой кабельной муфты/заделки/оконцевание жил кабеля/подключение кабеля СРЕДНЕГО напряжения от 1 кВ до 35 кВ, 3 жильный, сечением 50 мм2"/>
        <s v="Устройство концевой кабельной муфты/заделки/оконцевание жил кабеля/подключение кабеля СРЕДНЕГО напряжения от 1 кВ до 35 кВ, 3 жильный, сечением 95 мм2"/>
        <s v="Устройство концевой кабельной муфты/заделки/оконцевание жил кабеля/подключение кабеля СРЕДНЕГО напряжения от 1 кВ до 35 кВ, 3 жильный, сечением 150 мм2"/>
        <s v="Устройство концевой кабельной муфты/заделки/оконцевание жил кабеля/подключение кабеля СРЕДНЕГО напряжения от 1 кВ до 35 кВ, 1-жильный, сечением 120 мм2"/>
        <s v="Подключение кабеля, НИЗКОГО напряжения до 1 кВ, небронированный"/>
        <s v="Устройство концевой кабельной муфты/заделки/оконцевание жил кабеля/подключение кабеля НИЗКОГО напряжения до 1 кВ, 1-жильный, сечением 2,5 мм2"/>
        <s v="Устройство концевой кабельной муфты/заделки/оконцевание жил кабеля/подключение кабеля НИЗКОГО напряжения до 1 кВ, 1-жильный, сечением 4 мм2"/>
        <s v="Устройство концевой кабельной муфты/заделки/оконцевание жил кабеля/подключение кабеля НИЗКОГО напряжения до 1 кВ, 1-жильный, сечением 6 мм2"/>
        <s v="Устройство концевой кабельной муфты/заделки/оконцевание жил кабеля/подключение кабеля НИЗКОГО напряжения до 1 кВ, 1-жильный, сечением10 мм2"/>
        <s v="Устройство концевой кабельной муфты/заделки/оконцевание жил кабеля/подключение кабеля НИЗКОГО напряжения до 1 кВ, 1-жильный, сечением 16 мм2"/>
        <s v="Устройство концевой кабельной муфты/заделки/оконцевание жил кабеля/подключение кабеля НИЗКОГО напряжения до 1 кВ, 1-жильный, сечением 25 мм2"/>
        <s v="Устройство концевой кабельной муфты/заделки/оконцевание жил кабеля/подключение кабеля НИЗКОГО напряжения до 1 кВ, 1-жильный, сечением 35 мм2"/>
        <s v="Устройство концевой кабельной муфты/заделки/оконцевание жил кабеля/подключение кабеля НИЗКОГО напряжения до 1 кВ, 1-жильный, сечением 50 мм2"/>
        <s v="Устройство концевой кабельной муфты/заделки/оконцевание жил кабеля/подключение кабеля НИЗКОГО напряжения до 1 кВ, 1-жильный, сечением 70 мм2"/>
        <s v="Устройство концевой кабельной муфты/заделки/оконцевание жил кабеля/подключение кабеля НИЗКОГО напряжения до 1 кВ, 1-жильный, сечением 95 мм2"/>
        <s v="Устройство концевой кабельной муфты/заделки/оконцевание жил кабеля/подключение кабеля НИЗКОГО напряжения до 1 кВ, 1-жильный, сечением 240 мм2"/>
        <s v="Устройство концевой кабельной муфты/заделки/оконцевание жил кабеля/подключение кабеля НИЗКОГО напряжения до 1 кВ, 3-5 жильный, сечением 1,5 мм2"/>
        <s v="Устройство концевой кабельной муфты/заделки/оконцевание жил кабеля/подключение кабеля НИЗКОГО напряжения до 1 кВ, 3-5 жильный, сечением 2,5 мм2"/>
        <s v="Устройство концевой кабельной муфты/заделки/оконцевание жил кабеля/подключение кабеля НИЗКОГО напряжения до 1 кВ, 3-5 жильный, сечением 4 мм2"/>
        <s v="Устройство концевой кабельной муфты/заделки/оконцевание жил кабеля/подключение кабеля НИЗКОГО напряжения до 1 кВ, 3-5 жильный, сечением 6 мм2"/>
        <s v="Устройство концевой кабельной муфты/заделки/оконцевание жил кабеля/подключение кабеля НИЗКОГО напряжения до 1 кВ, 3 жильный, сечением 10 мм2"/>
        <s v="Устройство концевой кабельной муфты/заделки/оконцевание жил кабеля/подключение кабеля НИЗКОГО напряжения до 1 кВ, 3 жильный, сечением 16 мм2"/>
        <s v="Устройство концевой кабельной муфты/заделки/оконцевание жил кабеля/подключение кабеля НИЗКОГО напряжения до 1 кВ, 3 жильный, сечением 25 мм2"/>
        <s v="Устройство концевой кабельной муфты/заделки/оконцевание жил кабеля/подключение кабеля НИЗКОГО напряжения до 1 кВ, 3 жильный, сечением 35 мм2"/>
        <s v="Устройство концевой кабельной муфты/заделки/оконцевание жил кабеля/подключение кабеля НИЗКОГО напряжения до 1 кВ, 3 жильный, сечением 50 мм2"/>
        <s v="Устройство концевой кабельной муфты/заделки/оконцевание жил кабеля/подключение кабеля НИЗКОГО напряжения до 1 кВ, 3 жильный, сечением 70 мм2"/>
        <s v="Устройство концевой кабельной муфты/заделки/оконцевание жил кабеля/подключение кабеля НИЗКОГО напряжения до 1 кВ, 3 жильный, сечением 95 мм2"/>
        <s v="Устройство концевой кабельной муфты/заделки/оконцевание жил кабеля/подключение кабеля НИЗКОГО напряжения до 1 кВ, 3 жильный, сечением 120 мм2"/>
        <s v="Устройство концевой кабельной муфты/заделки/оконцевание жил кабеля/подключение кабеля НИЗКОГО напряжения до 1 кВ, 3 жильный, сечением 150 мм2"/>
        <s v="Устройство концевой кабельной муфты/заделки/оконцевание жил кабеля/подключение кабеля НИЗКОГО напряжения до 1 кВ, 3 жильный, сечением 185 мм2"/>
        <s v="Устройство концевой кабельной муфты/заделки/оконцевание жил кабеля/подключение кабеля НИЗКОГО напряжения до 1 кВ, 3 жильный, сечением 240 мм2"/>
        <s v="Устройство концевой кабельной муфты/заделки/оконцевание жил кабеля/подключение кабеля НИЗКОГО напряжения до 1 кВ, 4 жильный, сечением 10 мм2"/>
        <s v="Устройство концевой кабельной муфты/заделки/оконцевание жил кабеля/подключение кабеля НИЗКОГО напряжения до 1 кВ, 4 жильный, сечением 16 мм2"/>
        <s v="Устройство концевой кабельной муфты/заделки/оконцевание жил кабеля/подключение кабеля НИЗКОГО напряжения до 1 кВ, 4 жильный, сечением 25 мм2"/>
        <s v="Устройство концевой кабельной муфты/заделки/оконцевание жил кабеля/подключение кабеля НИЗКОГО напряжения до 1 кВ, 4 жильный, сечением 35 мм2"/>
        <s v="Устройство концевой кабельной муфты/заделки/оконцевание жил кабеля/подключение кабеля НИЗКОГО напряжения до 1 кВ, 4 жильный, сечением 50 мм2"/>
        <s v="Устройство концевой кабельной муфты/заделки/оконцевание жил кабеля/подключение кабеля НИЗКОГО напряжения до 1 кВ, 4 жильный, сечением 70 мм2"/>
        <s v="Устройство концевой кабельной муфты/заделки/оконцевание жил кабеля/подключение кабеля НИЗКОГО напряжения до 1 кВ, 4 жильный, сечением 95 мм2"/>
        <s v="Устройство концевой кабельной муфты/заделки/оконцевание жил кабеля/подключение кабеля НИЗКОГО напряжения до 1 кВ, 4 жильный, сечением 120 мм2"/>
        <s v="Устройство концевой кабельной муфты/заделки/оконцевание жил кабеля/подключение кабеля НИЗКОГО напряжения до 1 кВ, 4 жильный, сечением 150 мм2"/>
        <s v="Устройство концевой кабельной муфты/заделки/оконцевание жил кабеля/подключение кабеля НИЗКОГО напряжения до 1 кВ, 4 жильный, сечением 185 мм2"/>
        <s v="Устройство концевой кабельной муфты/заделки/оконцевание жил кабеля/подключение кабеля НИЗКОГО напряжения до 1 кВ, 4 жильный, сечением 240 мм2"/>
        <s v="Устройство концевой кабельной муфты/заделки/оконцевание жил кабеля/подключение кабеля НИЗКОГО напряжения до 1 кВ, 5 жильный, сечением 10 мм2"/>
        <s v="Устройство концевой кабельной муфты/заделки/оконцевание жил кабеля/подключение кабеля НИЗКОГО напряжения до 1 кВ, 5 жильный, сечением 16 мм2"/>
        <s v="Устройство концевой кабельной муфты/заделки/оконцевание жил кабеля/подключение кабеля НИЗКОГО напряжения до 1 кВ, 5 жильный, сечением 25 мм2"/>
        <s v="Устройство концевой кабельной муфты/заделки/оконцевание жил кабеля/подключение кабеля НИЗКОГО напряжения до 1 кВ, 5 жильный, сечением 35 мм2"/>
        <s v="Устройство концевой кабельной муфты/заделки/оконцевание жил кабеля/подключение кабеля НИЗКОГО напряжения до 1 кВ, 5 жильный, сечением 50 мм2"/>
        <s v="Устройство концевой кабельной муфты/заделки/оконцевание жил кабеля/подключение кабеля НИЗКОГО напряжения до 1 кВ, 5 жильный, сечением 70 мм2"/>
        <s v="Устройство концевой кабельной муфты/заделки/оконцевание жил кабеля/подключение кабеля НИЗКОГО напряжения до 1 кВ, 5 жильный, сечением 95 мм2"/>
        <s v="Устройство концевой кабельной муфты/заделки/оконцевание жил кабеля/подключение кабеля НИЗКОГО напряжения до 1 кВ, 5 жильный, сечением 120 мм2"/>
        <s v="Устройство концевой кабельной муфты/заделки/оконцевание жил кабеля/подключение кабеля НИЗКОГО напряжения до 1 кВ, 5 жильный, сечением 150 мм2"/>
        <s v="Устройство концевой кабельной муфты/заделки/оконцевание жил кабеля/подключение кабеля НИЗКОГО напряжения до 1 кВ, 5 жильный, сечением 185 мм2"/>
        <s v="Устройство концевой кабельной муфты/заделки/оконцевание жил кабеля/подключение кабеля НИЗКОГО напряжения до 1 кВ, 5 жильный, сечением 240 мм2"/>
        <s v="Устройство концевой кабельной муфты/заделки/оконцевание жил кабеля/подключение кабеля НИЗКОГО напряжения до 1 кВ, 7 жильный, сечением 1,5 мм2"/>
        <s v="Устройство концевой кабельной муфты/заделки/оконцевание жил кабеля/подключение кабеля НИЗКОГО напряжения до 1 кВ, 7 жильный, сечением 2,5 мм2"/>
        <s v="Подключение кабеля, медного НИЗКОГО напряжения до 1 кВ, бронированный"/>
        <s v="Устройство концевой кабельной муфты/заделки/оконцевание жил кабеля/подключение кабеля НИЗКОГО напряжения до 1 кВ, 1-жильный, сечением 2,5 мм2, бронированный"/>
        <s v="Устройство концевой кабельной муфты/заделки/оконцевание жил кабеля/подключение кабеля НИЗКОГО напряжения до 1 кВ, 1-жильный, сечением 4 мм2, бронированный"/>
        <s v="Устройство концевой кабельной муфты/заделки/оконцевание жил кабеля/подключение кабеля НИЗКОГО напряжения до 1 кВ, 1-жильный, сечением 6 мм2, бронированный"/>
        <s v="Устройство концевой кабельной муфты/заделки/оконцевание жил кабеля/подключение кабеля НИЗКОГО напряжения до 1 кВ, 1-жильный, сечением 10 мм2, бронированный"/>
        <s v="Устройство концевой кабельной муфты/заделки/оконцевание жил кабеля/подключение кабеля НИЗКОГО напряжения до 1 кВ, 1-жильный, сечением 16 мм2, бронированный"/>
        <s v="Устройство концевой кабельной муфты/заделки/оконцевание жил кабеля/подключение кабеля НИЗКОГО напряжения до 1 кВ, 1-жильный, сечением 25 мм2, бронированный"/>
        <s v="Устройство концевой кабельной муфты/заделки/оконцевание жил кабеля/подключение кабеля НИЗКОГО напряжения до 1 кВ, 1-жильный, сечением 35 мм2, бронированный"/>
        <s v="Устройство концевой кабельной муфты/заделки/оконцевание жил кабеля/подключение кабеля НИЗКОГО напряжения до 1 кВ, 1-жильный, сечением 50 мм2, бронированный"/>
        <s v="Устройство концевой кабельной муфты/заделки/оконцевание жил кабеля/подключение кабеля НИЗКОГО напряжения до 1 кВ, 1-жильный, сечением 70 мм2, бронированный"/>
        <s v="Устройство концевой кабельной муфты/заделки/оконцевание жил кабеля/подключение кабеля НИЗКОГО напряжения до 1 кВ, 1-жильный, сечением 95 мм2, бронированный"/>
        <s v="Устройство концевой кабельной муфты/заделки/оконцевание жил кабеля/подключение кабеля НИЗКОГО напряжения до 1 кВ, 1-жильный, сечением 240 мм2, бронированный"/>
        <s v="Устройство концевой кабельной муфты/заделки/оконцевание жил кабеля/подключение кабеля НИЗКОГО напряжения до 1 кВ, 3-5 жильный, сечением 1,5 мм2, бронированный"/>
        <s v="Устройство концевой кабельной муфты/заделки/оконцевание жил кабеля/подключение кабеля НИЗКОГО напряжения до 1 кВ, 3-5 жильный, сечением 2,5 мм2, бронированный"/>
        <s v="Устройство концевой кабельной муфты/заделки/оконцевание жил кабеля/подключение кабеля НИЗКОГО напряжения до 1 кВ, 3-5 жильный, сечением 4 мм2, бронированный"/>
        <s v="Устройство концевой кабельной муфты/заделки/оконцевание жил кабеля/подключение кабеля НИЗКОГО напряжения до 1 кВ, 3-5 жильный, сечением 6 мм2, бронированный"/>
        <s v="Устройство концевой кабельной муфты/заделки/оконцевание жил кабеля/подключение кабеля НИЗКОГО напряжения до 1 кВ, 3 жильный, сечением 10 мм2, бронированный"/>
        <s v="Устройство концевой кабельной муфты/заделки/оконцевание жил кабеля/подключение кабеля НИЗКОГО напряжения до 1 кВ, 3 жильный, сечением 16 мм2, бронированный"/>
        <s v="Устройство концевой кабельной муфты/заделки/оконцевание жил кабеля/подключение кабеля НИЗКОГО напряжения до 1 кВ, 3 жильный, сечением 25 мм2, бронированный"/>
        <s v="Устройство концевой кабельной муфты/заделки/оконцевание жил кабеля/подключение кабеля НИЗКОГО напряжения до 1 кВ, 3 жильный, сечением 35 мм2, бронированный"/>
        <s v="Устройство концевой кабельной муфты/заделки/оконцевание жил кабеля/подключение кабеля НИЗКОГО напряжения до 1 кВ, 3 жильный, сечением 50 мм2, бронированный"/>
        <s v="Устройство концевой кабельной муфты/заделки/оконцевание жил кабеля/подключение кабеля НИЗКОГО напряжения до 1 кВ, 3 жильный, сечением 70 мм2, бронированный"/>
        <s v="Устройство концевой кабельной муфты/заделки/оконцевание жил кабеля/подключение кабеля НИЗКОГО напряжения до 1 кВ, 3 жильный, сечением 95 мм2, бронированный"/>
        <s v="Устройство концевой кабельной муфты/заделки/оконцевание жил кабеля/подключение кабеля НИЗКОГО напряжения до 1 кВ, 3 жильный, сечением 120 мм2, бронированный"/>
        <s v="Устройство концевой кабельной муфты/заделки/оконцевание жил кабеля/подключение кабеля НИЗКОГО напряжения до 1 кВ, 3 жильный, сечением 150 мм2, бронированный"/>
        <s v="Устройство концевой кабельной муфты/заделки/оконцевание жил кабеля/подключение кабеля НИЗКОГО напряжения до 1 кВ, 3 жильный, сечением 185 мм2, бронированный"/>
        <s v="Устройство концевой кабельной муфты/заделки/оконцевание жил кабеля/подключение кабеля НИЗКОГО напряжения до 1 кВ, 3 жильный, сечением 240 мм2, бронированный"/>
        <s v="Устройство концевой кабельной муфты/заделки/оконцевание жил кабеля/подключение кабеля НИЗКОГО напряжения до 1 кВ, 4 жильный, сечением 10 мм2, бронированный"/>
        <s v="Устройство концевой кабельной муфты/заделки/оконцевание жил кабеля/подключение кабеля НИЗКОГО напряжения до 1 кВ, 4 жильный, сечением 16 мм2, бронированный"/>
        <s v="Устройство концевой кабельной муфты/заделки/оконцевание жил кабеля/подключение кабеля НИЗКОГО напряжения до 1 кВ, 4 жильный, сечением 25 мм2, бронированный"/>
        <s v="Устройство концевой кабельной муфты/заделки/оконцевание жил кабеля/подключение кабеля НИЗКОГО напряжения до 1 кВ, 4 жильный, сечением 35 мм2, бронированный"/>
        <s v="Устройство концевой кабельной муфты/заделки/оконцевание жил кабеля/подключение кабеля НИЗКОГО напряжения до 1 кВ, 4 жильный, сечением 50 мм2, бронированный"/>
        <s v="Устройство концевой кабельной муфты/заделки/оконцевание жил кабеля/подключение кабеля НИЗКОГО напряжения до 1 кВ, 4 жильный, сечением 70 мм2, бронированный"/>
        <s v="Устройство концевой кабельной муфты/заделки/оконцевание жил кабеля/подключение кабеля НИЗКОГО напряжения до 1 кВ, 4 жильный, сечением 95 мм2, бронированный"/>
        <s v="Устройство концевой кабельной муфты/заделки/оконцевание жил кабеля/подключение кабеля НИЗКОГО напряжения до 1 кВ, 4 жильный, сечением 120 мм2, бронированный"/>
        <s v="Устройство концевой кабельной муфты/заделки/оконцевание жил кабеля/подключение кабеля НИЗКОГО напряжения до 1 кВ, 4 жильный, сечением 150 мм2, бронированный"/>
        <s v="Устройство концевой кабельной муфты/заделки/оконцевание жил кабеля/подключение кабеля НИЗКОГО напряжения до 1 кВ, 4 жильный, сечением 185 мм2, бронированный"/>
        <s v="Устройство концевой кабельной муфты/заделки/оконцевание жил кабеля/подключение кабеля НИЗКОГО напряжения до 1 кВ, 4 жильный, сечением 240 мм2, бронированный"/>
        <s v="Устройство концевой кабельной муфты/заделки/оконцевание жил кабеля/подключение кабеля НИЗКОГО напряжения до 1 кВ, 5 жильный, сечением 10 мм2, бронированный"/>
        <s v="Устройство концевой кабельной муфты/заделки/оконцевание жил кабеля/подключение кабеля НИЗКОГО напряжения до 1 кВ, 5 жильный, сечением 16 мм2, бронированный"/>
        <s v="Устройство концевой кабельной муфты/заделки/оконцевание жил кабеля/подключение кабеля НИЗКОГО напряжения до 1 кВ, 5 жильный, сечением 25 мм2, бронированный"/>
        <s v="Устройство концевой кабельной муфты/заделки/оконцевание жил кабеля/подключение кабеля НИЗКОГО напряжения до 1 кВ, 5 жильный, сечением 35 мм2, бронированный"/>
        <s v="Устройство концевой кабельной муфты/заделки/оконцевание жил кабеля/подключение кабеля НИЗКОГО напряжения до 1 кВ, 5 жильный, сечением 50 мм2, бронированный"/>
        <s v="Устройство концевой кабельной муфты/заделки/оконцевание жил кабеля/подключение кабеля НИЗКОГО напряжения до 1 кВ, 5 жильный, сечением 70 мм2, бронированный"/>
        <s v="Устройство концевой кабельной муфты/заделки/оконцевание жил кабеля/подключение кабеля НИЗКОГО напряжения до 1 кВ, 5 жильный, сечением 95 мм2, бронированный"/>
        <s v="Устройство концевой кабельной муфты/заделки/оконцевание жил кабеля/подключение кабеля НИЗКОГО напряжения до 1 кВ, 5 жильный, сечением 120 мм2, бронированный"/>
        <s v="Устройство концевой кабельной муфты/заделки/оконцевание жил кабеля/подключение кабеля НИЗКОГО напряжения до 1 кВ, 5 жильный, сечением 150 мм2, бронированный"/>
        <s v="Устройство концевой кабельной муфты/заделки/оконцевание жил кабеля/подключение кабеля НИЗКОГО напряжения до 1 кВ, 5 жильный, сечением 185 мм2, бронированный"/>
        <s v="Устройство концевой кабельной муфты/заделки/оконцевание жил кабеля/подключение кабеля НИЗКОГО напряжения до 1 кВ, 5 жильный, сечением 240 мм2, бронированный"/>
        <s v="Устройство концевой кабельной муфты/заделки/оконцевание жил кабеля/подключение кабеля НИЗКОГО напряжения до 1 кВ, 7 жильный, сечением 1,5 мм2, бронированный"/>
        <s v="Устройство концевой кабельной муфты/заделки/оконцевание жил кабеля/подключение кабеля НИЗКОГО напряжения до 1 кВ, 7 жильный, сечением 2,5 мм2, бронированный"/>
        <s v="Монтаж полевого оборудования (система освещения/розеточная сеть/щиты/шкафы управления и т.д.)"/>
        <s v="Монтаж уличного освещения (мачты)"/>
        <s v="Установка мачты уличного освещения до 3 м"/>
        <s v="Установка мачты уличного освещения от 3 м до 6 м"/>
        <s v="Установка мачты уличного освещения от 6 м до 12 м"/>
        <s v="Установка прожекторной мачты до 20 м"/>
        <s v="Установка прожекторной мачты от 20 м до 40 м"/>
        <s v="Устройство авиационных предупреждающих огней"/>
        <s v="Монтаж авиационной сигнальной лампы"/>
        <s v="Монтаж панели управления авиационными огнями"/>
        <s v="Элементы осветительной сети"/>
        <s v="Монтаж фотоэлемента"/>
        <s v="Монтаж полевых светильников"/>
        <s v="Монтаж полевого светильника, монтируемого на опоре освещения"/>
        <s v="Монтаж полевого светильника, монтируемого на сборную закладную конструкцию"/>
        <s v="Монтаж полевого светильника настенного или потолочного крепления"/>
        <s v="Монтаж указателей направления движения / выхода с креплением на закладную конструкцию, на стену или потолок"/>
        <s v="Монтаж полевого прожектора, монтируемого на мачтах освещения до 250 Вт"/>
        <s v="Монтаж полевого прожектора, монтируемого на мачтах освещения от 250 Вт до 600 Вт"/>
        <s v="Розеточная группа"/>
        <s v="Распределительные/проходные коробки. (наружного исполнения)"/>
        <s v="Монтаж распределительной/проходной коробки (наружного исполнения)"/>
        <s v="Сварочное оборудование"/>
        <s v="Установка сварочного поста"/>
        <s v="Локальные посты питания, управления и защиты, коммутационные аппараты."/>
        <s v="Монтаж локального поста управления"/>
        <s v="Монтаж коммутационных аппаратов в шкаф управления (магнитный пускатель, реле, контактор, автоматический выключатель, УЗО, АВДТ)."/>
        <s v="Монтаж микропроцессорных регуляторов, терминалов управления и защиты."/>
        <s v="Розеточная группа и элементы осветительной сети"/>
        <s v="Установка розетки однофазной скрытой установки"/>
        <s v="Установка розетки однофазной открытой установки"/>
        <s v="Установка комплекта: штепсельная розетка+вилка"/>
        <s v="Установка розетки з-х фазной"/>
        <s v="Монтаж выключатель освещения открытой установки"/>
        <s v="Монтаж выключатель освещения скрытой установки"/>
        <s v="Монтаж оборудования в подстанциях и РП"/>
        <s v="Оборудование среднего напряжения"/>
        <s v="Монтаж оборудования (шкафы, щиты, панели) СРЕДНЕГО напряжения, от 1 кВ до 35 кВ, от 201 до 500 кг"/>
        <s v="Монтаж оборудования (шкафы, щиты, панели) СРЕДНЕГО напряжения, от 1 кВ до 35 кВ, от 501 до 1000 кг"/>
        <s v="Монтаж оборудования (шкафы, щиты, панели) СРЕДНЕГО напряжения, от 1 кВ до 35 кВ, от 1000 до 1500 кг"/>
        <s v="Монтаж оборудования (шкафы, щиты, панели) СРЕДНЕГО напряжения, от 1 кВ до 35 кВ, от 1500 до 2000 кг"/>
        <s v="Распределительные устройства НН до 1 кВ, шкафы питания и управления"/>
        <s v="Шинопроводы и токопроводы"/>
        <s v="Изолированный шинопровод с изоляцией типа &quot;сэндвич&quot;, низкого напряжения, до 1000 А"/>
        <s v="Изолированный шинопровод с изоляцией типа &quot;сэндвич&quot;, низкого напряжения, от 1000 А до 2000 А"/>
        <s v="Изолированный шинопровод с изоляцией типа &quot;сэндвич&quot;, низкого напряжения, от 2000 А до 4000 А"/>
        <s v="Изолированный шинопровод с изоляцией типа &quot;сэндвич&quot;, низкого напряжения, от 4000 А до 6300 А"/>
        <s v="Шинопровод с литой изоляцией, среднего напряжения, до 1000 А"/>
        <s v="Шинопровод с литой изоляцией, среднего напряжения, от 1000 А до 2000 А"/>
        <s v="Шинопровод с литой изоляцией, среднего напряжения, от 2000 А до 4000 А"/>
        <s v="Шинопровод с литой изоляцией, среднего напряжения, от 4000 А до 6300 А"/>
        <s v="Шинопровод с воздушной изоляцией, среднего напряжения, до 1000 А"/>
        <s v="Шинопровод с воздушной изоляцией, среднего напряжения, от 1000 А до 2000 А"/>
        <s v="Шинопровод с воздушной изоляцией, среднего напряжения, от 2000 А до 4000 А"/>
        <s v="Шинопровод с воздушной изоляцией, среднего напряжения, от 4000 А до 6300 А"/>
        <s v="Шинопровод с воздушной изоляцией, среднего напряжения, от 6300 А до 9000 А"/>
        <s v="Шинный мост гибкой ошиновки на опорных изоляторах, напряжением до 35кВ (1 пролет, 3 фазы, 1 провод в фазе)"/>
        <s v="Трансформаторы"/>
        <s v="Трансформатор, сухого типа, СРЕДНЕГО напряжения, мощностью до 1000 кВА"/>
        <s v="Трансформатор, сухого типа, СРЕДНЕГО напряжения, мощностью от 1000 кВА до 2500 кВА"/>
        <s v="Трансформатор, сухого типа, СРЕДНЕГО напряжения, мощностью от 2500 кВА до 3150 кВА"/>
        <s v="Трансформатор, масляный, СРЕДНЕГО напряжения, мощностью до 1000 кВА"/>
        <s v="Трансформатор, масляный, СРЕДНЕГО напряжения, мощностью от 1000 кВА до 2500 кВА"/>
        <s v="ДГУ (дизель-генераторная установка)"/>
        <s v="Дизель-генераторный агрегат, внутренняя сборка до 250 кВА"/>
        <s v="Дизель-генераторный агрегат, внутренняя сборка от 250 кВА до 1000 кВА"/>
        <s v="Дизель-генераторный агрегат, внутренняя сборка от 1000 кВА и выше"/>
        <s v="Дизель-генераторный агрегат до 250 кВА, контейнерного исполнения"/>
        <s v="Дизель-генераторный агрегат от 250 кВА до 1000 кВА, контейнерного исполнения"/>
        <s v="Дизель-генераторный агрегат свыше 1000 кВА, контейнерного исполнения"/>
        <s v="Реакторы"/>
        <s v="Реактор СРЕДНЕГО напряжения, от 1 кВ до 35 кВ, литой (1 фазный) внутренней установки в шкаф"/>
        <s v="Реактор СРЕДНЕГО напряжения, от 1 кВ до 35 кВ, фильтровой с магнитным сердечником"/>
        <s v="Реактор СРЕДНЕГО напряжения, от 1 кВ до 35 кВ, бетонный/полимерный (3 фазы) массой до 1000 кг"/>
        <s v="Реактор СРЕДНЕГО напряжения, от 1 кВ до 35 кВ, бетонный/полимерный (3 фазы) массой от 1001 кг до 3000 кг"/>
        <s v="Реактор СРЕДНЕГО напряжения, от 1 кВ до 35 кВ, бетонный/полимерный (3 фазы) массой от 3001 кг до 5000 кг"/>
        <s v="Реактор СРЕДНЕГО напряжения, от 1 кВ до 35 кВ, бетонный/полимерный (3 фазы) массой от 5001 кг до 7000 кг"/>
        <s v="Реактор СРЕДНЕГО напряжения, от 1 кВ до 35 кВ, бетонный/полимерный (3 фазы) массой более 7000 кг"/>
        <s v="Реактор СРЕДНЕГО напряжения, от 1 кВ до 35 кВ, ВЧ заградитель подвесной (3 фазы)"/>
        <s v="Щитовое оборудование до 1кВ"/>
        <s v="Малые силовые шкафы, до 50 кг"/>
        <s v="Малые силовые шкафы, от 50 до 100 кг"/>
        <s v="Малые силовые шкафы, от 100 до 200 кг"/>
        <s v="Монтаж распределительных устройств НН до 1 кВ, шкафов питания и управления, до 300 кг"/>
        <s v="Монтаж распределительных устройств НН до 1 кВ, шкафов питания и управления, от 300 кг до 500 кг"/>
        <s v="Монтаж распределительных устройств НН до 1 кВ, шкафов питания и управления, от 500 кг до 700 кг"/>
        <s v="Монтаж распределительных устройств НН до 1 кВ, шкафов питания и управления, от 700 кг до 1000 кг"/>
        <s v="Источники бесперебойного питания, цепи управления постоянного тока"/>
        <s v="Монтаж аккумуляторных батарей"/>
        <s v="Монтаж шкафов/стоек для аккамуляторных батарей, с общим весом аккумуляторной сборки до 500 кг"/>
        <s v="Монтаж шкафов/стоек для аккамуляторных батарей, с общим весом аккумуляторной сборки от 500 кг до 1000 кг"/>
        <s v="Монтаж шкафов/стоек для аккамуляторных батарей, с общим весом аккумуляторной сборки от 1000 кг до 2000 кг"/>
        <s v="Монтаж шкафов ИБП, до 1800 кг"/>
        <s v="Монтаж шкафов ИБП, от 1800 кг до 3100 кг"/>
        <s v="Монтаж шкафов ИБП, от 3100 кг до 4700 кг"/>
        <s v="Монтаж шкафов ИБП, от 4700 кг до 6400 кг"/>
        <s v="Монтаж шкафа цепей управления постоянного тока, до 1000кг"/>
        <s v="Монтаж шкафа цепей управления постоянного тока, свыше 1000 кг"/>
        <s v="Частотные преобразователи, устройства плавного пуска, системы возбуждения синхронных электродвигателей"/>
        <s v="Монтаж частотных преобразователей, устройств плавного пуска до 5 кг"/>
        <s v="Монтаж частотных преобразователей весом до 30кг"/>
        <s v="Монтаж шкафа плавного пуска (частотный преобразователь), до 1000 кг"/>
        <s v="Монтаж шкафа плавного пуска (частотный преобразователь), от 1000 кг до 1500 кг"/>
        <s v="Монтаж шкафа плавного пуска (частотный преобразователь), от 1500 кг до 2000 кг"/>
        <s v="Монтаж системы возбуждения синхронного электродвигателя."/>
        <s v="Монтаж шкафа управления электроприводами низкого напряжения."/>
        <s v="Монтаж оборудования в помещениях"/>
        <s v="Светильники светодиодные"/>
        <s v="Монтаж светильника светодиодного настенного исполнения"/>
        <s v="Монтаж светильника светодиодного на закладной конструкции, стойке."/>
        <s v="Монтаж светильника светодиодного потолочный (Накладной)"/>
        <s v="Монтаж светильника типа выход/указатель направления, с пиктограммой, настенного или подвесного исполнения (закладная/шпильки)"/>
        <s v="Монтаж светильников для потолочных систем по типу &quot;Армстронг&quot; их аналогов. "/>
        <s v="Монтаж подвесного светильника (на тросовом подвесе)"/>
        <s v="Распределительные/проходные коробки"/>
        <s v="Монтаж распределительной/проходной коробки (внутреннего исполнения)"/>
        <s v="Монтаж взрывозащищенной коробки "/>
        <s v="Прокладка кабеля под землей"/>
        <s v="Кабель, подземная укладка непосредственно в грунт, НИЗКОГО напряжения"/>
        <s v="Прокладка кабеля в готовой траншее кабеля, НИЗКОГО напряжения, 1-жильный, сечением 2,5 мм2"/>
        <s v="Прокладка кабеля в готовой траншее кабеля, НИЗКОГО напряжения, 1-жильный, сечением 4 мм2"/>
        <s v="Прокладка кабеля в готовой траншее кабеля, НИЗКОГО напряжения, 1-жильный, сечением 6 мм2"/>
        <s v="Прокладка кабеля в готовой траншее кабеля, НИЗКОГО напряжения, 1-жильный, сечением 10 мм2"/>
        <s v="Прокладка кабеля в готовой траншее кабеля, НИЗКОГО напряжения, 1-жильный, сечением 16 мм2"/>
        <s v="Прокладка кабеля в готовой траншее кабеля, НИЗКОГО напряжения, 1-жильный, сечением 25 мм2"/>
        <s v="Прокладка кабеля в готовой траншее кабеля, НИЗКОГО напряжения, 1-жильный, сечением 35 мм2"/>
        <s v="Прокладка кабеля в готовой траншее кабеля, НИЗКОГО напряжения, 1-жильный, сечением 50 мм2"/>
        <s v="Прокладка кабеля в готовой траншее кабеля, НИЗКОГО напряжения, 1-жильный, сечением 70 мм2"/>
        <s v="Прокладка кабеля в готовой траншее кабеля, НИЗКОГО напряжения, 1-жильный, сечением 95 мм2"/>
        <s v="Прокладка кабеля в готовой траншее кабеля, НИЗКОГО напряжения, 1-жильный, сечением 240 мм2"/>
        <s v="Прокладка кабеля в готовой траншее кабеля, НИЗКОГО напряжения, 3-5 жильный, сечением 1,5 мм2"/>
        <s v="Прокладка кабеля в готовой траншее кабеля, НИЗКОГО напряжения, 3-5 жильный, сечением 2,5 мм2"/>
        <s v="Прокладка кабеля в готовой траншее кабеля, НИЗКОГО напряжения, 3-5 жильный, сечением 4 мм2"/>
        <s v="Прокладка кабеля в готовой траншее кабеля, НИЗКОГО напряжения, 3-5 жильный, сечением 6 мм2"/>
        <s v="Прокладка кабеля в готовой траншее кабеля, НИЗКОГО напряжения, 3 жильный, сечением 10 мм2"/>
        <s v="Прокладка кабеля в готовой траншее кабеля, НИЗКОГО напряжения, 3 жильный, сечением 16 мм2"/>
        <s v="Прокладка кабеля в готовой траншее кабеля, НИЗКОГО напряжения, 3 жильный, сечением 25 мм2"/>
        <s v="Прокладка кабеля в готовой траншее кабеля, НИЗКОГО напряжения, 3 жильный, сечением 35 мм2"/>
        <s v="Прокладка кабеля в готовой траншее кабеля, НИЗКОГО напряжения, 3 жильный, сечением 50 мм2"/>
        <s v="Прокладка кабеля в готовой траншее кабеля, НИЗКОГО напряжения, 3 жильный, сечением 70 мм2"/>
        <s v="Прокладка кабеля в готовой траншее кабеля, НИЗКОГО напряжения, 3 жильный, сечением 95 мм2"/>
        <s v="Прокладка кабеля в готовой траншее кабеля, НИЗКОГО напряжения, 3 жильный, сечением 120 мм2"/>
        <s v="Прокладка кабеля в готовой траншее кабеля, НИЗКОГО напряжения, 3 жильный, сечением 150 мм2"/>
        <s v="Прокладка кабеля в готовой траншее кабеля, НИЗКОГО напряжения, 3 жильный, сечением 185 мм2"/>
        <s v="Прокладка кабеля в готовой траншее кабеля, НИЗКОГО напряжения, 3 жильный, сечением 240 мм2"/>
        <s v="Прокладка кабеля в готовой траншее кабеля, НИЗКОГО напряжения, 4 жильный, сечением 10 мм2"/>
        <s v="Прокладка кабеля в готовой траншее кабеля, НИЗКОГО напряжения, 4 жильный, сечением 16 мм2"/>
        <s v="Прокладка кабеля в готовой траншее кабеля, НИЗКОГО напряжения, 4 жильный, сечением 25 мм2"/>
        <s v="Прокладка кабеля в готовой траншее кабеля, НИЗКОГО напряжения, 4 жильный, сечением 35 мм2"/>
        <s v="Прокладка кабеля в готовой траншее кабеля, НИЗКОГО напряжения, 4 жильный, сечением 50 мм2"/>
        <s v="Прокладка кабеля в готовой траншее кабеля, НИЗКОГО напряжения, 4 жильный, сечением 70 мм2"/>
        <s v="Прокладка кабеля в готовой траншее кабеля, НИЗКОГО напряжения, 4 жильный, сечением 95 мм2"/>
        <s v="Прокладка кабеля в готовой траншее кабеля, НИЗКОГО напряжения, 4 жильный, сечением 120 мм2"/>
        <s v="Прокладка кабеля в готовой траншее кабеля, НИЗКОГО напряжения, 4 жильный, сечением 150 мм2"/>
        <s v="Прокладка кабеля в готовой траншее кабеля, НИЗКОГО напряжения, 4 жильный, сечением 185 мм2"/>
        <s v="Прокладка кабеля в готовой траншее кабеля, НИЗКОГО напряжения, 4 жильный, сечением 240 мм2"/>
        <s v="Прокладка кабеля в готовой траншее кабеля, НИЗКОГО напряжения, 5 жильный, сечением 10 мм2"/>
        <s v="Прокладка кабеля в готовой траншее кабеля, НИЗКОГО напряжения, 5 жильный, сечением 16 мм2"/>
        <s v="Прокладка кабеля в готовой траншее кабеля, НИЗКОГО напряжения, 5 жильный, сечением 25 мм2"/>
        <s v="Прокладка кабеля в готовой траншее кабеля, НИЗКОГО напряжения, 5 жильный, сечением 35 мм2"/>
        <s v="Прокладка кабеля в готовой траншее кабеля, НИЗКОГО напряжения, 5 жильный, сечением 50 мм2"/>
        <s v="Прокладка кабеля в готовой траншее кабеля, НИЗКОГО напряжения, 5 жильный, сечением 70 мм2"/>
        <s v="Прокладка кабеля в готовой траншее кабеля, НИЗКОГО напряжения, 5 жильный, сечением 95 мм2"/>
        <s v="Прокладка кабеля в готовой траншее кабеля, НИЗКОГО напряжения, 5 жильный, сечением 120 мм2"/>
        <s v="Прокладка кабеля в готовой траншее кабеля, НИЗКОГО напряжения, 5 жильный, сечением 150 мм2"/>
        <s v="Прокладка кабеля в готовой траншее кабеля, НИЗКОГО напряжения, 5 жильный, сечением 185 мм2"/>
        <s v="Прокладка кабеля в готовой траншее кабеля, НИЗКОГО напряжения, 5 жильный, сечением 240 мм2"/>
        <s v="Прокладка кабеля в готовой траншее кабеля, НИЗКОГО напряжения, 7 жильный, сечением 1,5 мм2"/>
        <s v="Прокладка кабеля в готовой траншее кабеля, НИЗКОГО напряжения, 7 жильный, сечением 2,5 мм2"/>
        <s v="Кабель, подземная укладка непосредственно в грунт, СРЕДНЕГО напряжения"/>
        <s v="Прокладка кабеля в готовой траншее кабеля, СРЕДНЕГО напряжения, 1-жильный, сечением до 95 мм2"/>
        <s v="Прокладка кабеля в готовой траншее кабеля, СРЕДНЕГО напряжения, 1-жильный, сечением 120 мм2"/>
        <s v="Прокладка кабеля в готовой траншее кабеля, СРЕДНЕГО напряжения, 1-жильный, сечением 150 мм2"/>
        <s v="Прокладка кабеля в готовой траншее кабеля, СРЕДНЕГО напряжения, 1-жильный, сечением 240 мм2"/>
        <s v="Прокладка кабеля в готовой траншее кабеля, СРЕДНЕГО напряжения, 1-жильный, сечением 300 мм2"/>
        <s v="Прокладка кабеля в готовой траншее кабеля, СРЕДНЕГО напряжения, 1-жильный, сечением 400 мм2"/>
        <s v="Прокладка кабеля в готовой траншее кабеля, СРЕДНЕГО напряжения, 1-жильный, сечением 500 мм2"/>
        <s v="Прокладка кабеля в готовой траншее кабеля, СРЕДНЕГО напряжения, 1-жильный, сечением 630 мм2"/>
        <s v="Прокладка кабеля в готовой траншее кабеля, СРЕДНЕГО напряжения, 1-жильный, сечением 800 мм2"/>
        <s v="Прокладка кабеля в готовой траншее кабеля, СРЕДНЕГО напряжения, 1-жильный, сечением 1000 мм2"/>
        <s v="Прокладка кабеля в готовой траншее кабеля, СРЕДНЕГО напряжения, 3 жильный, сечением 50 мм2"/>
        <s v="Прокладка кабеля в готовой траншее кабеля, СРЕДНЕГО напряжения, 3 жильный, сечением 95 мм2"/>
        <s v="Прокладка кабеля в готовой траншее кабеля, СРЕДНЕГО напряжения, 3 жильный, сечением 120 мм2"/>
        <s v="Прокладка кабеля в готовой траншее кабеля, СРЕДНЕГО напряжения, 3 жильный, сечением 150 мм2"/>
        <s v="Прокладка кабеля в готовой траншее кабеля, СРЕДНЕГО напряжения, 3 жильный, сечением 185 мм2"/>
        <s v="Прокладка кабеля в готовой траншее кабеля, СРЕДНЕГО напряжения, 3 жильный, сечением 240 мм2"/>
        <s v="Работы по соединению кабелей"/>
        <s v="Кабель бронированный, НИЗКОГО напряжения до 1 кВ, соединение"/>
        <s v="Устройство соединительной кабельной муфты/заделки кабеля НИЗКОГО напряжения до 1 кВ, 1-жильный, сечением 2,5 мм2, бронированный"/>
        <s v="Устройство соединительной муфты кабеля НИЗКОГО напряжения до 1 кВ, 1-жильный, сечением 4 мм2, бронированный"/>
        <s v="Устройство соединительной муфты кабеля НИЗКОГО напряжения до 1 кВ, 1-жильный, сечением 6 мм2, бронированный"/>
        <s v="Устройство соединительной муфты кабеля НИЗКОГО напряжения до 1 кВ, 1-жильный, сечением 10 мм2, бронированный"/>
        <s v="Устройство соединительной муфты кабеля НИЗКОГО напряжения до 1 кВ, 1-жильный, сечением 16 мм2, бронированный"/>
        <s v="Устройство соединительной муфты кабеля НИЗКОГО напряжения до 1 кВ, 1-жильный, сечением 25 мм2, бронированный"/>
        <s v="Устройство соединительной кабельной муфты/заделки кабеля НИЗКОГО напряжения до 1 кВ, 1-жильный, сечением 35 мм2, бронированный"/>
        <s v="Устройство соединительной кабельной муфты/заделки кабеля НИЗКОГО напряжения до 1 кВ, 1-жильный, сечением 50 мм2, бронированный"/>
        <s v="Устройство соединительной кабельной муфты/заделки кабеля НИЗКОГО напряжения до 1 кВ, 1-жильный, сечением 70 мм2, бронированный"/>
        <s v="Устройство соединительной кабельной муфты/заделки кабеля НИЗКОГО напряжения до 1 кВ, 1-жильный, сечением 95 мм2, бронированный"/>
        <s v="Устройство соединительной кабельной муфты/заделки кабеля НИЗКОГО напряжения до 1 кВ, 1-жильный, сечением 240 мм2, бронированный"/>
        <s v="Устройство соединительной кабельной муфты/заделки кабеля НИЗКОГО напряжения до 1 кВ, 3-5 жильный, сечением 1,5 мм2, бронированный"/>
        <s v="Устройство соединительной кабельной муфты/заделки кабеля НИЗКОГО напряжения до 1 кВ, 3-5 жильный, сечением 2,5 мм2, бронированный"/>
        <s v="Устройство соединительной кабельной муфты/заделки кабеля НИЗКОГО напряжения до 1 кВ, 3-5 жильный, сечением 4 мм2, бронированный"/>
        <s v="Устройство соединительной кабельной муфты/заделки кабеля НИЗКОГО напряжения до 1 кВ, 3-5 жильный, сечением 6 мм2, бронированный"/>
        <s v="Устройство соединительной кабельной муфты/заделки кабеля НИЗКОГО напряжения до 1 кВ, 3 жильный, сечением 10 мм2, бронированный"/>
        <s v="Устройство соединительной кабельной муфты/заделки кабеля НИЗКОГО напряжения до 1 кВ, 3 жильный, сечением 16 мм2, бронированный"/>
        <s v="Устройство соединительной кабельной муфты/заделки кабеля НИЗКОГО напряжения до 1 кВ, 3 жильный, сечением 25 мм2, бронированный"/>
        <s v="Устройство соединительной кабельной муфты/заделки кабеля НИЗКОГО напряжения до 1 кВ, 3 жильный, сечением 35 мм2, бронированный"/>
        <s v="Устройство соединительной кабельной муфты/заделки кабеля НИЗКОГО напряжения до 1 кВ, 3 жильный, сечением 50 мм2, бронированный"/>
        <s v="Устройство соединительной кабельной муфты/заделки кабеля НИЗКОГО напряжения до 1 кВ, 3 жильный, сечением 70 мм2, бронированный"/>
        <s v="Устройство соединительной кабельной муфты/заделки кабеля НИЗКОГО напряжения до 1 кВ, 3 жильный, сечением 95 мм2, бронированный"/>
        <s v="Устройство соединительной кабельной муфты/заделки кабеля НИЗКОГО напряжения до 1 кВ, 3 жильный, сечением 120 мм2, бронированный"/>
        <s v="Устройство соединительной кабельной муфты/заделки кабеля НИЗКОГО напряжения до 1 кВ, 3 жильный, сечением 150 мм2, бронированный"/>
        <s v="Устройство соединительной кабельной муфты/заделки кабеля НИЗКОГО напряжения до 1 кВ, 3 жильный, сечением 185 мм2, бронированный"/>
        <s v="Устройство соединительной кабельной муфты/заделки кабеля НИЗКОГО напряжения до 1 кВ, 3 жильный, сечением 240 мм2, бронированный"/>
        <s v="Устройство соединительной кабельной муфты/заделки кабеля НИЗКОГО напряжения до 1 кВ, 4 жильный, сечением 10 мм2, бронированный"/>
        <s v="Устройство соединительной кабельной муфты/заделки кабеля НИЗКОГО напряжения до 1 кВ, 4 жильный, сечением 16 мм2, бронированный"/>
        <s v="Устройство соединительной кабельной муфты/заделки кабеля НИЗКОГО напряжения до 1 кВ, 4 жильный, сечением 25 мм2, бронированный"/>
        <s v="Устройство соединительной кабельной муфты/заделки кабеля НИЗКОГО напряжения до 1 кВ, 4 жильный, сечением 35 мм2, бронированный"/>
        <s v="Устройство соединительной кабельной муфты/заделки кабеля НИЗКОГО напряжения до 1 кВ, 4 жильный, сечением 50 мм2, бронированный"/>
        <s v="Устройство соединительной кабельной муфты/заделки кабеля НИЗКОГО напряжения до 1 кВ, 4 жильный, сечением 70 мм2, бронированный"/>
        <s v="Устройство соединительной кабельной муфты/заделки кабеля НИЗКОГО напряжения до 1 кВ, 4 жильный, сечением 95 мм2, бронированный"/>
        <s v="Устройство соединительной кабельной муфты/заделки кабеля НИЗКОГО напряжения до 1 кВ, 4 жильный, сечением 120 мм2, бронированный"/>
        <s v="Устройство соединительной кабельной муфты/заделки кабеля НИЗКОГО напряжения до 1 кВ, 4 жильный, сечением 150 мм2, бронированный"/>
        <s v="Устройство соединительной кабельной муфты/заделки кабеля НИЗКОГО напряжения до 1 кВ, 4 жильный, сечением 185 мм2, бронированный"/>
        <s v="Устройство соединительной кабельной муфты/заделки кабеля НИЗКОГО напряжения до 1 кВ, 4 жильный, сечением 240 мм2, бронированный"/>
        <s v="Устройство соединительной кабельной муфты/заделки кабеля НИЗКОГО напряжения до 1 кВ, 5 жильный, сечением 10 мм2, бронированный"/>
        <s v="Устройство соединительной кабельной муфты/заделки кабеля НИЗКОГО напряжения до 1 кВ, 5 жильный, сечением 16 мм2, бронированный"/>
        <s v="Устройство соединительной кабельной муфты/заделки кабеля НИЗКОГО напряжения до 1 кВ, 5 жильный, сечением 25 мм2, бронированный"/>
        <s v="Устройство соединительной кабельной муфты/заделки кабеля НИЗКОГО напряжения до 1 кВ, 5 жильный, сечением 35 мм2, бронированный"/>
        <s v="Устройство соединительной кабельной муфты/заделки кабеля НИЗКОГО напряжения до 1 кВ, 5 жильный, сечением 50 мм2, бронированный"/>
        <s v="Устройство соединительной кабельной муфты/заделки кабеля НИЗКОГО напряжения до 1 кВ, 5 жильный, сечением 70 мм2, бронированный"/>
        <s v="Устройство соединительной кабельной муфты/заделки кабеля НИЗКОГО напряжения до 1 кВ, 5 жильный, сечением 95 мм2, бронированный"/>
        <s v="Устройство соединительной кабельной муфты/заделки кабеля НИЗКОГО напряжения до 1 кВ, 5 жильный, сечением 120 мм2, бронированный"/>
        <s v="Устройство соединительной кабельной муфты/заделки кабеля НИЗКОГО напряжения до 1 кВ, 5 жильный, сечением 150 мм2, бронированный"/>
        <s v="Устройство соединительной кабельной муфты/заделки кабеля НИЗКОГО напряжения до 1 кВ, 5 жильный, сечением 185 мм2, бронированный"/>
        <s v="Устройство соединительной кабельной муфты/заделки кабеля НИЗКОГО напряжения до 1 кВ, 5 жильный, сечением 240 мм2, бронированный"/>
        <s v="Устройство соединительной кабельной муфты/заделки кабеля НИЗКОГО напряжения до 1 кВ, 7 жильный, сечением 1,5 мм2, бронированный"/>
        <s v="Устройство соединительной кабельной муфты/заделки кабеля НИЗКОГО напряжения до 1 кВ, 7 жильный, сечением 2,5 мм2, бронированный"/>
        <s v="Кабель бронированный, СРЕДНЕГО напряжения от 1 кВ до 35 кВ, соединение"/>
        <s v="Устройство соединительной кабельной муфты/заделки кабеля СРЕДНЕГО напряжения от 1 кВ до 35 кВ, 1-жильный, сечением до 95 мм2, бронированный"/>
        <s v="Устройство соединительной кабельной муфты/заделки кабеля СРЕДНЕГО напряжения от 1 кВ до 35 кВ, 1-жильный, сечением 150 мм2, бронированный"/>
        <s v="Устройство соединительной кабельной муфты/заделки кабеля СРЕДНЕГО напряжения от 1 кВ до 35 кВ, 1-жильный, сечением 240 мм2, бронированный"/>
        <s v="Устройство соединительной кабельной муфты/заделки кабеля СРЕДНЕГО напряжения от 1 кВ до 35 кВ, 1-жильный, сечением 300 мм2, бронированный"/>
        <s v="Устройство соединительной кабельной муфты/заделки кабеля СРЕДНЕГО напряжения от 1 кВ до 35 кВ, 1-жильный, сечением 400 мм2, бронированный"/>
        <s v="Устройство соединительной кабельной муфты/заделки кабеля СРЕДНЕГО напряжения от 1 кВ до 35 кВ, 1-жильный, сечением 500 мм2, бронированный"/>
        <s v="Устройство соединительной кабельной муфты/заделки кабеля СРЕДНЕГО напряжения от 1 кВ до 35 кВ, 1-жильный, сечением 630 мм2, бронированный"/>
        <s v="Устройство соединительной кабельной муфты/заделки кабеля СРЕДНЕГО напряжения от 1 кВ до 35 кВ, 1-жильный, сечением 800 мм2, бронированный"/>
        <s v="Устройство соединительной кабельной муфты/заделки кабеля СРЕДНЕГО напряжения от 1 кВ до 35 кВ, 1-жильный, сечением 1000 мм2, бронированный"/>
        <s v="Устройство соединительной кабельной муфты/заделки кабеля СРЕДНЕГО напряжения от 1 кВ до 35 кВ, 3 жильный, сечением 50 мм2, бронированный"/>
        <s v="Устройство соединительной кабельной муфты/заделки кабеля СРЕДНЕГО напряжения от 1 кВ до 35 кВ, 3 жильный, сечением 95 мм2, бронированный"/>
        <s v="Устройство соединительной кабельной муфты/заделки кабеля СРЕДНЕГО напряжения от 1 кВ до 35 кВ, 3 жильный, сечением 120 мм2, бронированный"/>
        <s v="Устройство соединительной кабельной муфты/заделки кабеля СРЕДНЕГО напряжения от 1 кВ до 35 кВ, 3 жильный, сечением 150 мм2, бронированный"/>
        <s v="Устройство соединительной кабельной муфты/заделки кабеля СРЕДНЕГО напряжения от 1 кВ до 35 кВ, 3 жильный, сечением 185 мм2, бронированный"/>
        <s v="Устройство соединительной кабельной муфты/заделки кабеля СРЕДНЕГО напряжения от 1 кВ до 35 кВ, 3 жильный, сечением 240 мм2, бронированный"/>
        <s v="Устройство соединительной муфты кабеля СРЕДНЕГО напряжения от 1 кВ до 35 кВ, 1-жильный, сечением 120 мм2, бронированный"/>
        <s v="Кабель небронированный, НИЗКОГО напряжения до 1 кВ, соединение"/>
        <s v="Устройство соединительной кабельной муфты/заделки кабеля НИЗКОГО напряжения до 1 кВ, 1-жильный, сечением 2,5 мм2"/>
        <s v="Устройство соединительной муфты кабеля НИЗКОГО напряжения до 1 кВ, 1-жильный, сечением 4 мм2"/>
        <s v="Устройство соединительной муфты кабеля НИЗКОГО напряжения до 1 кВ, 1-жильный, сечением 6 мм2"/>
        <s v="Устройство соединительной муфты кабеля НИЗКОГО напряжения до 1 кВ, 1-жильный, сечением 10 мм2"/>
        <s v="Устройство соединительной муфты кабеля НИЗКОГО напряжения до 1 кВ, 1-жильный, сечением 16 мм2"/>
        <s v="Устройство соединительной муфты кабеля НИЗКОГО напряжения до 1 кВ, 1-жильный, сечением 25 мм2"/>
        <s v="Устройство соединительной кабельной муфты/заделки кабеля НИЗКОГО напряжения до 1 кВ, 1-жильный, сечением 35 мм2"/>
        <s v="Устройство соединительной кабельной муфты/заделки кабеля НИЗКОГО напряжения до 1 кВ, 1-жильный, сечением 50 мм2"/>
        <s v="Устройство соединительной кабельной муфты/заделки кабеля НИЗКОГО напряжения до 1 кВ, 1-жильный, сечением 70 мм2"/>
        <s v="Устройство соединительной кабельной муфты/заделки кабеля НИЗКОГО напряжения до 1 кВ, 1-жильный, сечением 95 мм2"/>
        <s v="Устройство соединительной кабельной муфты/заделки кабеляНИЗКОГО напряжения до 1 кВ, 1-жильный, сечением 240 мм2"/>
        <s v="Устройство соединительной кабельной муфты/заделки кабеля НИЗКОГО напряжения до 1 кВ, 3-5 жильный, сечением 1,5 мм2"/>
        <s v="Устройство соединительной кабельной муфты/заделки кабеля НИЗКОГО напряжения до 1 кВ, 3-5 жильный, сечением 2,5 мм2"/>
        <s v="Устройство соединительной кабельной муфты/заделки кабеля НИЗКОГО напряжения до 1 кВ, 3-5 жильный, сечением 4 мм2"/>
        <s v="Устройство соединительной кабельной муфты/заделки кабеля НИЗКОГО напряжения до 1 кВ, 3-5 жильный, сечением 6 мм2"/>
        <s v="Устройство соединительной кабельной муфты/заделки кабеля НИЗКОГО напряжения до 1 кВ, 3 жильный, сечением 10 мм2"/>
        <s v="Устройство соединительной кабельной муфты/заделки кабеля НИЗКОГО напряжения до 1 кВ, 3 жильный, сечением 16 мм2"/>
        <s v="Устройство соединительной кабельной муфты/заделки кабеля НИЗКОГО напряжения до 1 кВ, 3 жильный, сечением 25 мм2"/>
        <s v="Устройство соединительной кабельной муфты/заделки кабеля НИЗКОГО напряжения до 1 кВ, 3 жильный, сечением 35 мм2"/>
        <s v="Устройство соединительной кабельной муфты/заделки кабеля НИЗКОГО напряжения до 1 кВ, 3 жильный, сечением 50 мм2"/>
        <s v="Устройство соединительной кабельной муфты/заделки кабеля НИЗКОГО напряжения до 1 кВ, 3 жильный, сечением 70 мм2"/>
        <s v="Устройство соединительной кабельной муфты/заделки кабеля НИЗКОГО напряжения до 1 кВ, 3 жильный, сечением 95 мм2"/>
        <s v="Устройство соединительной кабельной муфты/заделки кабеля НИЗКОГО напряжения до 1 кВ, 3 жильный, сечением 120 мм2"/>
        <s v="Устройство соединительной кабельной муфты/заделки кабеля НИЗКОГО напряжения до 1 кВ, 3 жильный, сечением 150 мм2"/>
        <s v="Устройство соединительной кабельной муфты/заделки кабеля НИЗКОГО напряжения до 1 кВ, 3 жильный, сечением 185 мм2"/>
        <s v="Устройство соединительной кабельной муфты/заделки кабеля НИЗКОГО напряжения до 1 кВ, 3 жильный, сечением 240 мм2"/>
        <s v="Устройство соединительной кабельной муфты/заделки кабеля НИЗКОГО напряжения до 1 кВ, 4 жильный, сечением 10 мм2"/>
        <s v="Устройство соединительной кабельной муфты/заделки кабеля НИЗКОГО напряжения до 1 кВ, 4 жильный, сечением 16 мм2"/>
        <s v="Устройство соединительной кабельной муфты/заделки кабеля НИЗКОГО напряжения до 1 кВ, 4 жильный, сечением 25 мм2"/>
        <s v="Устройство соединительной кабельной муфты/заделки кабеля НИЗКОГО напряжения до 1 кВ, 4 жильный, сечением 35 мм2"/>
        <s v="Устройство соединительной кабельной муфты/заделки кабеля НИЗКОГО напряжения до 1 кВ, 4 жильный, сечением 50 мм2"/>
        <s v="Устройство соединительной кабельной муфты/заделки кабеля НИЗКОГО напряжения до 1 кВ, 4 жильный, сечением 70 мм2"/>
        <s v="Устройство соединительной кабельной муфты/заделки кабеля НИЗКОГО напряжения до 1 кВ, 4 жильный, сечением 95 мм2"/>
        <s v="Устройство соединительной кабельной муфты/заделки кабеля НИЗКОГО напряжения до 1 кВ, 4 жильный, сечением 120 мм2"/>
        <s v="Устройство соединительной кабельной муфты/заделки кабеля НИЗКОГО напряжения до 1 кВ, 4 жильный, сечением 150 мм2"/>
        <s v="Устройство соединительной кабельной муфты/заделки кабеля НИЗКОГО напряжения до 1 кВ, 4 жильный, сечением 185 мм2"/>
        <s v="Устройство соединительной кабельной муфты/заделки кабеля НИЗКОГО напряжения до 1 кВ, 4 жильный, сечением 240 мм2"/>
        <s v="Устройство соединительной кабельной муфты/заделки кабеля НИЗКОГО напряжения до 1 кВ, 5 жильный, сечением 10 мм2"/>
        <s v="Устройство соединительной кабельной муфты/заделки кабеля НИЗКОГО напряжения до 1 кВ, 5 жильный, сечением 16 мм2"/>
        <s v="Устройство соединительной кабельной муфты/заделки кабеля НИЗКОГО напряжения до 1 кВ, 5 жильный, сечением 25 мм2"/>
        <s v="Устройство соединительной кабельной муфты/заделки кабеля НИЗКОГО напряжения до 1 кВ, 5 жильный, сечением 35 мм2"/>
        <s v="Устройство соединительной кабельной муфты/заделки кабеля НИЗКОГО напряжения до 1 кВ, 5 жильный, сечением 50 мм2"/>
        <s v="Устройство соединительной кабельной муфты/заделки кабеля НИЗКОГО напряжения до 1 кВ, 5 жильный, сечением 70 мм2"/>
        <s v="Устройство соединительной кабельной муфты/заделки кабеля НИЗКОГО напряжения до 1 кВ, 5 жильный, сечением 95 мм2"/>
        <s v="Устройство соединительной кабельной муфты/заделки кабеля НИЗКОГО напряжения до 1 кВ, 5 жильный, сечением 120 мм2"/>
        <s v="Устройство соединительной кабельной муфты/заделки кабеля НИЗКОГО напряжения до 1 кВ, 5 жильный, сечением 150 мм2"/>
        <s v="Устройство соединительной кабельной муфты/заделки кабеля НИЗКОГО напряжения до 1 кВ, 5 жильный, сечением 185 мм2"/>
        <s v="Устройство соединительной кабельной муфты/заделки кабеляНИЗКОГО напряжения до 1 кВ, 5 жильный, сечением 240 мм2"/>
        <s v="Устройство соединительной кабельной муфты/заделки кабеля НИЗКОГО напряжения до 1 кВ, 7 жильный, сечением 1,5 мм2"/>
        <s v="Устройство соединительной кабельной муфты/заделки кабеля НИЗКОГО напряжения до 1 кВ, 7 жильный, сечением 2,5 мм2"/>
        <s v="Кабель небронированный, СРЕДНЕГО напряжения от 1 кВ до 35 кВ, соединение"/>
        <s v="Устройство соединительной кабельной муфты/заделки кабеля СРЕДНЕГО напряжения от 1 кВ до 35 кВ, 1-жильный, сечением до 95 мм2"/>
        <s v="Устройство соединительной кабельной муфты/заделки кабеля СРЕДНЕГО напряжения от 1 кВ до 35 кВ, 1-жильный, сечением 150 мм2"/>
        <s v="Устройство соединительной кабельной муфты/заделки кабеля СРЕДНЕГО напряжения от 1 кВ до 35 кВ, 1-жильный, сечением 240 мм2"/>
        <s v="Устройство соединительной кабельной муфты/заделки кабеля СРЕДНЕГО напряжения от 1 кВ до 35 кВ, 1-жильный, сечением 300 мм2"/>
        <s v="Устройство соединительной кабельной муфты/заделки кабеля СРЕДНЕГО напряжения от 1 кВ до 35 кВ, 1-жильный, сечением 400 мм2"/>
        <s v="Устройство соединительной кабельной муфты/заделки кабеля СРЕДНЕГО напряжения от 1 кВ до 35 кВ, 1-жильный, сечением 500 мм2"/>
        <s v="Устройство соединительной кабельной муфты/заделки кабеля СРЕДНЕГО напряжения от 1 кВ до 35 кВ, 1-жильный, сечением 630 мм2"/>
        <s v="Устройство соединительной кабельной муфты/заделки кабеля СРЕДНЕГО напряжения от 1 кВ до 35 кВ, 1-жильный, сечением 800 мм2"/>
        <s v="Устройство соединительной кабельной муфты/заделки кабеля СРЕДНЕГО напряжения от 1 кВ до 35 кВ, 1-жильный, сечением 1000 мм2"/>
        <s v="Устройство соединительной кабельной муфты/заделки кабеля СРЕДНЕГО напряжения от 1 кВ до 35 кВ, 3 жильный, сечением 50 мм2"/>
        <s v="Устройство соединительной кабельной муфты/заделки кабеляСРЕДНЕГО напряжения от 1 кВ до 35 кВ, 3 жильный, сечением 95 мм2"/>
        <s v="Устройство соединительной кабельной муфты/заделки кабеля СРЕДНЕГО напряжения от 1 кВ до 35 кВ, 3 жильный, сечением 120 мм2"/>
        <s v="Устройство соединительной кабельной муфты/заделки кабеля СРЕДНЕГО напряжения от 1 кВ до 35 кВ, 3 жильный, сечением 150 мм2"/>
        <s v="Устройство соединительной кабельной муфты/заделки кабеля СРЕДНЕГО напряжения от 1 кВ до 35 кВ, 3 жильный, сечением 185 мм2"/>
        <s v="Устройство соединительной кабельной муфты/заделки кабеля СРЕДНЕГО напряжения от 1 кВ до 35 кВ, 3 жильный, сечением 240 мм2"/>
        <s v="Устройство соединительной муфты кабеля СРЕДНЕГО напряжения от 1 кВ до 35 кВ, 1-жильный, сечением 120 мм2"/>
        <s v="Кабеленесущие конструкции, кабелепроводы и конструкции под электрооборудование"/>
        <s v="Монтаж кабельных лотков без устройства опорных конструкций"/>
        <s v="Монтаж кабельного лотка неперфорированного/ перфорированного, без установки опор"/>
        <s v="Монтаж неперфорированного кабельного лотка ширина до 100 мм, , без установки опор"/>
        <s v="Монтаж неперфорированного кабельного лотка ширина от 100 мм до 200 мм, без установки опор"/>
        <s v="Монтаж неперфорированного кабельного лотка ширина от 200 мм до 300 мм, без установки опор"/>
        <s v="Монтаж неперфорированного кабельного лотка ширина от 300 мм до 400 мм, без установки опор"/>
        <s v="Монтаж неперфорированного кабельного лотка ширина от 400 мм до 500 мм, без установки опор"/>
        <s v="Монтаж неперфорированного кабельного лотка ширина от 500 мм до 600 мм, без установки опор"/>
        <s v="Монтаж неперфорированного кабельного лотка ширина от 600 мм до 700 мм, без установки опор"/>
        <s v="Монтаж неперфорированного кабельного лотка ширина от 700 мм до 800 мм, без установки опор"/>
        <s v="Монтаж неперфорированного кабельного лотка ширина от 800 мм до 900 мм, без установки опор"/>
        <s v="Монтаж неперфорированного кабельного лотка ширина от 900 мм до 1000 мм, без установки опор"/>
        <s v="Монтаж перфорированного кабельного лотка ширина до 100 мм, без установки опор"/>
        <s v="Монтаж перфорированного кабельного лотка ширина от 100 мм до 200 мм, без установки опор"/>
        <s v="Монтаж перфорированного кабельного лотка ширина от 200 мм до 300 мм, без установки опор"/>
        <s v="Монтаж перфорированного кабельного лотка ширина от 300 мм до 400 мм, без установки опор"/>
        <s v="Монтаж перфорированного кабельного лотка ширина от 400 мм до 500 мм, без установки опор"/>
        <s v="Монтаж перфорированного кабельного лотка ширина от 500 мм до 600 мм, без установки опор"/>
        <s v="Монтаж перфорированного кабельного лотка ширина от 600 мм до 700 мм, без установки опор"/>
        <s v="Монтаж перфорированного кабельного лотка ширина от 700 мм до 800 мм, без установки опор"/>
        <s v="Монтаж перфорированного кабельного лотка ширина от 800 мм до 900 мм, без установки опор"/>
        <s v="Монтаж перфорированного кабельного лотка ширина от 900 мм до 1000 мм, без установки опор"/>
        <s v="Монтаж пластиковых коробов с крышкой, включая все фитинги"/>
        <s v="Монтаж пластикового короба с крышкой, до 60 мм включительно"/>
        <s v="Монтаж пластикового короба с крышкой, от 61 мм до 100 мм включительно"/>
        <s v="Монтаж пластикового короба с крышкой, от 101 мм до 150 мм включительно"/>
        <s v="Монтаж пластикового короба с крышкой, от 151 мм до 200 мм включительно"/>
        <s v="Монтаж пластикового короба с крышкой, от 201 мм до 250 мм включительно"/>
        <s v="Монтаж крышек для кабельных лотков"/>
        <s v="Монтаж крышки кабельного лотка ширина до 100 мм"/>
        <s v="Монтаж крышки кабельного лотка ширина от 100 мм до 200 мм"/>
        <s v="Монтаж крышки кабельного лотка ширина от 200 мм до 300 мм"/>
        <s v="Монтаж крышки кабельного лотка ширина от 300 мм до 400 мм"/>
        <s v="Монтаж крышки кабельного лотка ширина от 400 мм до 500 мм"/>
        <s v="Монтаж крышки кабельного лотка ширина от 500 мм до 600 мм"/>
        <s v="Монтаж крышки кабельного лотка ширина от 600 мм до 700 мм"/>
        <s v="Монтаж крышки кабельного лотка ширина от 700 мм до 800 мм"/>
        <s v="Монтаж крышки кабельного лотка ширина от 800 мм до 900 мм"/>
        <s v="Монтаж крышки кабельного лотка ширина от 900 мм до 1000 мм"/>
        <s v="Установка труб для кабельных трасс"/>
        <s v="Установка труб для кабельных трасс, открытым способом"/>
        <s v="Монтаж кабелепровода из стальной трубы до 25 мм, включительно по кабельным стойкам, полкам включая монтаж стоек и полок"/>
        <s v="Монтаж кабелепровода из стальной трубы от 26 мм до 63 мм, включительно по кабельным стойкам, полкам включая монтаж стоек и полок"/>
        <s v="Монтаж кабелепровода из стальной трубы от 64 мм до 160 мм, включительно по кабельным стойкам, полкам включая монтаж стоек и полок"/>
        <s v="Монтаж кабелепровода из стальной трубы до 25 мм, включительно по строительным конструкциям"/>
        <s v="Монтаж кабелепровода из стальной трубы от 26 мм до 63 мм, включительно по строительным конструкциям"/>
        <s v="Монтаж кабелепровода из стальной трубы от 64 мм до 160 мм, включительно по строительным конструкциям"/>
        <s v="Монтаж кабелепровода из полимерной трубы до 25 мм, включительно по кабельным стойкам полкам"/>
        <s v="Монтаж кабелепровода из полимерной трубы от 26 мм до 63 мм, включительно по кабельным стойкам полкам"/>
        <s v="Монтаж кабелепровода из полимерной трубы от 64 мм до 160 мм, включительно по кабельным стойкам полкам"/>
        <s v="Монтаж кабелепровода из полимерной трубы до 25 мм, включительно по строительным конструкциям"/>
        <s v="Монтаж кабелепровода из полимерной трубы от 26 мм до 63 мм, включительно по строительным конструкциям"/>
        <s v="Монтаж кабелепровода из полимерной трубы от 64 мм до 160 мм, включительно по строительным конструкциям"/>
        <s v="Монтаж металлорукава, гофрированной трубы до 20 мм, без оболочки"/>
        <s v="Монтаж металлорукава, гофрированной трубы от 21 до 32 мм, без оболочки"/>
        <s v="Монтаж металлорукава, гофрированной трубы от 40 до 50 мм, без оболочки"/>
        <s v="Монтаж металлорукава, гофрированной трубы до 20 мм,с оболочкой ПВХ/ППУ/EVA включая оплетку из оцинкованной стали"/>
        <s v="Монтаж металлорукава, гофрированной трубы от 21 до 32 мм, с оболочкой ПВХ/ППУ/EVA включая оплетку из оцинкованной стали"/>
        <s v="Монтаж металлорукава, гофрированной трубы от 40 до 50 мм, с оболочкой ПВХ/ППУ/EVA включая оплетку из оцинкованной стали"/>
        <s v="Монтаж металлорукава, гофрированной трубы от 51 до 100 мм, с оболочкой ПВХ/ППУ/EVA включая оплетку из оцинкованной стали"/>
        <s v="Прокладка подземных, защитных труб"/>
        <s v="ПНД труба диаметром до 50 мм включительно"/>
        <s v="ПНД труба диаметром от 51 мм до 110 мм включительно"/>
        <s v="ПНД труба диаметром от 111 мм до 160 мм включительно"/>
        <s v="ПНД труба диаметром от 161 мм до 200 мм включительно"/>
        <s v="ПНД труба диаметром от 201 мм до 400 мм включительно"/>
        <s v="Кабельные проходки/уплотнители/RM-блоки"/>
        <s v="Герметизация-установка газонепроницаемых транзитных блоков (кабельные проходки/уплотнители/RM-блоки)"/>
        <s v="Герметизация-установка кабельных проходок"/>
        <s v="Трубная кабельная проходка диаметром от d=33мм до d= 50мм включительно"/>
        <s v="Трубная кабельная проходка диаметром от d=51мм до d= 70мм включительно"/>
        <s v="Трубная кабельная проходка диаметром от d=71мм до d= 90мм включительно"/>
        <s v="Трубная кабельная проходка диаметром от d=91мм до d= 110мм включительно"/>
        <s v="Герметизация-установка газонепроницаемых транзитных блоков (уплотнители/RM-блоки) с организацией проемов"/>
        <s v="Монтаж рамы транзитных блоков (до 200 x 200 мм) с организацией монтажного проема в конструкции и заполнением транзитными блоками"/>
        <s v="Монтаж рамы транзитных блоков (от 210 x 210 мм до 350 х 350мм ) с организацией монтажного проема в конструкции и заполнением транзитными блоками"/>
        <s v="Монтаж рамы транзитных блоков (от 360 x 360 мм до 450 х 450мм ) с организацией монтажного проема в конструкции и заполнением транзитными блоками"/>
        <s v="Монтаж рамы транзитных блоков (от 460 x 460 мм до 550 х 550мм ) с организацией монтажного проема в конструкции и заполнением транзитными блоками"/>
        <s v="Монтаж рамы транзитных блоков (от 560 x 560 мм до 650 х 650мм ) с организацией монтажного проема в конструкции и заполнением транзитными блоками"/>
        <s v="Монтаж рамы транзитных блоков (от 760 x 760 мм до 850 х 850мм ) с организацией монтажного проема в конструкции и заполнением транзитными блоками"/>
        <s v="Герметизация-установка газонепроницаемых транзитных блоков (уплотнители/RM-блоки) в существующие проемы"/>
        <s v="Монтаж рамы транзитных блоков (до 200 x 200 мм) в существующий монтажный проем в конструкции и заполнением транзитными блоками"/>
        <s v="Монтаж рамы транзитных блоков (от 210 x 210 мм до 350 х 350мм ) в существующий монтажный проем в конструкции и заполнением транзитными блоками"/>
        <s v="Монтаж рамы транзитных блоков (от 360 x 360 мм до 450 х 450мм ) в существующий монтажный проем в конструкции и заполнением транзитными блоками"/>
        <s v="Монтаж рамы транзитных блоков (от 460 x 460 мм до 550 х 550мм ) в существующий монтажный проем в конструкции и заполнением транзитными блоками"/>
        <s v="Монтаж рамы транзитных блоков (от 560 x 560 мм до 650 х 650мм ) в существующий монтажный проем в конструкции и заполнением транзитными блоками"/>
        <s v="Монтаж рамы транзитных блоков (от 760 x 760 мм до 850 х 850мм ) в существующий монтажный проем в конструкции и заполнением транзитными блоками"/>
        <s v="Малогабаритные металлоконструкции"/>
        <s v="Изготовление/сборка и монтаж малогабаритной металлоконструкции, до 30 кг, из горячеоцинкованной стали"/>
        <s v="Малогабаритные металлоконструкции, заводской готовности"/>
        <s v="Малогабаритная металлоконструкция, до 5 кг, заводской готовности, горячеоцинкованная сталь"/>
        <s v="Малогабаритная металлоконструкция, от 5 кг до 10 кг, заводской готовности, горячеоцинкованная сталь"/>
        <s v="Монтаж закладных деталей и элементов для электроустановочных механизмов и оборудования ЭОМ/КИПиА и Слаботочных систем"/>
        <s v="Монтаж закладных в стенах"/>
        <s v="Монтаж подрозетника в бетоне/кирпиче"/>
        <s v="Монтаж подрозетника в фальшстене (ГКЛ, HPL и тд.)"/>
        <s v="Монтаж распр. коробки в бетоне/кирпиче"/>
        <s v="Монтаж распр. коробки в фальшстене (ГКЛ, HPL и тд.)"/>
        <s v="Монтаж закладных в полах"/>
        <s v="Монтаж впольного лючка для скрытых электроустановочных изделий до 5 модулей по типу &quot;Лючок в пол Mosaic&quot; "/>
        <s v="Монтаж впольного лючка для скрытых электроустановочных изделий от 6 до 10 модулей по типу &quot;Лючок в пол Mosaic&quot; "/>
        <s v="Монтаж впольного лючка для скрытых электроустановочных изделий на 11 модулей и выше по типу &quot;Лючок в пол Mosaic&quot; "/>
        <s v="Монтаж оборудования КИПиА и слаботочных систем"/>
        <s v="Прокладка кабеля"/>
        <s v="Монтаж кабеля, надземная прокладка, с общим экранированием или без брони и экрана - Группа (ОЭ)/(ББЭ)"/>
        <s v="Надземная прокладка кабеля, Группа (ОЭ)/(ББЭ), общее количество жил 1-4, сечением жилы до 1 мм2, неогнестойкий"/>
        <s v="Надземная прокладка кабеля, Группа (ОЭ)/(ББЭ), общее количество жил 1-4, сечением жилы от 1мм2 до 2,5 мм2, неогнестойкий"/>
        <s v="Надземная прокладка кабеля, Группа (ОЭ)/(ББЭ), общее количество жил 5-8, сечением жилы до 1 мм2, неогнестойкий"/>
        <s v="Надземная прокладка кабеля, Группа (ОЭ)/(ББЭ), общее количество жил 5-8, сечением жилы от 1мм2 до 2,5 мм2, неогнестойкий"/>
        <s v="Надземная прокладка кабеля, Группа (ОЭ)/(ББЭ), общее количество жил 9-12, сечением жилы до 1 мм2, неогнестойкий"/>
        <s v="Надземная прокладка кабеля, Группа (ОЭ)/(ББЭ), общее количество жил 9-12, сечением жилы от 1мм2 до 2,5 мм2, неогнестойкий"/>
        <s v="Надземная прокладка кабеля, Группа (ОЭ)/(ББЭ), общее количество жил 13-16, сечением жилы до 1 мм2, неогнестойкий"/>
        <s v="Надземная прокладка кабеля, Группа (ОЭ)/(ББЭ), общее количество жил 13-16, сечением жилы от 1мм2 до 2,5 мм2, неогнестойкий"/>
        <s v="Надземная прокладка кабеля, Группа (ОЭ)/(ББЭ), общее количество жил 17-20, сечением жилы до 1 мм2, неогнестойкий"/>
        <s v="Надземная прокладка кабеля, Группа (ОЭ)/(ББЭ), общее количество жил 17-20, сечением жилы от 1мм2 до 2,5 мм2, неогнестойкий"/>
        <s v="Надземная прокладка кабеля, Группа (ОЭ)/(ББЭ), общее количество жил 21-24, сечением жилы до 1 мм2, неогнестойкий"/>
        <s v="Надземная прокладка кабеля, Группа (ОЭ)/(ББЭ), общее количество жил 21-24, сечением жилы от 1мм2 до 2,5 мм2, неогнестойкий"/>
        <s v="Надземная прокладка кабеля, Группа (ОЭ)/(ББЭ), общее количество жил 25-28, сечением жилы до 1 мм2, неогнестойкий"/>
        <s v="Надземная прокладка кабеля, Группа (ОЭ)/(ББЭ), общее количество жил 25-28, сечением жилы от 1мм2 до 2,5 мм2, неогнестойкий"/>
        <s v="Надземная прокладка кабеля, Группа (ОЭ)/(ББЭ), общее количество жил 29-32, сечением жилы до 1 мм2, неогнестойкий"/>
        <s v="Надземная прокладка кабеля, Группа (ОЭ)/(ББЭ), общее количество жил 29-32, сечением жилы от 1мм2 до 2,5 мм2, неогнестойкий"/>
        <s v="Надземная прокладка кабеля, Группа (ОЭ)/(ББЭ), общее количество жил 33-36, сечением жилы до 1 мм2, неогнестойкий"/>
        <s v="Надземная прокладка кабеля, Группа (ОЭ)/(ББЭ), общее количество жил 33-36, сечением жилы от 1мм2 до 2,5 мм2, неогнестойкий"/>
        <s v="Надземная прокладка кабеля, Группа (ОЭ)/(ББЭ), общее количество жил 37-40, сечением жилы до 1 мм2, неогнестойкий"/>
        <s v="Надземная прокладка кабеля, Группа (ОЭ)/(ББЭ), общее количество жил 37-40, сечением жилы от 1мм2 до 2,5 мм2, неогнестойкий"/>
        <s v="Надземная прокладка кабеля, Группа (ОЭ)/(ББЭ), общее количество жил 41-44, сечением жилы до 1 мм2, неогнестойкий"/>
        <s v="Надземная прокладка кабеля, Группа (ОЭ)/(ББЭ), общее количество жил 41-44, сечением жилы от 1мм2 до 2,5 мм2, неогнестойкий"/>
        <s v="Надземная прокладка кабеля, Группа (ОЭ)/(ББЭ), общее количество жил 45-48, сечением жилы до 1 мм2, неогнестойкий"/>
        <s v="Надземная прокладка кабеля, Группа (ОЭ)/(ББЭ), общее количество жил 45-48, сечением жилы от 1мм2 до 2,5 мм2, неогнестойкий"/>
        <s v="Надземная прокладка кабеля, Группа (ОЭ)/(ББЭ), общее количество жил 49-52, сечением жилы до 1 мм2, неогнестойкий"/>
        <s v="Надземная прокладка кабеля, Группа (ОЭ)/(ББЭ), общее количество жил 49-52, сечением жилы от 1мм2 до 2,5 мм2, неогнестойкий"/>
        <s v="Надземная прокладка кабеля, Группа (ОЭ)/(ББЭ), общее количество жил 53-56, сечением жилы до 1 мм2, неогнестойкий"/>
        <s v="Надземная прокладка кабеля, Группа (ОЭ)/(ББЭ), общее количество жил 53-56, сечением жилы от 1мм2 до 2,5 мм2, неогнестойкий"/>
        <s v="Надземная прокладка кабеля, Группа (ОЭ)/(ББЭ), общее количество жил 57-60, сечением жилы до 1 мм2, неогнестойкий"/>
        <s v="Надземная прокладка кабеля, Группа (ОЭ)/(ББЭ), общее количество жил 57-60, сечением жилы от 1мм2 до 2,5 мм2, неогнестойкий"/>
        <s v="Надземная прокладка кабеля, Группа (ОЭ)/(ББЭ), общее количество жил 61-64, сечением жилы до 1 мм2, неогнестойкий"/>
        <s v="Надземная прокладка кабеля, Группа (ОЭ)/(ББЭ), общее количество жил 61-64, сечением жилы от 1мм2 до 2,5 мм2, неогнестойкий"/>
        <s v="Надземная прокладка кабеля, Группа (ОЭ)/(ББЭ), общее количество жил 1-4, сечением жилы до 1 мм2, огнестойкий"/>
        <s v="Надземная прокладка кабеля, Группа (ОЭ)/(ББЭ), общее количество жил 1-4, сечением жилы от 1мм2 до 2,5 мм2, огнестойкий"/>
        <s v="Надземная прокладка кабеля, Группа (ОЭ)/(ББЭ), общее количество жил 5-8, сечением жилы до 1 мм2, огнестойкий"/>
        <s v="Надземная прокладка кабеля, Группа (ОЭ)/(ББЭ), общее количество жил 5-8, сечением жилы от 1мм2 до 2,5 мм2, огнестойкий"/>
        <s v="Надземная прокладка кабеля, Группа (ОЭ)/(ББЭ), общее количество жил 9-12, сечением жилы до 1 мм2, огнестойкий"/>
        <s v="Надземная прокладка кабеля, Группа (ОЭ)/(ББЭ), общее количество жил 9-12, сечением жилы от 1мм2 до 2,5 мм2, огнестойкий"/>
        <s v="Надземная прокладка кабеля, Группа (ОЭ)/(ББЭ), общее количество жил 13-16, сечением жилы до 1 мм2, огнестойкий"/>
        <s v="Надземная прокладка кабеля, Группа (ОЭ)/(ББЭ), общее количество жил 13-16, сечением жилы от 1мм2 до 2,5 мм2, огнестойкий"/>
        <s v="Надземная прокладка кабеля, Группа (ОЭ)/(ББЭ), общее количество жил 17-20, сечением жилы до 1 мм2, огнестойкий"/>
        <s v="Надземная прокладка кабеля, Группа (ОЭ)/(ББЭ), общее количество жил 17-20, сечением жилы от 1мм2 до 2,5 мм2, огнестойкий"/>
        <s v="Надземная прокладка кабеля, Группа (ОЭ)/(ББЭ), общее количество жил 21-24, сечением жилы до 1 мм2, огнестойкий"/>
        <s v="Надземная прокладка кабеля, Группа (ОЭ)/(ББЭ), общее количество жил 21-24, сечением жилы от 1мм2 до 2,5 мм2, огнестойкий"/>
        <s v="Надземная прокладка кабеля, Группа (ОЭ)/(ББЭ), общее количество жил 25-28, сечением жилы до 1 мм2, огнестойкий"/>
        <s v="Надземная прокладка кабеля, Группа (ОЭ)/(ББЭ), общее количество жил 25-28, сечением жилы от 1мм2 до 2,5 мм2, огнестойкий"/>
        <s v="Надземная прокладка кабеля, Группа (ОЭ)/(ББЭ), общее количество жил 29-32, сечением жилы до 1 мм2, огнестойкий"/>
        <s v="Надземная прокладка кабеля, Группа (ОЭ)/(ББЭ), общее количество жил 29-32, сечением жилы от 1мм2 до 2,5 мм2, огнестойкий"/>
        <s v="Надземная прокладка кабеля, Группа (ОЭ)/(ББЭ), общее количество жил 33-36, сечением жилы до 1 мм2, огнестойкий"/>
        <s v="Надземная прокладка кабеля, Группа (ОЭ)/(ББЭ), общее количество жил 33-36, сечением жилы от 1мм2 до 2,5 мм2, огнестойкий"/>
        <s v="Надземная прокладка кабеля, Группа (ОЭ)/(ББЭ), общее количество жил 37-40, сечением жилы до 1 мм2, огнестойкий"/>
        <s v="Надземная прокладка кабеля, Группа (ОЭ)/(ББЭ), общее количество жил 37-40, сечением жилы от 1мм2 до 2,5 мм2, огнестойкий"/>
        <s v="Надземная прокладка кабеля, Группа (ОЭ)/(ББЭ), общее количество жил 41-44, сечением жилы до 1 мм2, огнестойкий"/>
        <s v="Надземная прокладка кабеля, Группа (ОЭ)/(ББЭ), общее количество жил 41-44, сечением жилы от 1мм2 до 2,5 мм2, огнестойкий"/>
        <s v="Надземная прокладка кабеля, Группа (ОЭ)/(ББЭ), общее количество жил 45-48, сечением жилы до 1 мм2, огнестойкий"/>
        <s v="Надземная прокладка кабеля, Группа (ОЭ)/(ББЭ), общее количество жил 45-48, сечением жилы от 1мм2 до 2,5 мм2, огнестойкий"/>
        <s v="Надземная прокладка кабеля, Группа (ОЭ)/(ББЭ), общее количество жил 49-52, сечением жилы до 1 мм2, огнестойкий"/>
        <s v="Надземная прокладка кабеля, Группа (ОЭ)/(ББЭ), общее количество жил 49-52, сечением жилы от 1мм2 до 2,5 мм2, огнестойкий"/>
        <s v="Надземная прокладка кабеля, Группа (ОЭ)/(ББЭ), общее количество жил 53-56, сечением жилы до 1 мм2, огнестойкий"/>
        <s v="Надземная прокладка кабеля, Группа (ОЭ)/(ББЭ), общее количество жил 53-56, сечением жилы от 1мм2 до 2,5 мм2, огнестойкий"/>
        <s v="Надземная прокладка кабеля, Группа (ОЭ)/(ББЭ), общее количество жил 57-60, сечением жилы до 1 мм2, огнестойкий"/>
        <s v="Надземная прокладка кабеля, Группа (ОЭ)/(ББЭ), общее количество жил 57-60, сечением жилы от 1мм2 до 2,5 мм2, огнестойкий"/>
        <s v="Надземная прокладка кабеля, Группа (ОЭ)/(ББЭ), общее количество жил 61-64, сечением жилы до 1 мм2, огнестойкий"/>
        <s v="Надземная прокладка кабеля, Группа (ОЭ)/(ББЭ), общее количество жил 61-64, сечением жилы от 1мм2 до 2,5 мм2, огнестойкий"/>
        <s v="Монтаж кабеля, подземная прокладка, с общим экранированием или без брони и экрана - Группа (ОЭ)/(ББЭ)"/>
        <s v="Подземная прокладка кабеля, Группа (ОЭ)/(ББЭ), общее количество жил 1-4, сечением жилы до 1 мм2, неогнестойкий"/>
        <s v="Подземная прокладка кабеля, Группа (ОЭ)/(ББЭ), общее количество жил 1-4, сечением жилы от 1мм2 до 2,5 мм2, неогнестойкий"/>
        <s v="Подземная прокладка кабеля, Группа (ОЭ)/(ББЭ), общее количество жил 5-8, сечением жилы до 1 мм2, неогнестойкий"/>
        <s v="Подземная прокладка кабеля, Группа (ОЭ)/(ББЭ), общее количество жил 5-8, сечением жилы от 1мм2 до 2,5 мм2, неогнестойкий"/>
        <s v="Подземная прокладка кабеля, Группа (ОЭ)/(ББЭ), общее количество жил 9-12, сечением жилы до 1 мм2, неогнестойкий"/>
        <s v="Подземная прокладка кабеля, Группа (ОЭ)/(ББЭ), общее количество жил 9-12, сечением жилы от 1мм2 до 2,5 мм2, неогнестойкий"/>
        <s v="Подземная прокладка кабеля, Группа (ОЭ)/(ББЭ), общее количество жил 13-16, сечением жилы до 1 мм2, неогнестойкий"/>
        <s v="Подземная прокладка кабеля, Группа (ОЭ)/(ББЭ), общее количество жил 13-16, сечением жилы от 1мм2 до 2,5 мм2, неогнестойкий"/>
        <s v="Подземная прокладка кабеля, Группа (ОЭ)/(ББЭ), общее количество жил 17-20, сечением жилы до 1 мм2, неогнестойкий"/>
        <s v="Подземная прокладка кабеля, Группа (ОЭ)/(ББЭ), общее количество жил 17-20, сечением жилы от 1мм2 до 2,5 мм2, неогнестойкий"/>
        <s v="Подземная прокладка кабеля, Группа (ОЭ)/(ББЭ), общее количество жил 21-24, сечением жилы до 1 мм2, неогнестойкий"/>
        <s v="Подземная прокладка кабеля, Группа (ОЭ)/(ББЭ), общее количество жил 21-24, сечением жилы от 1мм2 до 2,5 мм2, неогнестойкий"/>
        <s v="Подземная прокладка кабеля, Группа (ОЭ)/(ББЭ), общее количество жил 25-28, сечением жилы до 1 мм2, неогнестойкий"/>
        <s v="Подземная прокладка кабеля, Группа (ОЭ)/(ББЭ), общее количество жил 25-28, сечением жилы от 1мм2 до 2,5 мм2, неогнестойкий"/>
        <s v="Подземная прокладка кабеля, Группа (ОЭ)/(ББЭ), общее количество жил 29-32, сечением жилы до 1 мм2, неогнестойкий"/>
        <s v="Подземная прокладка кабеля, Группа (ОЭ)/(ББЭ), общее количество жил 29-32, сечением жилы от 1мм2 до 2,5 мм2, неогнестойкий"/>
        <s v="Подземная прокладка кабеля, Группа (ОЭ)/(ББЭ), общее количество жил 33-36, сечением жилы до 1 мм2, неогнестойкий"/>
        <s v="Подземная прокладка кабеля, Группа (ОЭ)/(ББЭ), общее количество жил 33-36, сечением жилы от 1мм2 до 2,5 мм2, неогнестойкий"/>
        <s v="Подземная прокладка кабеля, Группа (ОЭ)/(ББЭ), общее количество жил 37-40, сечением жилы до 1 мм2, неогнестойкий"/>
        <s v="Подземная прокладка кабеля, Группа (ОЭ)/(ББЭ), общее количество жил 37-40, сечением жилы от 1мм2 до 2,5 мм2, неогнестойкий"/>
        <s v="Подземная прокладка кабеля, Группа (ОЭ)/(ББЭ), общее количество жил 41-44, сечением жилы до 1 мм2, неогнестойкий"/>
        <s v="Подземная прокладка кабеля, Группа (ОЭ)/(ББЭ), общее количество жил 41-44, сечением жилы от 1мм2 до 2,5 мм2, неогнестойкий"/>
        <s v="Подземная прокладка кабеля, Группа (ОЭ)/(ББЭ), общее количество жил 45-48, сечением жилы до 1 мм2, неогнестойкий"/>
        <s v="Подземная прокладка кабеля, Группа (ОЭ)/(ББЭ), общее количество жил 45-48, сечением жилы от 1мм2 до 2,5 мм2, неогнестойкий"/>
        <s v="Подземная прокладка кабеля, Группа (ОЭ)/(ББЭ), общее количество жил 49-52, сечением жилы до 1 мм2, неогнестойкий"/>
        <s v="Подземная прокладка кабеля, Группа (ОЭ)/(ББЭ), общее количество жил 49-52, сечением жилы от 1мм2 до 2,5 мм2, неогнестойкий"/>
        <s v="Подземная прокладка кабеля, Группа (ОЭ)/(ББЭ), общее количество жил 53-56, сечением жилы до 1 мм2, неогнестойкий"/>
        <s v="Подземная прокладка кабеля, Группа (ОЭ)/(ББЭ), общее количество жил 53-56, сечением жилы от 1мм2 до 2,5 мм2, неогнестойкий"/>
        <s v="Подземная прокладка кабеля, Группа (ОЭ)/(ББЭ), общее количество жил 57-60, сечением жилы до 1 мм2, неогнестойкий"/>
        <s v="Подземная прокладка кабеля, Группа (ОЭ)/(ББЭ), общее количество жил 57-60, сечением жилы от 1мм2 до 2,5 мм2, неогнестойкий"/>
        <s v="Подземная прокладка кабеля, Группа (ОЭ)/(ББЭ), общее количество жил 61-64, сечением жилы до 1 мм2, неогнестойкий"/>
        <s v="Подземная прокладка кабеля, Группа (ОЭ)/(ББЭ), общее количество жил 61-64, сечением жилы от 1мм2 до 2,5 мм2, неогнестойкий"/>
        <s v="Подземная прокладка кабеля, Группа (ОЭ)/(ББЭ), общее количество жил 1-4, сечением жилы до 1 мм2, огнестойкий"/>
        <s v="Подземная прокладка кабеля, Группа (ОЭ)/(ББЭ), общее количество жил 1-4, сечением жилы от 1мм2 до 2,5 мм2, огнестойкий"/>
        <s v="Подземная прокладка кабеля, Группа (ОЭ)/(ББЭ), общее количество жил 5-8, сечением жилы до 1 мм2, огнестойкий"/>
        <s v="Подземная прокладка кабеля, Группа (ОЭ)/(ББЭ), общее количество жил 5-8, сечением жилы от 1мм2 до 2,5 мм2, огнестойкий"/>
        <s v="Подземная прокладка кабеля, Группа (ОЭ)/(ББЭ), общее количество жил 9-12, сечением жилы до 1 мм2, огнестойкий"/>
        <s v="Подземная прокладка кабеля, Группа (ОЭ)/(ББЭ), общее количество жил 9-12, сечением жилы от 1мм2 до 2,5 мм2, огнестойкий"/>
        <s v="Подземная прокладка кабеля, Группа (ОЭ)/(ББЭ), общее количество жил 13-16, сечением жилы до 1 мм2, огнестойкий"/>
        <s v="Подземная прокладка кабеля, Группа (ОЭ)/(ББЭ), общее количество жил 13-16, сечением жилы от 1мм2 до 2,5 мм2, огнестойкий"/>
        <s v="Подземная прокладка кабеля, Группа (ОЭ)/(ББЭ), общее количество жил 17-20, сечением жилы до 1 мм2, огнестойкий"/>
        <s v="Подземная прокладка кабеля, Группа (ОЭ)/(ББЭ), общее количество жил 17-20, сечением жилы от 1мм2 до 2,5 мм2, огнестойкий"/>
        <s v="Подземная прокладка кабеля, Группа (ОЭ)/(ББЭ), общее количество жил 21-24, сечением жилы до 1 мм2, огнестойкий"/>
        <s v="Подземная прокладка кабеля, Группа (ОЭ)/(ББЭ), общее количество жил 21-24, сечением жилы от 1мм2 до 2,5 мм2, огнестойкий"/>
        <s v="Подземная прокладка кабеля, Группа (ОЭ)/(ББЭ), общее количество жил 25-28, сечением жилы до 1 мм2, огнестойкий"/>
        <s v="Подземная прокладка кабеля, Группа (ОЭ)/(ББЭ), общее количество жил 25-28, сечением жилы от 1мм2 до 2,5 мм2, огнестойкий"/>
        <s v="Подземная прокладка кабеля, Группа (ОЭ)/(ББЭ), общее количество жил 29-32, сечением жилы до 1 мм2, огнестойкий"/>
        <s v="Подземная прокладка кабеля, Группа (ОЭ)/(ББЭ), общее количество жил 29-32, сечением жилы от 1мм2 до 2,5 мм2, огнестойкий"/>
        <s v="Подземная прокладка кабеля, Группа (ОЭ)/(ББЭ), общее количество жил 33-36, сечением жилы до 1 мм2, огнестойкий"/>
        <s v="Подземная прокладка кабеля, Группа (ОЭ)/(ББЭ), общее количество жил 33-36, сечением жилы от 1мм2 до 2,5 мм2, огнестойкий"/>
        <s v="Подземная прокладка кабеля, Группа (ОЭ)/(ББЭ), общее количество жил 37-40, сечением жилы до 1 мм2, огнестойкий"/>
        <s v="Подземная прокладка кабеля, Группа (ОЭ)/(ББЭ), общее количество жил 37-40, сечением жилы от 1мм2 до 2,5 мм2, огнестойкий"/>
        <s v="Подземная прокладка кабеля, Группа (ОЭ)/(ББЭ), общее количество жил 41-44, сечением жилы до 1 мм2, огнестойкий"/>
        <s v="Подземная прокладка кабеля, Группа (ОЭ)/(ББЭ), общее количество жил 41-44, сечением жилы от 1мм2 до 2,5 мм2, огнестойкий"/>
        <s v="Подземная прокладка кабеля, Группа (ОЭ)/(ББЭ), общее количество жил 45-48, сечением жилы до 1 мм2, огнестойкий"/>
        <s v="Подземная прокладка кабеля, Группа (ОЭ)/(ББЭ), общее количество жил 45-48, сечением жилы от 1мм2 до 2,5 мм2, огнестойкий"/>
        <s v="Подземная прокладка кабеля, Группа (ОЭ)/(ББЭ), общее количество жил 49-52, сечением жилы до 1 мм2, огнестойкий"/>
        <s v="Подземная прокладка кабеля, Группа (ОЭ)/(ББЭ), общее количество жил 49-52, сечением жилы от 1мм2 до 2,5 мм2, огнестойкий"/>
        <s v="Подземная прокладка кабеля, Группа (ОЭ)/(ББЭ), общее количество жил 53-56, сечением жилы до 1 мм2, огнестойкий"/>
        <s v="Подземная прокладка кабеля, Группа (ОЭ)/(ББЭ), общее количество жил 53-56, сечением жилы от 1мм2 до 2,5 мм2, огнестойкий"/>
        <s v="Подземная прокладка кабеля, Группа (ОЭ)/(ББЭ), общее количество жил 57-60, сечением жилы до 1 мм2, огнестойкий"/>
        <s v="Подземная прокладка кабеля, Группа (ОЭ)/(ББЭ), общее количество жил 57-60, сечением жилы от 1мм2 до 2,5 мм2, огнестойкий"/>
        <s v="Подземная прокладка кабеля, Группа (ОЭ)/(ББЭ), общее количество жил 61-64, сечением жилы до 1 мм2, огнестойкий"/>
        <s v="Подземная прокладка кабеля,Группа (ОЭ)/(ББЭ), общее количество жил 61-64, сечением жилы от 1мм2 до 2,5 мм2, огнестойкий"/>
        <s v="Монтаж оптического, не бронированного, кабеля надземной прокладки"/>
        <s v="Монтаж оптического, не бронированного, кабеля надземной прокладки с количеством волокон от 4 до 8 шт."/>
        <s v="Монтаж оптического, не бронированного, кабеля надземной прокладки с количеством волокон от 10 до 24 шт."/>
        <s v="Монтаж оптического, не бронированного, кабеля надземной прокладки с количеством волокон от 25 до 48 шт."/>
        <s v="Монтаж оптического, не бронированного, кабеля надземной прокладки с количеством волокон от 48 до 96 шт."/>
        <s v="Монтаж оптического, бронированного, кабеля надземной прокладки"/>
        <s v="Монтаж оптического, бронированного, кабеля надземной прокладки с количеством волокон от 4 до 8 шт"/>
        <s v="Монтаж оптического, бронированного, кабеля надземной прокладки с количеством волокон от 10 до 24 шт"/>
        <s v="Монтаж оптического, бронированного, кабеля надземной прокладки с количеством волокон от 25 до 48 шт"/>
        <s v="Монтаж оптического, бронированного, кабеля надземной прокладки с количеством волокон от 48 до 96 шт"/>
        <s v="Монтаж оптического, не бронированного, кабеля подземной прокладки"/>
        <s v="Монтаж оптического, не бронированного, кабеля подземной прокладки с количеством волокон от 4 до 8 шт"/>
        <s v="Монтаж оптического, не бронированного, кабеля подземной прокладки с количеством волокон от 10 до 24 шт"/>
        <s v="Монтаж оптического, не бронированного, кабеля подземной прокладки с количеством волокон от 25 до 48 шт"/>
        <s v="Монтаж оптического, не бронированного, кабеля подземной прокладки с количеством волокон от 48 до 96 шт"/>
        <s v="Монтаж оптического, бронированного, кабеля подземной прокладки"/>
        <s v="Монтаж оптического, бронированного, кабеля подземной прокладки с количеством волокон от 4 до 8 шт"/>
        <s v="Монтаж оптического, бронированного, кабеля подземной прокладки с количеством волокон от 10 до 24 шт"/>
        <s v="Монтаж оптического, бронированного, кабеля подземной прокладки с количеством волокон от 25 до 48 шт"/>
        <s v="Монтаж оптического, бронированного, кабеля подземной прокладки с количеством волокон от 48 до 96 шт"/>
        <s v="Монтаж и подключение патч-кордов"/>
        <s v="Монтаж и подключение патч-кордов до 5 м"/>
        <s v="Монтаж и подключение патч-кордов свыше 5 м до 10 м"/>
        <s v="Монтаж и подключение патч-кордов свыше 10 м до 20 м"/>
        <s v="Монтаж и подключение патч-кордов свыше 20 м до 50 м"/>
        <s v="Монтаж и подключение патч-кордов свыше 50 м до 100 м"/>
        <s v="Монтаж и подключение патч-кордов свыше 100 м до 150 м"/>
        <s v="Монтаж и подключение патч-кордов свыше 150 м до 200 м"/>
        <s v="Расключение кабеля"/>
        <s v="Расключение медного кабеля без брони и экрана, кабеля только с броней, кабеля только с экраном, кабеля с броней и общим экраном, Группа ББЭ/ОЭ/Б/(Б+ОЭ) (1 конец кабеля)"/>
        <s v="Расключение медного кабеля, Группа ББЭ/ОЭ/Б/(Б+ОЭ), общее количество жил 1-4, сечением жилы до 1 мм2"/>
        <s v="Расключение медного кабеля, Группа ББЭ/ОЭ/Б/(Б+ОЭ), общее количество жил 1-4, сечением жилы от 1 мм2 до 2,5 мм2"/>
        <s v="Расключение медного кабеля, Группа ББЭ/ОЭ/Б/(Б+ОЭ), общее количество жил 5-8, сечением жилы до 1 мм2"/>
        <s v="Расключение медного кабеля, Группа ББЭ/ОЭ/Б/(Б+ОЭ), общее количество жил 5-8, сечением жилы от 1 мм2 до 2,5 мм2"/>
        <s v="Расключение медного кабеля, Группа ББЭ/ОЭ/Б/(Б+ОЭ), общее количество жил 9-12, сечением жилы до 1 мм2"/>
        <s v="Расключение медного кабеля, Группа ББЭ/ОЭ/Б/(Б+ОЭ), общее количество жил 9-12, сечением жилы от 1 мм2 до 2,5 мм2"/>
        <s v="Расключение медного кабеля, Группа ББЭ/ОЭ/Б/(Б+ОЭ), общее количество жил 13-16, сечением жилы до 1 мм2"/>
        <s v="Расключение медного кабеля, Группа ББЭ/ОЭ/Б/(Б+ОЭ), общее количество жил 13-16, сечением жилы от 1 мм2 до 2,5 мм2"/>
        <s v="Расключение медного кабеля, Группа ББЭ/ОЭ/Б/(Б+ОЭ), общее количество жил 17-20, сечением жилы до 1 мм2"/>
        <s v="Расключение медного кабеля, Группа ББЭ/ОЭ/Б/(Б+ОЭ), общее количество жил 17-20, сечением жилы от 1 мм2 до 2,5 мм2"/>
        <s v="Расключение медного кабеля, Группа ББЭ/ОЭ/Б/(Б+ОЭ), общее количество жил 21-24, сечением жилы до 1 мм2"/>
        <s v="Расключение медного кабеля, Группа ББЭ/ОЭ/Б/(Б+ОЭ), общее количество жил 21-24, сечением жилы от 1 мм2 до 2,5 мм2"/>
        <s v="Расключение медного кабеля, Группа ББЭ/ОЭ/Б/(Б+ОЭ), общее количество жил 25-28, сечением жилы до 1 мм2"/>
        <s v="Расключение медного кабеля, Группа ББЭ/ОЭ/Б/(Б+ОЭ), общее количество жил 25-28, сечением жилы от 1 мм2 до 2,5 мм2"/>
        <s v="Расключение медного кабеля, Группа ББЭ/ОЭ/Б/(Б+ОЭ), общее количество жил 29-32, сечением жилы до 1 мм2"/>
        <s v="Расключение медного кабеля, Группа ББЭ/ОЭ/Б/(Б+ОЭ), общее количество жил 29-32, сечением жилы от 1 мм2 до 2,5 мм2"/>
        <s v="Расключение медного кабеля, Группа ББЭ/ОЭ/Б/(Б+ОЭ), общее количество жил 33-36, сечением жилы до 1 мм2"/>
        <s v="Расключение медного кабеля, Группа ББЭ/ОЭ/Б/(Б+ОЭ), общее количество жил 33-36, сечением жилы от 1 мм2 до 2,5 мм2"/>
        <s v="Расключение медного кабеля, Группа ББЭ/ОЭ/Б/(Б+ОЭ), общее количество жил 37-40, сечением жилы до 1 мм2"/>
        <s v="Расключение медного кабеля, Группа ББЭ/ОЭ/Б/(Б+ОЭ), общее количество жил 37-40, сечением жилы от 1 мм2 до 2,5 мм2"/>
        <s v="Расключение медного кабеля, Группа ББЭ/ОЭ/Б/(Б+ОЭ), общее количество жил 41-44, сечением жилы до 1 мм2"/>
        <s v="Расключение медного кабеля, Группа ББЭ/ОЭ/Б/(Б+ОЭ), общее количество жил 41-44, сечением жилы от 1 мм2 до 2,5 мм2"/>
        <s v="Расключение медного кабеля, Группа ББЭ/ОЭ/Б/(Б+ОЭ), общее количество жил 45-48, сечением жилы до 1 мм2"/>
        <s v="Расключение медного кабеля, Группа ББЭ/ОЭ/Б/(Б+ОЭ), общее количество жил 45-48, сечением жилы от 1 мм2 до 2,5 мм2"/>
        <s v="Расключение медного кабеля, Группа ББЭ/ОЭ/Б/(Б+ОЭ), общее количество жил 49-52, сечением жилы до 1 мм2"/>
        <s v="Расключение медного кабеля, Группа ББЭ/ОЭ/Б/(Б+ОЭ), общее количество жил 49-52, сечением жилы от 1 мм2 до 2,5 мм2"/>
        <s v="Расключение медного кабеля, Группа ББЭ/ОЭ/Б/(Б+ОЭ), общее количество жил 54-56, сечением жилы до 1 мм2"/>
        <s v="Расключение медного кабеля, Группа ББЭ/ОЭ/Б/(Б+ОЭ), общее количество жил 54-56, сечением жилы от 1 мм2 до 2,5 мм2"/>
        <s v="Расключение медного кабеля, Группа ББЭ/ОЭ/Б/(Б+ОЭ), общее количество жил 57-60, сечением жилы до 1 мм2"/>
        <s v="Расключение медного кабеля, Группа ББЭ/ОЭ/Б/(Б+ОЭ), общее количество жил 57-60, сечением жилы от 1 мм2 до 2,5 мм2"/>
        <s v="Расключение медного кабеля, Группа ББЭ/ОЭ/Б/(Б+ОЭ), общее количество жил 61-64, сечением жилы до 1 мм2"/>
        <s v="Расключение медного кабеля, Группа ББЭ/ОЭ/Б/(Б+ОЭ), общее количество жил 61-64, сечением жилы от 1 мм2 до 2,5 мм2"/>
        <s v="Расключение медного небронированного кабеля с общим и индивидуальным экранированием, бронированного кабеля с общим и индивидуальным экранированием, Группа - (ОЭ+ИЭ)/(Б+ОЭ+ИЭ) (1 конец кабеля)"/>
        <s v="Расключение медного кабеля, Группа (ОЭ+ИЭ)/(Б+ОЭ+ИЭ) , общее количество жил 1-4, сечением жилы до 1 мм2"/>
        <s v="Расключение медного кабеля, Группа (ОЭ+ИЭ)/(Б+ОЭ+ИЭ) , общее количество жил 1-4, сечением жилы от 1 мм2 до 2,5 мм2"/>
        <s v="Расключение медного кабеля, Группа (ОЭ+ИЭ)/(Б+ОЭ+ИЭ) , общее количество жил 5-8, сечением жилы до 1 мм2"/>
        <s v="Расключение медного кабеля, Группа (ОЭ+ИЭ)/(Б+ОЭ+ИЭ) , общее количество жил 5-8, сечением жилы от 1 мм2 до 2,5 мм2"/>
        <s v="Расключение медного кабеля,Группа (ОЭ+ИЭ)/(Б+ОЭ+ИЭ) , общее количество жил 9-12, сечением жилы до 1 мм2"/>
        <s v="Расключение медного кабеля, Группа (ОЭ+ИЭ)/(Б+ОЭ+ИЭ) , общее количество жил 9-12, сечением жилы от 1 мм2 до 2,5 мм2"/>
        <s v="Расключение медного кабеля, Группа (ОЭ+ИЭ)/(Б+ОЭ+ИЭ) , общее количество жил 13-16, сечением жилы до 1 мм2"/>
        <s v="Расключение медного кабеля, Группа (ОЭ+ИЭ)/(Б+ОЭ+ИЭ) , общее количество жил 13-16, сечением жилы от 1 мм2 до 2,5 мм2"/>
        <s v="Расключение медного кабеля, Группа (ОЭ+ИЭ)/(Б+ОЭ+ИЭ) , общее количество жил 17-20, сечением жилы до 1 мм2"/>
        <s v="Расключение медного кабеля, Группа (ОЭ+ИЭ)/(Б+ОЭ+ИЭ) , общее количество жил 17-20, сечением жилы от 1 мм2 до 2,5 мм2"/>
        <s v="Расключение медного кабеля, Группа (ОЭ+ИЭ)/(Б+ОЭ+ИЭ), общее количество жил 21-24, сечением жилы до 1 мм2"/>
        <s v="Расключение медного кабеля, Группа (ОЭ+ИЭ)/(Б+ОЭ+ИЭ) , общее количество жил 21-24, сечением жилы от 1 мм2 до 2,5 мм2"/>
        <s v="Расключение медного кабеля, Группа (ОЭ+ИЭ)/(Б+ОЭ+ИЭ) , общее количество жил 25-28, сечением жилы до 1 мм2"/>
        <s v="Расключение медного кабеля, Группа (ОЭ+ИЭ)/(Б+ОЭ+ИЭ) , общее количество жил 25-28, сечением жилы от 1 мм2 до 2,5 мм2"/>
        <s v="Расключение медного кабеля, Группа (ОЭ+ИЭ)/(Б+ОЭ+ИЭ) , общее количество жил 29-32, сечением жилы до 1 мм2"/>
        <s v="Расключение медного кабеля, Группа (ОЭ+ИЭ)/(Б+ОЭ+ИЭ) , общее количество жил 29-32, сечением жилы от 1 мм2 до 2,5 мм2"/>
        <s v="Расключение медного кабеля, Группа (ОЭ+ИЭ)/(Б+ОЭ+ИЭ) , общее количество жил 33-36, сечением жилы до 1 мм2"/>
        <s v="Расключение медного кабеля, Группа (ОЭ+ИЭ)/(Б+ОЭ+ИЭ) , общее количество жил 33-36, сечением жилы от 1 мм2 до 2,5 мм2"/>
        <s v="Расключение медного кабеля, Группа (ОЭ+ИЭ)/(Б+ОЭ+ИЭ) , общее количество жил 37-40, сечением жилы до 1 мм2"/>
        <s v="Расключение медного кабеля, Группа (ОЭ+ИЭ)/(Б+ОЭ+ИЭ) , общее количество жил 37-40, сечением жилы от 1 мм2 до 2,5 мм2"/>
        <s v="Расключение медного кабеля, Группа (ОЭ+ИЭ)/(Б+ОЭ+ИЭ) , общее количество жил 41-44, сечением жилы до 1 мм2"/>
        <s v="Расключение медного кабеля, Группа (ОЭ+ИЭ)/(Б+ОЭ+ИЭ) , общее количество жил 41-44, сечением жилы от 1 мм2 до 2,5 мм2"/>
        <s v="Расключение медного кабеля, Группа (ОЭ+ИЭ)/(Б+ОЭ+ИЭ) , общее количество жил 45-48, сечением жилы до 1 мм2"/>
        <s v="Расключение медного кабеля, Группа (ОЭ+ИЭ)/(Б+ОЭ+ИЭ) , общее количество жил 45-48, сечением жилы от 1 мм2 до 2,5 мм2"/>
        <s v="Расключение медного кабеля, Группа (ОЭ+ИЭ)/(Б+ОЭ+ИЭ) , общее количество жил 49-52, сечением жилы до 1 мм2"/>
        <s v="Расключение медного кабеля, Группа (ОЭ+ИЭ)/(Б+ОЭ+ИЭ) , общее количество жил 49-52, сечением жилы от 1 мм2 до 2,5 мм2"/>
        <s v="Расключение медного кабеля, Группа (ОЭ+ИЭ)/(Б+ОЭ+ИЭ) , общее количество жил 54-56, сечением жилы до 1 мм2"/>
        <s v="Расключение медного кабеля, Группа (ОЭ+ИЭ)/(Б+ОЭ+ИЭ) , общее количество жил 54-56, сечением жилы от 1 мм2 до 2,5 мм2"/>
        <s v="Расключение медного кабеля, Группа (ОЭ+ИЭ)/(Б+ОЭ+ИЭ) , общее количество жил 57-60, сечением жилы до 1 мм2"/>
        <s v="Расключение медного кабеля, Группа (ОЭ+ИЭ)/(Б+ОЭ+ИЭ) , общее количество жил 57-60, сечением жилы от 1 мм2 до 2,5 мм2"/>
        <s v="Расключение медного кабеля, Группа (ОЭ+ИЭ)/(Б+ОЭ+ИЭ) , общее количество жил 61-64, сечением жилы до 1 мм2"/>
        <s v="Расключение медного кабеля, Группа (ОЭ+ИЭ)/(Б+ОЭ+ИЭ) , общее количество жил 61-64, сечением жилы от 1 мм2 до 2,5 мм2"/>
        <s v="Расключение небронированного оптического кабеля"/>
        <s v="Монтаж соединительной муфты на небронированный оптический кабель с количеством волокон от 4 до 8 шт"/>
        <s v="Монтаж соединительной муфты на небронированный оптический кабель с количеством волокон от 10 до 24 шт"/>
        <s v="Монтаж соединительной муфты на небронированный оптический кабель с количеством волокон от 25 до 48 шт"/>
        <s v="Монтаж соединительной муфты небронированный оптический кабель с количеством волокон от 48 до 96 шт"/>
        <s v="Присоединение одной жилы (волокно) небронированного  оптического кабеля"/>
        <s v="Расключение бронированного оптического кабеля"/>
        <s v="Монтаж соединительной муфты на бронированный оптический кабель с количеством волокон от 4 до 8 шт"/>
        <s v="Монтаж соединительной муфты на бронированный оптический кабель с количеством волокон от 10 до 24 шт"/>
        <s v="Монтаж соединительной муфты на бронированный оптический кабель с количеством волокон от 25 до 48 шт"/>
        <s v="Монтаж соединительной муфты на бронированный оптический кабель с количеством волокон от 48 до 96 шт"/>
        <s v="Присоединение одной жилы (волокно) бронированного  оптического кабеля"/>
        <s v="Расключение кабелей СКС (UTP) (1 конец кабеля)"/>
        <s v="Расключение кабелей СКС (UTP) до 5 категории, 8 жил сечением до 0.6мм2"/>
        <s v="Расключение кабелей СКС (UTP) 6 категории, 8 жил сечением до 0.6мм2"/>
        <s v="Монтаж оборудования на строительной площадке"/>
        <s v="Монтаж импульсной трубки"/>
        <s v="Трубка импульсная диаметром до 10 мм"/>
        <s v="Трубка импульсная диаметром от 10 мм до 16 мм"/>
        <s v="Трубка импульсная диаметром от 16 мм до 25 мм"/>
        <s v="Изделие для монтажа импульсной трубки (фитинг, соединитель, муфта, тройник, заглушка, переходник и т.п.) с наружной или внутренней резьбой, для трубки наружным диаметром до 25 мм"/>
        <s v="Кран шаровой двухходовой с наружной или внутренней резьбой, для импульсной трубки КИП наружным диаметром до 25 мм"/>
        <s v="Трубка импульсная предизолированная с электрическим обогревом диаметром до 10 мм"/>
        <s v="Трубка импульсная предизолированная с электрическим обогревом диаметром от 10 мм до 16 мм"/>
        <s v="Трубка импульсная предизолированная с электрическим обогревом диаметром от 16 мм до 25 мм"/>
        <s v="Установка КИП для измерения давления"/>
        <s v="Преобразователь /датчик давления / сигнализатор давления / манометр (включая приборы дифференциального давления, включая резьбовое и фланцевое соединения) "/>
        <s v="Преобразователь /датчик давления / сигнализатор давления / манометр с изолирующей диафрагмой и капиллярной трубкой (включая укладку капиллярной трубки) "/>
        <s v="Преобразователь /датчик давления / сигнализатор дифференциального давления / дифференциальный манометр с изолирующей диафрагмой и капиллярной трубкой (включая укладку капиллярной трубки) "/>
        <s v="Установка КИП для измерения температуры"/>
        <s v="КИП для измерения температуры с капиллярной трубкой"/>
        <s v="Датчик температуры бесконтактный (инфракрасный, пирометр)"/>
        <s v="КИП для измерения температуры (термопреобразователь сопротивления, термопара, электронный датчик, преобразователь температуры, реле температуры, термометр, многоточечный датчик температуры) с глубиной погружения до 1 метра"/>
        <s v="КИП для измерения температуры поверхности (термопреобразователь сопротивления, термопара, электронный датчик, преобразователь температуры), монтаж на поверхности"/>
        <s v="КИП для измерения температуры (термопреобразователь сопротивления, термопара, электронный датчик, преобразователь температуры, реле температуры, термометр, многоточечный датчик температуры) с глубиной погружения от 1 до 5 метров"/>
        <s v="КИП для измерения температуры (термопреобразователь сопротивления, термопара, электронный датчик, преобразователь температуры, реле температуры, термометр, многоточечный датчик температуры) с глубиной погружения более 5 метров"/>
        <s v="КИП для измерения температуры воздуха (термопреобразователь сопротивления, электронный датчик, преобразователь температуры), монтаж на вертикальной поверхности"/>
        <s v="Установка КИП для измерения уровня"/>
        <s v="Уровнемерная колонка (в том числе уровнемерная колонка с указателем уровня)"/>
        <s v="КИП для измерения уровня (всех типов) с длиной погружаемой части до 1 метра (включая резьбовое и фланцевое присоединения к процессу)"/>
        <s v="КИП для измерения уровня (всех типов) с длиной погружаемой части от 1 до 5 метров (включая резьбовое и фланцевое присоединения к процессу)"/>
        <s v="КИП для измерения уровня (всех типов) с длиной погружаемой части более 5 метров (включая резьбовое и фланцевое присоединения к процессу)"/>
        <s v="Установка датчиков КИП"/>
        <s v="Датчик вибрации"/>
        <s v="Датчик осевого сдвига"/>
        <s v="Газоанализатор"/>
        <s v="Выносной индикатор"/>
        <s v="Установка шкафов, распределительных коробок, локальных станций управления, кнопочных постов, переключателей"/>
        <s v="Монтаж местных шкафов весом до 50 кг"/>
        <s v="Монтаж местных шкафов весом свыше 50 кг"/>
        <s v="Ручной переключатель, кнопочный пост, локальная станция управления уличного или взрывозащищенного исполнения, габаритами до 80x80x80мм (ШхВхГ)"/>
        <s v="Ручной переключатель, кнопочный пост, локальная станция управления уличного или взрывозащищенного исполнения, габаритами до 150x200x100мм (ШхВхГ)"/>
        <s v="Ручной переключатель, кнопочный пост, локальная станция управления уличного или взрывозащищенного исполнения, до 300x300x150мм (ШхВхГ)"/>
        <s v="Ручной переключатель, кнопочный пост, локальная станция управления невзрывозащищенного исполнения для применения в помещении, габаритами до 80x80x80мм (ШхВхГ)"/>
        <s v="Ручной переключатель, кнопочный пост, локальная станция управления невзрывозащищенного исполнения для применения в помещении, габаритами до 150x200x100мм (ШхВхГ)"/>
        <s v="Ручной переключатель, кнопочный пост, локальная станция управления невзрывозащищенного исполнения для применения в помещении, до 300x300x150мм (ШхВхГ)"/>
        <s v="Клеммная коробка уличного или взрывозащищенного исполнения, до 150x150x100мм (ШхВхГ)"/>
        <s v="Клеммная коробка уличного или взрывозащищенного исполнения, до 250x200x200мм (ШхВхГ)"/>
        <s v="Клеммная коробка уличного или взрывозащищенного исполнения, до 400x600x300мм (ШхВхГ)"/>
        <s v="Клеммная коробка невзрывозащищенного исполнения для применения в помещении, до 150x150x100мм (ШхВхГ)"/>
        <s v="Клеммная коробка невзрывозащищенного исполнения для применения в помещении, до 250x200x200мм (ШхВхГ)"/>
        <s v="Клеммная коробка невзрывозащищенного исполнения для применения в помещении, до 400x600x300мм (ШхВхГ)"/>
        <s v="Монтаж обогреваемых шкафов для установки КИП (термобоксов) до 30 кг"/>
        <s v="Монтаж обогреваемых шкафов для установки КИП (термобоксов) от 30 до 50 кг"/>
        <s v="Монтаж обогреваемых шкафов для установки КИП (термобоксов) более 50 кг"/>
        <s v="Дополнительные работы в части КИП при монтаже встраиваемых элементов (расходомеры)"/>
        <s v="Дополнительные работы в части КИП при монтаже расходомеров всех типов (ультразвуковой, вихревой, кориолисовый и т.д., за исключением расходомеров переменного перепада давления), интегрированного исполнения"/>
        <s v="Дополнительные работы в части КИП при монтаже расходомеров всех типов (ультразвуковой, вихревой, кориолисовый и т.д. , за исключением расходомеров переменного перепада давления), разнесенного исполнения"/>
        <s v="Дополнительные работы в части КИП при монтаже расходомеров переменного перепада давления (с комплектными импульсными линиями)"/>
        <s v="Дополнительные работы в части КИП при монтаже расходомеров переменного перепада давления (без комплектных импульсных линий)"/>
        <s v="Дополнительные работы в части КИП при монтаже отсечной запорной, запорно-регулирующей, регулирующей арматуры с приводом"/>
        <s v="Регулирующая арматура с пневмоприводом"/>
        <s v="Запорная арматура с пневмоприводом"/>
        <s v="Запорная арматура с пневмоприводом, с функцией проверки частичным ходом"/>
        <s v="Запорно-регулирующая арматура с пневмоприводом"/>
        <s v="Запорная, регулирующая, запорно-регулирующая арматура с электроприводом"/>
        <s v="Повторная поверка/калибровка КИП"/>
        <s v="Повторная поверка/калибровка приборов КИП"/>
        <s v="Монтажные работы в аппаратной, операторной, контроллерной"/>
        <s v="Установка шкафов, панелей, консолей и компьютерного оборудования"/>
        <s v="Шкаф, щит, кроссовый шкаф до 805 x 2200 x 805мм (ШхВхГ), до 350кг"/>
        <s v="Шкаф, щит, кроссовый шкаф до 1605 x 2200 x 805мм (ШхВхГ), до 800кг"/>
        <s v="Оборудование до 20кг (системный блок, монитор, принтер и пр.оборудование)"/>
        <s v="Шкаф, щит навесной до 50 кг"/>
        <s v="Шкаф, щит навесной от 50 кг до 150кг"/>
        <s v="Монтаж сервера"/>
        <s v="Пульт оператора, консоль до 1000x1000x1200мм (ШхВхГ)"/>
        <s v="Монтаж местных панелей весом до 50 кг"/>
        <s v="Монтаж местных панелей весом свыше 50 кг"/>
        <s v="Шкаф, щит, кроссовый шкаф шириной свыше 2400 мм и весом свыше 800 кг."/>
        <s v="Пульт оператора, консоль шириной до 2400мм"/>
        <s v="Пульт оператора, консоль шириной свыше 2400мм"/>
        <s v="Монтаж Анализаторов"/>
        <s v="Установка анализаторов"/>
        <s v="Стойка анализатора, до 805x2200x805мм (ШхВхГ)"/>
        <s v="Полевой шкаф анализатора, до 1605x2200x805мм (ШхВхГ)"/>
        <s v="Анализатор измерения плотности"/>
        <s v="Анализатор измерения проводимости"/>
        <s v="Анализатор измерения pH"/>
        <s v="Анализатор парамагнитный"/>
        <s v="Анализатор инфракрасный"/>
        <s v="Ручной отбор проб"/>
        <s v="Анализатор влажности"/>
        <s v="Анализатор системы измерения выбросов и сбросов"/>
        <s v="Газовый хроматограф"/>
        <s v="Устройство отбора проб"/>
        <s v="Емкости с калибровочным газом"/>
        <s v="Хроматограф"/>
        <s v="Полевой шкаф анализатора, от 1605х2200х805 до 2090x2560x1500 мм (ШхВхГ)"/>
        <s v="Поточный анализатор нефтепродуктов"/>
        <s v="Поточный анализатор качества воды"/>
        <s v="Монтаж телекоммуникационного оборудования"/>
        <s v="Система громкоговорящей связи и внутренней связи, полевое оборудование"/>
        <s v="Станция внутренней связи наружного типа"/>
        <s v="Станция внутренней связи внутреннего типа"/>
        <s v="Монтаж шумопоглощающего кожуха"/>
        <s v="Монтаж проблесковых маяков"/>
        <s v="Монтаж громкоговорителя наружного исполнения"/>
        <s v="Монтаж громкоговорителя внутреннего исполнения (накладной)"/>
        <s v="Монтаж громкоговорителя внутреннего исполнения (врезной)"/>
        <s v="Система видеонаблюдения"/>
        <s v="Монтаж внутренней видеокамеры"/>
        <s v="Монтаж наружной видеокамеры"/>
        <s v="Монтаж внутренней PTZ видеокамеры "/>
        <s v="Монтаж наружной PTZ видеокамеры"/>
        <s v="Монтаж защитного кожуха"/>
        <s v="Монтаж и подключение ЖК монитора 29&quot;-47&quot;"/>
        <s v="Монтаж видеорегистратора"/>
        <s v="Монтаж PoE-инжектора"/>
        <s v="Монтаж КВМ-удлинителя (приемник-передатчик)"/>
        <s v="Установка и соединение антенной системы"/>
        <s v="Монтаж опоры для антенны связи наружной установки высотой до 6м"/>
        <s v="Монтаж опоры для антенны связи наружной установки высотой до 12м"/>
        <s v="Монтаж опоры для антенны связи наружной установки высотой до 18м"/>
        <s v="Монтаж опоры для антенны связи наружной установки высотой до 24м"/>
        <s v="Монтаж опоры для антенны связи наружной установки высотой свыше 24м"/>
        <s v="Монтаж антенны на опору высотой до 6м"/>
        <s v="Монтаж антенны на опору высотой до 12м"/>
        <s v="Монтаж антенны на опору высотой до 18м"/>
        <s v="Монтаж антенны на опору высотой до 24м"/>
        <s v="Монтаж антенны на опору высотой свыше до 24м"/>
        <s v="Монтаж антенны в здании"/>
        <s v="Монтаж мачты связи"/>
        <s v="Монтаж антенны точки доступа WIFI (установка в зданиях)"/>
        <s v="Монтаж антенны ретранслятора сотовой связи (установка в зданиях)"/>
        <s v="Монтаж оборудования и панелей в зданиях"/>
        <s v="Монтаж кроссового, телекоммуникационного шкафа до 100 кг"/>
        <s v="Монтаж кроссового, телекоммуникационного шкафа от 101 до 300 кг"/>
        <s v="Монтаж кроссового, телекоммуникационного шкафа свыше 301 кг"/>
        <s v="Монтаж коммутационной панели оптоволоконных линий (до 12 волокон)"/>
        <s v="Монтаж коммутационной панели оптоволоконных линий (до 24 волокон)"/>
        <s v="Монтаж коммутационной панели оптоволоконных линий (до 48 волокон)"/>
        <s v="Монтаж коммутационной панели оптоволоконных линий (до 96 волокон)"/>
        <s v="Монтаж консоли оператора"/>
        <s v="Монтаж коммутатора /маршрутизатора /криптошлюза /межсетевого экрана"/>
        <s v="Монтаж медиаконвертера"/>
        <s v="Монтаж преобразователь интерфейсов RS-485/RS-232 в Ethernet"/>
        <s v="Монтаж розетки телекоммуникационной (накладной монтаж)"/>
        <s v="Монтаж розетки телекоммуникационной (встраеваемой)"/>
        <s v="Монтаж автоматического выключателя"/>
        <s v="Монтаж пульта управления климатом кондиционер/вентиляция/теплый пол/отопление (накладной монтаж)"/>
        <s v="Монтаж пульта управления климатом кондиционер/вентиляция/теплый пол/отопление (встраиваемый монтаж)"/>
        <s v="Монтаж систем обеспечения безопасности"/>
        <s v="Датчик пожарной сигнализации дыма / тепловой наружного исполнения"/>
        <s v="Датчик пожарной сигнализации дыма / тепловой внутреннего исполнения"/>
        <s v="Датчик пожарной сигнализации инфракрасный / пламени наружного исполнения"/>
        <s v="Датчик пожарной сигнализации инфракрасный / пламени внутреннего исполнения"/>
        <s v="Блок линейного теплового извещателя наружного исполнения"/>
        <s v="Блок линейного теплового извещателя внутреннего исполнения"/>
        <s v="Термокабель для линейного теплового извещателя"/>
        <s v="Проблесковый маячок наружного исполнения"/>
        <s v="Проблесковый маячок внутреннего исполнения"/>
        <s v="Сирена, звуковой оповещатель наружного исполнения"/>
        <s v="Сирена, звуковой оповещатель внутреннего исполнения"/>
        <s v="Монтаж светового табло наружного исполнения"/>
        <s v="Монтаж светового табло внутреннего исполнения"/>
        <s v="Извещатель пожарный ручной, кнопка наружного исполнения"/>
        <s v="Извещатель пожарный ручной, кнопка внутреннего исполнения"/>
        <s v="Монтаж поста светозвуковой сигнализации наружного исполнения"/>
        <s v="Монтаж поста светозвуковой сигнализации внутреннего исполнения"/>
        <s v="Пункт ручного оповещения наружного исполнения"/>
        <s v="Пункт ручного оповещения внутреннего исполнения"/>
        <s v="Монтаж приемно-контрольного прибора на 1-4 зоны"/>
        <s v="Монтаж приемно-контрольного прибора на 5-8 зон"/>
        <s v="Монтаж приемно-контрольного прибора на 9 зон и более"/>
        <s v="Датчик загазованности наружного исполнения"/>
        <s v="Датчик загазованности внутреннего исполнения"/>
        <s v="Линейный оптический дымовой извещатель наружного исполнения"/>
        <s v="Линейный оптический дымовой извещатель внутреннего исполнения"/>
        <s v="Блок аспирационного извещателя"/>
        <s v="Монтаж труб для аспирационного извещателя"/>
        <s v="Монтаж пульта контроля и управления"/>
        <s v="Монтаж клавиатуры"/>
        <s v="Монтаж модуля расширения"/>
        <s v="Монтаж GSM-модуля"/>
        <s v="Монтаж выносной антенны"/>
        <s v="Монтаж щита распределительного"/>
        <s v="Монтаж блока бесперебойного питания"/>
        <s v="Монтаж РИП (резервного источника питания)"/>
        <s v="Монтаж магнитоконтактного извещателя внутренней установки"/>
        <s v="Монтаж магнитоконтактного извещателя наружной установки"/>
        <s v="Монтаж извещателя поверхностного вибрационного/емкостного"/>
        <s v="Монтаж извещателя охранного объемного оптико-электронного"/>
        <s v="Монтаж блока разветвительно-изолирующего"/>
        <s v="Монтаж адресного расширителя"/>
        <s v="Монтаж тревожной кнопки"/>
        <s v="Монтаж комбинированного светозвукового оповещателя СЗУ"/>
        <s v="Монтаж сейфа оружейного"/>
        <s v="Монтаж контроллера доступа в комплекте с источником питания"/>
        <s v="Монтаж считывателя внутреннего"/>
        <s v="Монтаж считывателя наружного"/>
        <s v="Монтаж замка электромагнитного"/>
        <s v="Монтаж защелки электромеханической"/>
        <s v="Монтаж устройства коммутационного"/>
        <s v="Монтаж кнопки аварийного открывания двери"/>
        <s v="Монтаж турникета полуростового на 1 проход"/>
        <s v="Монтаж турникета полуростового на 2 прохода"/>
        <s v="Монтаж турникета полноростового на 1 проход"/>
        <s v="Монтаж турникета полноростового на 2 прохода"/>
        <s v="Монтаж турникета полноростового на 3 прохода"/>
        <s v="Монтаж пульта управления турникетом"/>
        <s v="Монтаж картоприемника"/>
        <s v="Монтаж ограждения высота не менее 1200 мм, ширина 1000 мм (м/п)"/>
        <s v="Металлодетектор стационарный панельный"/>
        <s v="Монтаж блок вызова видеодомофона"/>
        <s v="Монтаж абонентской панели видеодомофона"/>
        <s v="Монтаж шкафа системы оповещения"/>
        <s v="Монтаж микрофонной панели"/>
        <s v="Монтаж громкоговорителя, в комплекте с коробкой"/>
        <s v="Блок индикации с клавиатурой"/>
        <s v="Монтаж блока вибрационного средства обнаружения"/>
        <s v="Кабель вибрационного средства обнаружения"/>
        <s v="Монтаж извещателя охранного радиоволнового"/>
        <s v="Монтаж светофора, электронного табло"/>
        <s v="Монтаж пульта управления шлагбаумом для проезда"/>
        <s v="Монтаж пульта управления дорожным блокиратором"/>
        <s v="Монтаж шлагбаума для установки на КПП"/>
        <s v="Монтаж противотаранного устройства шлагбаумного типа"/>
        <s v="Монтаж искусственной дорожной неровности"/>
        <s v="Монтаж предупреждающей таблички до 600х400"/>
        <s v="Монтаж колесоотбойника"/>
        <s v="Монтаж противотаранного дорожного столба (по типу ДСС-275/18/800)"/>
        <s v="Монтаж противотаранного устройства накладного до 4 м"/>
        <s v="Монтаж противотаранного устройства подземного типа до 4 м"/>
        <s v="Монтаж систем мультимедионого оборудования"/>
        <s v="Монтаж экранов/панелей"/>
        <s v="Монтаж TV панели до 65&quot;"/>
        <s v="Монтаж TV панели свыше 65&quot;"/>
        <s v="Монтаж видеостен на основе LED/OLED/QLED/TFT панелей"/>
        <s v="Монтаж видеопроекторов"/>
        <s v="Монтаж подвесного видеопроектора"/>
        <s v="Монтаж напольного видеопроектора"/>
        <s v="Монтаж экрана механизированного"/>
        <s v="Монтаж экрана стационарного"/>
        <s v="Система электрообогрева"/>
        <s v="Монтаж греющего кабеля"/>
        <s v="Саморегулирующий кабель электрообогрева"/>
        <s v="Монтаж саморегулирующего греющего кабеля на элементах водосточной системы и кровле"/>
        <s v="Монтаж саморегулирующего греющего кабеля на трубопровод"/>
        <s v="Монтаж саморегулирующего греющего кабеля на оборудование"/>
        <s v="Греющий кабель с полимерной/минеральной изоляцией"/>
        <s v="Монтаж греющего кабеля с полимерной/минеральной изоляцией"/>
        <s v="Элементы для обеспечения работоспособности и контроля системы электрообогрева"/>
        <s v="Монтаж распределительной коробки для греющего кабеля"/>
        <s v="Устройство концевой заделки (оконцевание жил греющего кабеля)"/>
        <s v="Ввод греющего кабеля в коробку и его расключение"/>
        <s v="Монтаж термостата / контроллера / датчика температуры"/>
        <s v="Греющий кабель постоянной мощности (резистивный)"/>
        <s v="Монтаж греющего кабеля постоянной мощности для заливки в бетон"/>
        <s v="Монтаж локальных распределительных панелей питания/управления на строительной площадке"/>
        <s v="Распределительные шкаф, щиты, панели для систем электрообогрева"/>
        <s v="Монтаж панели распределения/управления электрообогревом высотой до 1200 мм, шириной до 1000 мм массой до 100кг"/>
        <s v="Монтаж распределительной панели питания/управления электрообогревом, высота до 2100 мм, ширина от 1000 до 2000 мм, массой до 500кг"/>
        <s v="Монтаж распределительной панели питания/управления электрообогревом, высота до 2100 мм, ширина от 2000 до 4000 мм, массой до 1000кг"/>
        <s v="Переходы подземные"/>
        <s v="Переходы подземные скрытые"/>
        <s v="Монтаж/демонтаж установки для продавливания"/>
        <s v="Монтаж и демонтаж установки для продавливания"/>
        <s v="Монтаж и демонтаж установки для прокола"/>
        <s v="Устройство футляра открытым способом"/>
        <s v="Устройство футляра открытым способом из стальных труб"/>
        <s v="Устройство футляра открытым способом из стальных труб до Ду 250"/>
        <s v="Устройство футляра открытым способом из стальных труб свыше Ду 250 до Ду 400"/>
        <s v="Устройство футляра открытым способом из стальных труб свыше Ду 400 до Ду 700"/>
        <s v="Устройство футляра открытым способом из стальных труб свыше Ду 700 до Ду 1100"/>
        <s v="Устройство футляра открытым способом из стальных труб свыше Ду 1100 до Ду 1300"/>
        <s v="Устройство футляра открытым способом из стальных труб свыше Ду 1300"/>
        <s v="Устройство футляра открытым способом из полиэтиленовых/полипропиленовых труб"/>
        <s v="Устройство футляра открытым способом из полиэтиленовых/полипропиленовых труб до Ду 250"/>
        <s v="Устройство футляра открытым способом из полиэтиленовых/полипропиленовых труб свыше Ду 250 до Ду 400"/>
        <s v="Устройство футляра открытым способом из полиэтиленовых/полипропиленовых труб свыше Ду 400 до Ду 700"/>
        <s v="Устройство футляра открытым способом из полиэтиленовых/полипропиленовых труб свыше Ду 700 до Ду 1100"/>
        <s v="Устройство футляра открытым способом из полиэтиленовых/полипропиленовых труб свыше Ду 1100 до Ду 1300"/>
        <s v="Устройство футляра открытым способом из полиэтиленовых/полипропиленовых труб свыше Ду 1300"/>
        <s v="Испытание манжет на герметичность"/>
        <s v="ПОДГОТОВКА К ПНР"/>
        <s v="РАБОТЫ ПО ЭЛЕКТРООБОРУДОВАНИЮ до 35 кВ"/>
        <s v="Трансформатор силовой до 35 кВ"/>
        <s v="Индивидуальные и функциональные испытания. Трансформатор силовой сухой, с номинальным напряжением первичной обмотки 6-35 кВ, с естественным охлаждением"/>
        <s v="Индивидуальные и функциональные испытания. Трансформатор силовой сухой, с номинальным напряжением первичной обмотки 6-35 кВ, с принудительным охлаждением"/>
        <s v="Индивидуальные и функциональные испытания. Трансформатор силовой масляный, с номинальным напряжением первичной обмотки 6-35 кВ, с естественным охлаждением"/>
        <s v="Индивидуальные и функциональные испытания. Трансформатор силовой масляный, с номинальным напряжением первичной обмотки 6-35 кВ, с принудительным охлаждением"/>
        <s v="Шинопровод до 35 кВ"/>
        <s v="Индивидуальные и функциональные испытания. Шинопровод 6-35 кВ (трехфазный+N)"/>
        <s v="Индивидуальные и функциональные испытания. Шинопровод до 1 кВ (трехфазный+N)"/>
        <s v="Кабельная линия до 35 кВ"/>
        <s v="Индивидуальные и функциональные испытания. Кабельная линия свыше 1 кВ до 35 кВ"/>
        <s v="Индивидуальные и функциональные испытания. Кабельная линия до 1 кВ"/>
        <s v="Распределительное устройство до 35 кВ"/>
        <s v="Индивидуальные и функциональные испытания. Ячейка ввода 6-35 кВ"/>
        <s v="Индивидуальные и функциональные испытания. Отходящая ячейка 6-35 кВ"/>
        <s v="Индивидуальные и функциональные испытания. Ячейка ввода до 1 кВ"/>
        <s v="Индивидуальные и функциональные испытания. Отходящая ячейка до 1 кВ"/>
        <s v="Индивидуальные и функциональные испытания. Ячейка секционного выключателя с АВР 6-35 кВ"/>
        <s v="Индивидуальные и функциональные испытания. Ячейка секционного выключателя с АВР до 1 кВ"/>
        <s v="Индивидуальные и функциональные испытания. Ячейка измерительного трансформатора напряжения 6-35 кВ"/>
        <s v="Система оперативного тока (ИБП)"/>
        <s v="Индивидуальные и функциональные испытания. Система оперативного тока (ИБП): мощностью от 5 до 20 кВА, включая контрольные линии"/>
        <s v="Индивидуальные и функциональные испытания. Система оперативного тока (ИБП): мощностью от 20 до 50 кВА, включая контрольные линии"/>
        <s v="Индивидуальные и функциональные испытания. Система оперативного тока (ИБП): мощностью свыше 50 кВА, включая контрольные линии"/>
        <s v="Дизель-генераторная установка"/>
        <s v="Индивидуальные и функциональные испытания. Дизель-генераторная установка (ДГУ), мощностью свыше 50 кВА и до 100 кВА, включая контрольные линии"/>
        <s v="Индивидуальные и функциональные испытания. Дизель-генераторная установка (ДГУ), мощностью свыше 100 кВА, включая контрольные линии"/>
        <s v="Система аварийной, предупредительной и центральной сигнализации ПС / РУ"/>
        <s v="Индивидуальные и функциональные испытания. Система аварийной, предупредительной и центральной сигнализации ПС / РУ"/>
        <s v="Система ДГР (дугогасящий реактор) с управлением"/>
        <s v="Индивидуальные и функциональные испытания. Система ДГР (дугогасящий реактор) с управлением"/>
        <s v="Устройство компенсации реактивной мощности до 35 кВ"/>
        <s v="Индивидуальные и функциональные испытания. Устройство компенсации реактивной мощности (УКРМ) 6-35 кВ, включая контрольные линии"/>
        <s v="Индивидуальные и функциональные испытания. Устройство компенсации реактивной мощности (УКРМ) до 1кВ, включая контрольные линии"/>
        <s v="Вводно-распределительный/распределительный щит до 1кВ"/>
        <s v="Индивидуальные и функциональные испытания. Вводно-распределительный щит с АВР, включая контрольные линии: кол-во АВ до 12"/>
        <s v="Индивидуальные и функциональные испытания. Вводно-распределительный щит с АВР, включая контрольные линии: кол-во АВ до 24"/>
        <s v="Индивидуальные и функциональные испытания. Вводно-распределительный щит с АВР, включая контрольные линии: кол-во АВ свыше 24"/>
        <s v="Индивидуальные и функциональные испытания. Вводно-распределительный щит без АВР, включая контрольные линии: кол-во АВ до 12"/>
        <s v="Индивидуальные и функциональные испытания. Вводно-распределительный щит без АВР, включая контрольные линии: кол-во АВ до 24"/>
        <s v="Индивидуальные и функциональные испытания. Вводно-распределительный щит без АВР, включая контрольные линии: кол-во АВ свыше 24"/>
        <s v="Индивидуальные и функциональные испытания. Распределительный щит (освещения), включая контрольные линии: кол-во АВ до 12"/>
        <s v="Индивидуальные и функциональные испытания. Распределительный щит (освещения), включая контрольные линии: кол-во АВ свыше 12"/>
        <s v="Индивидуальные и функциональные испытания. Распределительный щит (потребители малой мощности, номинальный ток вводного автомата до 63А), включая контрольные линии: кол-во АВ до 12"/>
        <s v="Индивидуальные и функциональные испытания. Распределительный щит (потребители малой мощности, номинальный ток вводного автомата до 63А), включая контрольные линии: кол-во АВ свыше 12"/>
        <s v="Индивидуальные и функциональные испытания. Вводной-распределительный щит с рубильником и предохранителями"/>
        <s v="Индивидуальные и функциональные испытания. Щит питания электрообогрева без АВР, включая контрольные линии и цепи управления: кол-во АВ до 12"/>
        <s v="Индивидуальные и функциональные испытания. Щит питания электрообогрева без АВР, включая контрольные линии и цепи управления: кол-во АВ до 24"/>
        <s v="Индивидуальные и функциональные испытания. Щит питания электрообогрева без АВР, включая контрольные линии и цепи управления: кол-во АВ свыше 24"/>
        <s v="Индивидуальные и функциональные испытания. Щит питания электрообогрева с АВР, включая контрольные линии и цепи управления: кол-во АВ до 12"/>
        <s v="Индивидуальные и функциональные испытания. Щит питания электрообогрева с АВР, включая контрольные линии и цепи управления: кол-во АВ до 24"/>
        <s v="Индивидуальные и функциональные испытания. Щит питания электрообогрева с АВР, включая контрольные линии и цепи управления: кол-во АВ свыше 24"/>
        <s v="Индивидуальные и функциональные испытания. Греющий кабель"/>
        <s v="Электродвигатель"/>
        <s v="Индивидуальные и функциональные испытания. Система питания и управления электродвигателем, с частотным преобразователем или устройством плавного пуска, до 1кВ, током до 100А, включая контрольные линии и цепи управления"/>
        <s v="Индивидуальные и функциональные испытания. Система питания и управления электродвигателем, с частотным преобразователем или устройством плавного пуска, до 1кВ, током свыше 100А, включая контрольные линии и цепи управления"/>
        <s v="Индивидуальные и функциональные испытания. Система питания и управления электродвигателем, с частотным преобразователем или устройством плавного пуска, свыше 1кВ, мощностью до 2 МВт, включая контрольные линии и цепи управления"/>
        <s v="Индивидуальные и функциональные испытания. Электродвигатель до 1 кВ, трёхфазный"/>
        <s v="Индивидуальные и функциональные испытания. Электродвигатель свыше 1кВ"/>
        <s v="Индивидуальные и функциональные испытания. Электропривод ЗРА, включая контрольные линии"/>
        <s v="Индивидуальные и функциональные испытания. Электродвигатель до 1кВ, однофазный"/>
        <s v="Индивидуальные и функциональные испытания. Система питания и управления электродвигателем, с частотным преобразователем или устройством плавного пуска, свыше 1кВ, мощностью свыше 2 МВт, включая контрольные линии и цепи управления"/>
        <s v="Технологический электронагреватель"/>
        <s v="Индивидуальные и функциональные испытания. Технологический электронагреватель до 1 кВ, трёхфазный, включая контрольные линии"/>
        <s v="Индивидуальные и функциональные испытания. Технологический электронагреватель до 1 кВ, однофазный, включая контрольные линии"/>
        <s v="Индивидуальные и функциональные испытания. Тиристорная панель управления электронагревателем до 1 кВ, включая контрольные линии"/>
        <s v="Система заземления"/>
        <s v="Индивидуальные и функциональные испытания. Система заземления эстакады"/>
        <s v="Индивидуальные и функциональные испытания. Система заземления опор, мачт, молниеотводов с локальным контуром заземления"/>
        <s v="Индивидуальные и функциональные испытания. Система заземления здания с диагональю контура заземления до 20м"/>
        <s v="Индивидуальные и функциональные испытания. Система заземления здания с диагональю контура заземления до 200м"/>
        <s v="Дополнительное электрооборудование"/>
        <s v="Индивидуальные и функциональные испытания. Микропроцессорное устройство (защита и/или управление электрооборудованием напряжением до 1 кВ) с кол-ом входных сигналов: до 10"/>
        <s v="Индивидуальные и функциональные испытания. Микропроцессорное устройство (защита и/или управление электрооборудованием напряжением до 1 кВ) с кол-ом входных сигналов: свыше 10"/>
        <s v="Индивидуальные и функциональные испытания. Выключатель до 1 кВ, с номинальным током до 100А"/>
        <s v="Индивидуальные и функциональные испытания. Выключатель до 1 кВ, с номинальным током свыше 100А"/>
        <s v="Индивидуальные и функциональные испытания. Разъединитель (отделитель, короткозамыкатель) напряжением 6-35 кВ"/>
        <s v="Индивидуальные и функциональные испытания. Трансформатор тока до 1 кВ"/>
        <s v="Индивидуальные и функциональные испытания. Трансформатор тока 6-35 кВ"/>
        <s v="Индивидуальные и функциональные испытания. Блок питания с аккумуляторной батареей, мощностью до 5 кВА"/>
        <s v="Индивидуальные и функциональные испытания. Ограничитель перенапряжения 6-35 кВ"/>
        <s v="Индивидуальные и функциональные испытания. Автоматический и/или дифференциальный выключатель, однофазный"/>
        <s v="Индивидуальные и функциональные испытания. Трансформатор сухой однофазный, напряжением до 1 кВ"/>
        <s v="РАБОТЫ ПО КОНФИГУРИРОВАНИЮ, НАСТРОЙКЕ И ПРОВЕРКЕ ФУНКЦИОНИРОВАНИЯ ОБОРУДОВАНИЯ АВТОМАТИЗИРОВАННЫХ СИСТЕМ УПРАВЛЕНИЯ И СИГНАЛИЗАЦИИ"/>
        <s v="Одиночный контур тестирования аналоговый"/>
        <s v="Одиночный контур тестирования аналоговый. Полевой уровень"/>
        <s v="Одиночный контур тестирования аналоговый. Средний уровень"/>
        <s v="Одиночный контур тестирования аналоговый. Верхний уровень"/>
        <s v="Одиночный контур тестирования дискретный"/>
        <s v="Одиночный контур тестирования дискретный. Полевой уровень"/>
        <s v="Одиночный контур тестирования дискретный. Средний уровень"/>
        <s v="Одиночный контур тестирования дискретный. Верхний уровень"/>
        <s v="Одиночный контур тестирования дискретный (не требующий наладки)"/>
        <s v="Одиночный контур тестирования дискретный (не требующий наладки). Полевой уровень"/>
        <s v="Одиночный контур тестирования дискретный (не требующий наладки). Средний уровень"/>
        <s v="Одиночный контур тестирования дискретный (не требующий наладки). Верхний уровень"/>
        <s v="Проверка связи с электрическим оборудованием"/>
        <s v="Проверка связи с электрическим оборудованием. Средний уровень"/>
        <s v="Проверка связи с электрическим оборудованием. Верхний уровень"/>
        <s v="Одиночный контур прибора с последовательным интерфейсом не адресный"/>
        <s v="Одиночный контур прибора с последовательным интерфейсом не адресный. Полевой уровень"/>
        <s v="Одиночный контур прибора с последовательным интерфейсом не адресный. Средний уровень"/>
        <s v="Одиночный контур прибора с последовательным интерфейсом не адресный. Верхний уровень"/>
        <s v="Одиночный контур прибора с последовательным интерфейсом адресный"/>
        <s v="Одиночный контур прибора с последовательным интерфейсом адресный. Полевой уровень"/>
        <s v="Одиночный контур прибора с последовательным интерфейсом адресный. Средний уровень"/>
        <s v="Одиночный контур прибора с последовательным интерфейсом адресный. Верхний уровень"/>
        <s v="Автономная наладка автоматизированной системы диспетчеризации (Верхний уровень)"/>
        <s v="РАБОТЫ ПО КОНФИГУРИРОВАНИЮ, НАСТРОЙКЕ И ПРОВЕРКЕ ФУНКЦИОНИРОВАНИЯ ОБОРУДОВАНИЯ СИСТЕМЫ IP-ТЕЛЕФОНИИ"/>
        <s v="Проверка, настройка и конфигурирование IP АТС"/>
        <s v="Конфигурация и настройка оконечного оборудования IP-телефонии"/>
        <s v="РАБОТЫ ПО КОНФИГУРИРОВАНИЮ, НАСТРОЙКЕ И ПРОВЕРКЕ ФУНКЦИОНИРОВАНИЯ ТЕЛЕКОММУНИКАЦИОННОГО ОБОРУДОВАНИЯ"/>
        <s v="Конфигурирование и настройка коммуникационного аппарата"/>
        <s v="РАБОТЫ ПО КОНФИГУРИРОВАНИЮ, НАСТРОЙКЕ И ПРОВЕРКЕ ФУНКЦИОНИРОВАНИЯ ОБОРУДОВАНИЯ СИСТЕМЫ ВИДЕОНАБЛЮДЕНИЯ"/>
        <s v="Конфигурирование и настройка IP-камеры видеонаблюдения"/>
        <s v="Конфигурирование и настройка программного обеспечения на сервере системы видеонаблюдения"/>
        <s v="Интегрирование IP-камеры видеонаблюдения в программное обеспечение серверов системы видеонаблюдения"/>
        <s v="Конфигурирование и настройка программного обеспечения на АРМ системы видеонаблюдения"/>
        <s v="Конфигурирование и настройка программного обеспечения на видеосервере распознавания номеров (автомобильных, железнодорожных) системы видеонаблюдения"/>
        <s v="Конфигурирование и настройка программного обеспечения на видеосервере распознавания номеров (автомобильных, железнодорожных) системы видеонаблюдения. Совмещение функций по распознаванию номеров (автомобильных, железнодорожных) на сервере системы видеонаблюдения"/>
        <s v="Конфигурирование и настройка программного обеспечения на видеосервере распознавания лиц системы видеонаблюдения"/>
        <s v="Конфигурирование и настройка программного обеспечения на видеосервере распознавания лиц системы видеонаблюдения. Совмещение функций по распознаванию лиц на сервере системы видеонаблюдения"/>
        <s v="Конфигурирование и настройка программного обеспечения на панели управления камерами видеонаблюдения"/>
        <s v="РАБОТЫ ПО КОНФИГУРИРОВАНИЮ, НАСТРОЙКЕ И ПРОВЕРКЕ ФУНКЦИОНИРОВАНИЯ ОБОРУДОВАНИЯ ДГГС/ЛСО"/>
        <s v="Конфигурирование и настройка головного устройства управления ДГГС/ЛСО"/>
        <s v="Конфигурирование и настройка оконечного оборудования ДГГС/ЛСО"/>
        <s v="Проверка и настройка прохождения сигнала по всей цепи &quot;Головное устройство-объект оповещения-оконечные устройства&quot; ДГГС/ЛСО"/>
        <s v="Проверка и настройка прохождения сигнала по всей цепи &quot;Головное устройство-объект оповещения-оконечные устройства&quot; ДГГС/ЛСО. Полевой уровень"/>
        <s v="Проверка и настройка прохождения сигнала по всей цепи &quot;Головное устройство-объект оповещения-оконечные устройства&quot; ДГГС/ЛСО. Верхний уровень"/>
        <s v="РАБОТЫ ПО КОНФИГУРИРОВАНИЮ, НАСТРОЙКЕ И ПРОВЕРКЕ ФУНКЦИОНИРОВАНИЯ ОБОРУДОВАНИЯ СЕРВЕРОВ И АРМ-ов СИСТЕМ СВЯЗИ"/>
        <s v="Конфигурирование и настройка программного обеспечения на сервере системы связи"/>
        <s v="Конфигурирование и настройка программного обеспечения на АРМ системы связи"/>
        <s v="РАБОТЫ ПО КОНФИГУРИРОВАНИЮ, НАСТРОЙКЕ И ПРОВЕРКЕ ФУНКЦИОНИРОВАНИЯ ОБОРУДОВАНИЯ АНАЛИТИЧЕСКИХ СИСТЕМ"/>
        <s v="Конфигурирование, настройка, проверка. Хроматограф газовый"/>
        <s v="Конфигурирование, настройка, проверка. Анализатор следов влаги"/>
        <s v="Конфигурирование, настройка, проверка. Газоанализатор"/>
        <s v="Конфигурирование, настройка, проверка. Газоанализатор многоканальный"/>
        <s v="Конфигурирование, настройка, проверка. Анализатор жидкости"/>
        <s v="Конфигурирование, настройка, проверка. Анализатор общего органического углерода/натрия/кремния"/>
        <s v="Конфигурирование, настройка, проверка. Шкаф/пункт системы пробоподготовки"/>
        <s v="ДОПОЛНИТЕЛЬНЫЕ РАБОТЫ ПО КОНФИГУРИРОВАНИЮ, НАСТРОЙКЕ И ПРОВЕРКЕ ФУНКЦИОНИРОВАНИЯ ОБОРУДОВАНИЯ АВТОМАТИЗИРОВАННЫХ СИСТЕМ УПРАВЛЕНИЯ И СИГНАЛИЗАЦИИ, СИСТЕМ СВЯЗИ"/>
        <s v="Подготовка полевой линии связи одиночного контура аналогового (от датчика аналогового/исполнительного устройства с аналоговым управлением до клемника в шкафу)"/>
        <s v="Подготовка полевой линии связи одиночного контура дискретного (от датчика дискретного/исполнительного устройства с дискретным управлением до клемника в шкафу)"/>
        <s v="Подготовка полевой линии связи контура прибора с последовательным интерфейсом не адресным"/>
        <s v="Подготовка полевой линии связи контура прибора с последовательным интерфейсом адресным"/>
        <s v="Подготовка полевой линии связи до оконечного устройства системы связи"/>
        <s v="Проверка оптической линии связи"/>
        <s v="Проверка полевой интерфейсной линии связи"/>
        <s v="Конфигурирование и настройка программного обеспечения"/>
        <s v="Настройка сетевой карты ИБП"/>
        <s v="Настройка системы мониторинга климата (контроль температуры, влажности, открытия дверей) в Телекоммуникационных шкафах систем связи"/>
        <s v="Разработка логической взаимосвязи (топологии) на коммуникационном аппарате (Ядро)"/>
        <s v="ПУСКОНАЛАДОЧНЫЕ РАБОТЫ"/>
        <s v="ЭЛЕКТРООБОРУДОВАНИЕ ДО 35 КВ"/>
        <s v="Функциональные испытания под нагрузкой и комплексное опробование. Трансформатор силовой сухой, с номинальным напряжением первичной обмотки 6-35 кВ, с естественным охлаждением"/>
        <s v="Функциональные испытания под нагрузкой и комплексное опробование. Трансформатор силовой сухой, с номинальным напряжением первичной обмотки 6-35 кВ, с принудительным охлаждением"/>
        <s v="Функциональные испытания под нагрузкой и комплексное опробование. Трансформатор силовой масляный, с номинальным напряжением первичной обмотки 6-35 кВ, с естественным охлаждением"/>
        <s v="Функциональные испытания под нагрузкой и комплексное опробование. Трансформатор силовой масляный, с номинальным напряжением первичной обмотки 6-35 кВ, с принудительным охлаждением"/>
        <s v="Функциональные испытания под нагрузкой и комплексное опробование. Шинопровод 6-35 кВ (трехфазный+N)"/>
        <s v="Функциональные испытания под нагрузкой и комплексное опробование. Шинопровод до 1 кВ (трехфазный+N)"/>
        <s v="Функциональные испытания и комплексное опробование. Ячейка ввода 6-35 кВ"/>
        <s v="Функциональные испытания и комплексное опробование. Отходящая ячейка 6-35 кВ"/>
        <s v="Функциональные испытания и комплексное опробование. Ячейка ввода до 1 кВ"/>
        <s v="Функциональные испытания и комплексное опробование. Отходящая ячейка до 1 кВ"/>
        <s v="Функциональные испытания и комплексное опробование. Ячейка секционного выключателя с АВР 6-35 кВ"/>
        <s v="Функциональные испытания и комплексное опробование. Ячейка секционного выключателя с АВР до 1 кВ"/>
        <s v="Функциональные испытания и комплексное опробование. Ячейка измерительного трансформатора напряжения 6-35 кВ"/>
        <s v="Функциональные испытания и комплексное опробование. Система оперативного тока (ИБП): мощностью от 5 до 20 кВА, включая контрольные линии"/>
        <s v="Функциональные испытания и комплексное опробование. Система оперативного тока (ИБП): мощностью от 20 до 50 кВА, включая контрольные линии"/>
        <s v="Функциональные испытания и комплексное опробование. Система оперативного тока (ИБП): мощностью свыше 50 кВА, включая контрольные линии"/>
        <s v="Дизель-генераторная установка (ДГУ)"/>
        <s v="Функциональные испытания и комплексное опробование. Дизель-генераторная установка (ДГУ), мощностью свыше 50 кВА и до 100 кВА, включая контрольные линии"/>
        <s v="Функциональные испытания и комплексное опробование. Дизель-генераторная установка (ДГУ), мощностью свыше 100 кВА, включая контрольные линии"/>
        <s v="Функциональные испытания и комплексное опробование. Система аварийной, предупредительной и центральной сигнализации ПС / РУ"/>
        <s v="Функциональные испытания и комплексное опробование. Система ДГР (дугогасящий реактор) с управлением"/>
        <s v="Устройство компенсации реактивной мощности (УКРМ) до 35 КВ"/>
        <s v="Функциональные испытания и комплексное опробование. Устройство компенсации реактивной мощности (УКРМ) 6-35 кВ, включая контрольные линии"/>
        <s v="Функциональные испытания и комплексное опробование. Устройство компенсации реактивной мощности (УКРМ) до 1 кВ, включая контрольные линии"/>
        <s v="Вводно-распределительный/распределительный щит до 1 кВ"/>
        <s v="Функциональные испытания и комплексное опробование. Вводно-распределительный щит с АВР, включая контрольные линии: кол-во АВ до 12"/>
        <s v="Функциональные испытания и комплексное опробование. Вводно-распределительный щит с АВР, включая контрольные линии: кол-во АВ до 24"/>
        <s v="Функциональные испытания и комплексное опробование. Вводно-распределительный щит с АВР, включая контрольные линии: кол-во АВ свыше 24"/>
        <s v="Функциональные испытания и комплексное опробование. Вводно-распределительный щит без АВР, включая контрольные линии: кол-во АВ до 12"/>
        <s v="Функциональные испытания и комплексное опробование. Вводно-распределительный щит без АВР, включая контрольные линии: кол-во АВ до 24"/>
        <s v="Функциональные испытания и комплексное опробование. Вводно-распределительный щит без АВР, включая контрольные линии: кол-во АВ свыше 24"/>
        <s v="Функциональные испытания и комплексное опробование. Распределительный щит (освещения), включая контрольные линии: кол-во АВ до 12"/>
        <s v="Функциональные испытания и комплексное опробование. Распределительный щит (освещения), включая контрольные линии: кол-во АВ свыше 12"/>
        <s v="Функциональные испытания и комплексное опробование. Распределительный щит (потребители малой мощности, номинальный ток вводного автомата до 63А), включая контрольные линии: кол-во АВ до 12"/>
        <s v="Функциональные испытания и комплексное опробование. Распределительный щит (потребители малой мощности, номинальный ток вводного автомата до 63А), включая контрольные линии: кол-во АВ свыше 12"/>
        <s v="Функциональные испытания и комплексное опробование. Вводной-распределительный щит с рубильником и предохранителями"/>
        <s v="Функциональные испытания и комплексное опробование. Щит питания электрообогрева без АВР, включая контрольные линии и цепи управления: кол-во АВ до 12"/>
        <s v="Функциональные испытания и комплексное опробование. Щит питания электрообогрева без АВР, включая контрольные линии и цепи управления: кол-во АВ до 24"/>
        <s v="Функциональные испытания и комплексное опробование. Щит питания электрообогрева без АВР, включая контрольные линии и цепи управления: кол-во АВ свыше 24"/>
        <s v="Функциональные испытания и комплексное опробование. Щит питания электрообогрева с АВР, включая контрольные линии и цепи управления: кол-во АВ до 12"/>
        <s v="Функциональные испытания и комплексное опробование. Щит питания электрообогрева с АВР, включая контрольные линии и цепи управления: кол-во АВ до 24"/>
        <s v="Функциональные испытания и комплексное опробование. Щит питания электрообогрева с АВР, включая контрольные линии и цепи управления: кол-во АВ свыше 24"/>
        <s v="Функциональные испытания и комплексное опробование. Греющий кабель"/>
        <s v="Функциональные испытания и комплексное опробование. Система питания и управления электродвигателем, с частотным преобразователем или устройством плавного пуска, до 1кВ, током до 100А, включая контрольные линии и цепи управления"/>
        <s v="Функциональные испытания и комплексное опробование. Система питания и управления электродвигателем, с частотным преобразователем или устройством плавного пуска, до 1кВ, током свыше 100А, включая контрольные линии и цепи управления"/>
        <s v="Функциональные испытания и комплексное опробование. Система питания и управления электродвигателем, с частотным преобразователем или устройством плавного пуска, свыше 1кВ, мощностью до 2 МВт, включая контрольные линии и цепи управления"/>
        <s v="Функциональные испытания и комплексное опробование. Электродвигатель до 1 кВ, трёхфазный"/>
        <s v="Функциональные испытания и комплексное опробование. Электродвигатель свыше 1 кВ"/>
        <s v="Функциональные испытания и комплексное опробование. Электропривод ЗРА, включая контрольные линии"/>
        <s v="Функциональные испытания и комплексное опробование. Электродвигатель до 1 кВ, однофазный"/>
        <s v="Функциональные испытания и комплексное опробование. Система питания и управления электродвигателем, с частотным преобразователем или устройством плавного пуска, свыше 1кВ, мощностью свыше 2 МВт, включая контрольные линии и цепи управления"/>
        <s v="Функциональные испытания и комплексное опробование. Технологический электронагреватель до 1 кВ, трёхфазный, включая контрольные линии"/>
        <s v="Функциональные испытания и комплексное опробование. Технологический электронагреватель до 1 кВ, однофазный, включая контрольные линии"/>
        <s v="Функциональные испытания и комплексное опробование. Тиристорная панель управления электронагревателем до 1 кВ, включая контрольные линии"/>
        <s v="АВТОМАТИЗИРОВАННЫЕ СИСТЕМЫ УПРАВЛЕНИЯ И СИГНАЛИЗАЦИИ"/>
        <s v="Комплексные испытания автоматизированной системы управления и сигнализации с технологическим оборудованием"/>
        <s v="Комплексные испытания автоматизированной системы управления и сигнализации с технологическим оборудованием. Полевой уровень"/>
        <s v="Комплексные испытания автоматизированной системы управления и сигнализации с технологическим оборудованием. Средний уровень"/>
        <s v="Комплексные испытания автоматизированной системы управления и сигнализации с технологическим оборудованием. Верхний уровень"/>
        <s v="Комплексные испытания автоматизированной системы сигнализации"/>
        <s v="Комплексные испытания автоматизированной системы сигнализации. Полевой уровень"/>
        <s v="Комплексные испытания автоматизированной системы сигнализации. Средний уровень"/>
        <s v="Комплексные испытания автоматизированной системы сигнализации. Верхний уровень"/>
        <s v="Комплексные испытания автоматизированной системы диспетчеризации (Верхний уровень)"/>
        <s v="ОБОРУДОВАНИЕ СИСТЕМ IP-ТЕЛЕФОНИИ"/>
        <s v="Комплексная проверка и сдача в эксплуатацию участка системы IP-телефонии"/>
        <s v="Комплексная проверка и сдача в эксплуатацию участка системы IP-телефонии (на каждые последующие 10 телефонных номеров свыше 500)"/>
        <s v="Комплексная отладка интерфейса взаимосвязи между участками системы IP-телефонии"/>
        <s v="Комплексная отладка взаимосвязи между участками системы IP-телефонии"/>
        <s v="КОММУНИКАЦИОННОЕ ОБОРУДОВАНИЕ"/>
        <s v="Комплексная проверка и сдача в эксплуатацию участка коммуникационного оборудования"/>
        <s v="Комплексная отладка интерфейса взаимосвязи между участками коммуникационного оборудования"/>
        <s v="Комплексная отладка взаимосвязи между участками коммуникационного оборудования"/>
        <s v="ОБОРУДОВАНИЕ СИСТЕМ ВИДЕОНАБЛЮДЕНИЯ"/>
        <s v="Комплексная проверка и сдача в эксплуатацию участка системы видеонаблюдения"/>
        <s v="Комплексная проверка и сдача в эксплуатацию участка системы видеонаблюдения. Полевой уровень"/>
        <s v="Комплексная проверка и сдача в эксплуатацию участка системы видеонаблюдения. Средний уровень"/>
        <s v="Комплексная проверка и сдача в эксплуатацию участка системы видеонаблюдения. Верхний уровень"/>
        <s v="ОБОРУДОВАНИЕ СИСТЕМ ДГГС/ЛСО"/>
        <s v="Комплексная проверка и сдача в эксплуатацию участка ДГГС/ЛСО"/>
        <s v="Комплексная проверка и сдача в эксплуатацию участка системы ДГГС/ЛСО"/>
        <s v="Комплексная отладка интерфейса взаимосвязи между участками ДГГС/ЛСО"/>
        <s v="Комплексная отладка интерфейса взаимосвязи между участками системы ДГГС/ЛСО"/>
        <s v="КОМПЛЕКСНАЯ ПРОВЕРКА И СДАЧА В ЭКСПЛУАТАЦИЮ ОБОРУДОВАНИЯ АНАЛИТИЧЕСКИХ СИСТЕМ"/>
        <s v="Комплексная проверка и сдача в эксплуатауию. Хроматограф газовый"/>
        <s v="Комплексная проверка и сдача в эксплуатауию. Анализатор следов влаги"/>
        <s v="Комплексная проверка и сдача в эксплуатауию. Газоанализатор"/>
        <s v="Комплексная проверка и сдача в эксплуатауию. Газоанализатор многоканальный"/>
        <s v="Комплексная проверка и сдача в эксплуатауию. Анализатор жидкости"/>
        <s v="Комплексная проверка и сдача в эксплуатауию. Анализатор общего органического углерода/натрия/кремния"/>
        <s v="Комплексная проверка и сдача в эксплуатауию. Шкаф/пункт системы пробоподготовки"/>
        <s v="ОТЛАДКА СВЯЗИ МЕЖДУ СМЕЖНЫМИ СИСТЕМАМИ"/>
        <s v="Проверка связи со смежными системами по интерфейсной линии связи"/>
        <s v="Проверка связи со смежными системами по дискретной линии связи"/>
        <s v="ИНЖЕНЕРНОЕ СОПРОВОЖДЕНИЕ АВТОМАТИЗИРОВАННЫХ СИСТЕМ УПРАВЛЕНИЯ И СИГНАЛИЗАЦИИ, СИСТЕМ СВЯЗИ"/>
        <s v="Инженерное сопровождение автоматизированной системы управления и сигнализации/системы связи, после ввода в эксплуатацию"/>
        <s v="Демонтажные работы"/>
        <s v="Демонтаж элементов электрических сетей"/>
        <s v="Демонтаж кабеленесущих систем"/>
        <s v="Демонтаж опор электрических сетей"/>
        <s v="Демонтаж стальных опор уличного освещения, высотой до 4 м"/>
        <s v="Демонтаж стальных опор Освещения/ЛЭП/Связи/Молниезащиты, профилированные/решетчатые, Стоечного типа, высотой от 5 до 12 м, разбором"/>
        <s v="Демонтаж стальных опор Освещения/ЛЭП/Связи/Молниезащиты, профилированные/решетчатые, Стоечного типа, высотой от 13 м до 24 м, разбором"/>
        <s v="Демонтаж стальных опор Освещения/ЛЭП/Связи/Молниезащиты, профилированные/решетчатые, Стоечного типа, высотой от 25 м до 40 м, разбором"/>
        <s v="Демонтаж стальных опор Освещения/ЛЭП/Связи/Молниезащиты, круглые/многогранные, высотой от 5 до 12 м, разбором"/>
        <s v="Демонтаж стальных опор Освещения/ЛЭП/Связи/Молниезащиты, круглые/многогранные, высотой от 13 м до 24 м, разбором"/>
        <s v="Демонтаж стальных опор Освещения/ЛЭП/Связи/Молниезащиты, круглые/многогранные, высотой от 25 м до 40 м, разбором"/>
        <s v="Демонтаж стальных опор Освещения/ЛЭП/Связи/Молниезащиты, круглые/многогранные, высотой от 41 м, разбором"/>
        <s v="Демонтаж стальных опор Освещения/ЛЭП/Связи/Молниезащиты, профилированные/решетчатые, Башенного типа, высотой от 13 м до 24 м, разбором"/>
        <s v="Демонтаж стальных опор Освещения/ЛЭП/Связи/Молниезащиты, профилированные/решетчатые, Башенного типа, высотой от 25 м до 40 м, разбором"/>
        <s v="Демонтаж стальных опор Освещения/ЛЭП/Связи/Молниезащиты, профилированные/решетчатые, Башенного типа, высотой от 41 м, разбором"/>
        <s v="Демонтаж железобетонных опор Освещения/ЛЭП/Связи/Молниезащиты, высотой до 12 м, разбором"/>
        <s v="Демонтаж железобетонных опор Освещения/ЛЭП/Связи/Молниезащиты, высотой от 13 м до 24 м, разбором"/>
        <s v="Демонтаж железобетонных опор Освещения/ЛЭП/Связи/Молниезащиты, высотой от 25 м до 40 м, разбором"/>
        <s v="Демонтаж стальных опор Освещения/ЛЭП/Связи/Молниезащиты, обрушением (все типы и размеры)"/>
        <s v="Демонтаж ЖБ опор Освещения/ЛЭП/Связи/Молниезащиты, обрушением (все типы и размеры)"/>
        <s v="Демонтаж стальных кабельных лотков"/>
        <s v="Демонтаж стального кабельного лотка шириной &lt;=300 мм"/>
        <s v="Демонтаж стального кабельного лотка шириной &gt;300 - 700 мм"/>
        <s v="Демонтаж стального кабельного лотка шириной &gt;700 - 1000 мм"/>
        <s v="Демонтаж стальных кабелепроводов"/>
        <s v="Демонтаж стальных кабелепроводов &lt;=25 мм"/>
        <s v="Демонтаж стальных кабелепроводов &gt;25 - 63 мм"/>
        <s v="Демонтаж стальных кабелепроводов &gt; 63 мм"/>
        <s v="Демонтаж пластиковых коробов или кабелепроводов"/>
        <s v="Демонтаж пластиковых кабельных каналов и коробов шириной от 31мм до 60 мм включительно"/>
        <s v="Демонтаж пластиковых кабельных каналов и коробов шириной 61 мм и более"/>
        <s v="Демонтаж малогабаритных металлоконструкций"/>
        <s v="Демонтаж малогабаритных металлоконструкций массой &lt;=5 кг"/>
        <s v="Демонтаж малогабаритных металлоконструкций массой &gt;5 - 10 кг"/>
        <s v="Демонтаж малогабаритных металлоконструкций массой &gt;10 - 30 кг"/>
        <s v="Демонтаж кабельно-проводниковой продукции внутриплощадочных сетей"/>
        <s v="Демонтаж кабелей и проводов, проложенных по лоткам и строительным конструкциям"/>
        <s v="Демонтаж кабелей и проводов удельной массой метра &lt;=0,1 кг/м"/>
        <s v="Демонтаж кабелей и проводов удельной массой метра &gt;0,1 - 0,5 кг/м"/>
        <s v="Демонтаж кабелей и проводов удельной массой метра &gt;0,5 - 1,0 кг/м"/>
        <s v="Демонтаж кабелей и проводов удельной массой метра &gt;1,0 - 3,0 кг/м"/>
        <s v="Демонтаж кабелей и проводов удельной массой метра &gt;3,0 - 9,0 кг/м"/>
        <s v="Демонтаж кабелей и проводов удельной массой метра &gt;9,0 кг/м"/>
        <s v="Демонтаж полосы заземления"/>
        <s v="Демонтаж кабелей и проводов, подвесных"/>
        <s v="Демонтаж кабелей и проводов, подвесных, удельной массой метра &lt;=1,0 кг/м"/>
        <s v="Демонтаж кабелей и проводов, подвесных, удельной массой метра &gt;1,0 - 3,0 кг/м"/>
        <s v="Демонтаж кабелей и проводов, подвесных, удельной массой метра &gt;3,0 - 9,0 кг/м"/>
        <s v="Демонтаж кабелей и проводов, подвесных, удельной массой метра &gt;9,0 - 15,0 кг/м"/>
        <s v="Демонтаж щитового оборудования, приборов и электроустановочных изделий"/>
        <s v="Демонтаж щитового оборудования"/>
        <s v="Демонтаж щитового оборудования массой &lt;=50 кг"/>
        <s v="Демонтаж щитового оборудования массой &gt;50 - 100 кг"/>
        <s v="Демонтаж щитового оборудования массой &gt;100 кг"/>
        <s v="Демонтаж электроустановочных изделий и компонентов КИПиА и слаботочных систем"/>
        <s v="Демонтаж электроустановочных изделий и компонентов КИПиА и слаботочных систем общепромышленного исполнения, устанавливаемых на высоте &lt;=2 м"/>
        <s v="Демонтаж электроустановочных изделий и компонентов КИПиА и слаботочных систем взрывозащищенного исполнения, устанавливаемых на высоте &lt;=2 м"/>
        <s v="Демонтаж электроустановочных изделий и компонентов КИПиА и слаботочных систем общепромышленного исполнения, устанавливаемых на высоте &gt;2 - 6 м"/>
        <s v="Демонтаж электроустановочных изделий и компонентов КИПиА и слаботочных систем взрывозащищенного исполнения, устанавливаемых на высоте &gt;2 - 6 м"/>
        <s v="Демонтаж электроустановочных изделий и компонентов КИПиА и слаботочных систем общепромышленного исполнения, устанавливаемых на высоте &gt;6 - 12 м"/>
        <s v="Демонтаж электроустановочных изделий и компонентов КИПиА и слаботочных систем взрывозащищенного исполнения, устанавливаемых на высоте &gt;6 - 12 м"/>
        <s v="Демонтаж электроустановочных изделий и компонентов КИПиА и слаботочных систем общепромышленного исполнения, устанавливаемых на высоте &gt;12 м"/>
        <s v="Демонтаж электроустановочных изделий и компонентов КИПиА и слаботочных систем взрывозащищенного исполнения, устанавливаемых на высоте &gt;12 м"/>
        <s v="Утилизация отходов"/>
        <s v="Транспортировка на полигон или площадку складирования"/>
        <s v="Транспортировка на полигон или площадку складирования строительного боя и мусора"/>
        <m/>
        <s v="ЕР учтенные в ДС"/>
        <s v="Изготовление/сборка и монтаж малогабаритной металлоконструкции, до 5 кг, из горячеоцинкованной стали"/>
        <s v="Монтаж лестничного лотка ширина от 300 мм до 400 мм, с установкой опор"/>
        <s v="Монтаж лестничного лотка ширина от 200 мм до 300 мм, с установкой опор"/>
        <s v="Полный комплекс АКЗ металлоконструкций, включая подготовку поверхности до Sa2,5 и нанесение системы АКЗ, состоящей из грунтовочного и финишного покрытий"/>
        <s v="Демонтаж элементов второстепенных металлоконструкций"/>
        <s v="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до Ду 50 мм"/>
        <s v="Алмазное бурение железобетонных перекрытий диаметром до 100 мм"/>
        <s v="Ручной переключатель, кнопочный пост, локальная станция управления уличного или взрывозащищенного исполнения"/>
        <s v="Надземная прокладка контрольного кабеля, общее количество жил 1-4, сечением жилы до 1 мм2"/>
        <s v="Надземная прокладка контрольного кабеля, общее количество жил 25-28, сечением жилы до 1 мм2"/>
        <s v="Надземная прокладка контрольного кабеля, общее количество жил 37-40, сечением жилы до 1 мм2"/>
        <s v="Надземная прокладка контрольного кабеля, общее количество жил 1-4, сечением жилы от 1 мм2 до 2,5 мм2"/>
        <s v="Надземная прокладка контрольного кабеля, общее количество жил 5-8, сечением жилы до 1 мм2"/>
        <s v="Надземная прокладка контрольного кабеля, общее количество жил 13-16, сечением жилы до 1 мм2"/>
        <s v="Надземная прокладка контрольного кабеля, общее количество жил 5-8, сечением жилы от 1 мм2 до 2,5 мм2"/>
        <s v="Монтаж провода заземления, сечением до 16 мм2"/>
        <s v="Монтаж взрывозащищенной коробки КИПиА"/>
        <s v="Монтаж перфорированного/неперфорированного кабельного лотка ширина до 100 мм, включая установку опор ( без установки крышек, фитингов)"/>
        <s v="Монтаж перфорированного/неперфорированного кабельного лотка ширина от 101 до 300 мм, включая установку опор ( без установки крышек, фитингов)"/>
        <s v="Монтаж фитингов перфорированного/неперфорированного лотка (углы, ответвители, повороты, тройники, переходы, пластины и т.д.) шириной до 100 мм"/>
        <s v="Монтаж фитингов перфорированного/неперфорированного лотка (углы, ответвители, повороты, тройники, переходы, пластины и т.д.) шириной от 101 мм до 300 мм"/>
        <s v="Расключение контрольного кабеля, общее количество жил 1-4, сечением жилы от 1 мм2 до 2,5 мм2, небронированный"/>
        <s v="Расключение контрольного кабеля, общее количество жил 5-8, сечением жилы от 1 мм2 до 2,5 мм2, небронированный"/>
        <s v="Расключение контрольного кабеля, общее количество жил 37-40, сечением жилы до 1 мм2, небронированный"/>
        <s v="Расключение контрольного кабеля, общее количество жил 1-4, сечением жилы до 1 мм2, небронированный"/>
        <s v="Расключение контрольного кабеля, общее количество жил 25-28, сечением жилы до 1 мм2, небронированный"/>
        <s v="Расключение контрольного кабеля, общее количество жил 13-16, сечением жилы до 1 мм2, небронированный"/>
        <s v="Расключение контрольного кабеля, общее количество жил 5-8, сечением жилы до 1 мм2, небронированный"/>
        <s v="Оконцевание и присоединение провода заземления, сечением до 16 мм2"/>
        <s v="Монтаж крышки кабельного лотка ширина от 101 мм до 300 мм"/>
        <s v="Монтаж крышки фитингов кабельного лотка ширина от 101 мм до 300 мм "/>
        <s v="Монтаж фитингов лестничного лотка (углы, ответвители, повороты, тройники, переходы, пластины и т.д.) шириной до 100 мм"/>
        <s v="Монтаж крышки фитингов кабельного лотка ширина до 100 мм "/>
        <s v="Монтаж лестничного лотка ширина от 301 мм до 600 мм, без установки опор, крышек, фитингов"/>
        <s v="Транспортировка на полигон или площадку складирования металлолома"/>
        <s v="Монтаж кабеля НИЗКОГО напряжения, надземная прокладка, 3-5 жильный, сечением до 6 мм2"/>
        <s v="Устройство концевой кабельной муфты/заделки/оконцевание жил кабеля/подключение кабеля НИЗКОГО напряжения до 1 кВ, 3-5 жильный, сечением до 6 мм2"/>
        <s v="Установка стойки КИП"/>
        <s v="Индивидуальные и функциональные испытания. Шкаф устройств передачи аварийных сигналов и команд"/>
        <s v="Комплексное опробование рабочим напряжением и током. Шкаф устройств передачи аварийных сигналов и команд"/>
        <s v="Монтаж провода заземления, сечением от 25 мм2 до 70 мм2"/>
        <s v="Оконцевание и присоединение провода заземления, сечением от 25 мм2 до 70 мм2"/>
        <s v="Встроенные элементы трубопроводов DN &lt;=50 мм / &lt;=2 дюйм"/>
        <s v="Надземная прокладка контрольного кабеля, общее количество жил 9-12, сечением жилы до 1 мм2"/>
        <s v="Расключение контрольного кабеля, общее количество жил 9-12, сечением жилы до 1 мм2, небронированный"/>
        <s v="Монтаж кабеля НИЗКОГО напряжения, надземная прокладка, 1-жильный, сечением до 16 мм2"/>
        <s v="Устройство концевой кабельной муфты/заделки/оконцевание жил кабеля/подключение кабеля НИЗКОГО напряжения до 1 кВ, 1-жильный, сечением до 16 мм2"/>
        <s v="Огнезащитные маты прошивные (например, Fyrewrap или аналоги) непосредственно на конструкции/элементы  - толщина {&lt;= 50 мм}"/>
        <s v="Изготовление/сборка и монтаж малогабаритной металлоконструкции, от 5 кг до 10 кг, из горячеоцинкованной стали"/>
        <s v="Монтаж кабеля НИЗКОГО напряжения, надземная прокладка, 5 жильный, сечением от 25 мм2 до 70 мм2"/>
        <s v="Устройство концевой кабельной муфты/заделки/оконцевание жил кабеля/подключение кабеля НИЗКОГО напряжения до 1 кВ, 5 жильный, сечением от 25 мм2 до 70 мм2"/>
        <s v="Монтаж перфорированного/неперфорированного кабельного лотка ширина от 301 до 600 мм, включая установку опор ( без установки крышек, фитингов)"/>
        <s v="Монтаж крышки кабельного лотка ширина от 301 мм до 600 мм"/>
        <s v="Монтаж фитингов перфорированного/неперфорированного лотка (углы, ответвители, повороты, тройники, переходы, пластины и т.д.) шириной от 301 мм до 600 мм"/>
        <s v="Монтаж крышки фитингов кабельного лотка ширина от 301 мм до 600 мм "/>
        <s v="Модуль пожаротушения (модули порошкового, газопорошкового, газового, аэрозольного пожаротушения)"/>
        <s v="Дренчерный ороситель, спринклерный ороситель, насадок"/>
        <s v="Узлы управления, блоки клапанов, клапаны водосигнальные, клапана воздушные"/>
        <s v="Монтаж внутреннего трубопровода пожаротушения спринклерных и дренчерных систем, от Ду 15 до Ду 80"/>
        <s v="Установка опорных металлоконструкций кабеленесущих трасс заводской готовности из горячеоцинкованной стали"/>
        <s v="Устройство переходов подземных методом горизонтального прокола с устройством полиэтиленового футляра Ду от 100 мм до 200 мм"/>
        <s v="Монтаж перфорированного/неперфорированного кабельного лотка ширина до 100 мм, без установки опор, крышек, фитингов"/>
        <s v="Демонтаж покрытий дорог, площадок и тротуаров из асфальта и асфальтобетона"/>
        <s v="Разработка грунта механизированным способом под траншеи (для прокладки труб, кабелей, нестандартных фундаментов, под тротуары), под проектную высотную отметку с перемещением грунта до 50 м "/>
        <s v="Обратная засыпка местным грунтом с уплотнением (пазух фундаментов, дренажных емкостей и т.д..)"/>
        <s v="Устройство подстилающего слоя из щебня по методу заклинки с уплотнением"/>
        <s v="Устройство верхнего слоя из асфальтовых или асфальтобетонных смесей, тип смеси принять по проекту"/>
        <s v="Монтаж кабельного лотка, от 200 мм до 300 мм, перфорированный, с установкой опор"/>
        <s v="Монтаж кабельного лотка, от 100 мм до 200 мм, перфорированный, с установкой опор"/>
        <s v="Монтаж кабельного лотка, до 100 мм, перфорированный, с установкой опор"/>
        <s v="Надземная прокладка кабеля, Группа (Б)/(Б+ОЭ)/(ОЭ+ИЭ)/(Б+ОЭ+ИЭ), общее количество жил 5-8, сечением жилы от 1мм2 до 2,5 мм2, огнестойкий"/>
        <s v="Надземная прокладка кабеля, Группа (Б)/(Б+ОЭ)/(ОЭ+ИЭ)/(Б+ОЭ+ИЭ), общее количество жил 1-4, сечением жилы от 1мм2 до 2,5 мм2, огнестойкий"/>
        <s v="Надземная прокладка кабеля, Группа (Б)/(Б+ОЭ)/(ОЭ+ИЭ)/(Б+ОЭ+ИЭ), общее количество жил 1-4, сечением жилы до 1 мм2, огнестойкий"/>
        <s v="Надземная прокладка кабеля, Группа (Б)/(Б+ОЭ)/(ОЭ+ИЭ)/(Б+ОЭ+ИЭ), общее количество жил 13-16, сечением жилы до 1 мм2, огнестойкий"/>
        <s v="Дополнительные ЕР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1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0"/>
    <x v="5"/>
    <x v="5"/>
  </r>
  <r>
    <x v="0"/>
    <x v="6"/>
    <x v="6"/>
  </r>
  <r>
    <x v="0"/>
    <x v="7"/>
    <x v="7"/>
  </r>
  <r>
    <x v="0"/>
    <x v="8"/>
    <x v="8"/>
  </r>
  <r>
    <x v="0"/>
    <x v="9"/>
    <x v="9"/>
  </r>
  <r>
    <x v="0"/>
    <x v="10"/>
    <x v="10"/>
  </r>
  <r>
    <x v="0"/>
    <x v="11"/>
    <x v="11"/>
  </r>
  <r>
    <x v="0"/>
    <x v="12"/>
    <x v="12"/>
  </r>
  <r>
    <x v="0"/>
    <x v="13"/>
    <x v="12"/>
  </r>
  <r>
    <x v="1"/>
    <x v="14"/>
    <x v="13"/>
  </r>
  <r>
    <x v="1"/>
    <x v="15"/>
    <x v="14"/>
  </r>
  <r>
    <x v="1"/>
    <x v="16"/>
    <x v="15"/>
  </r>
  <r>
    <x v="1"/>
    <x v="17"/>
    <x v="16"/>
  </r>
  <r>
    <x v="1"/>
    <x v="18"/>
    <x v="17"/>
  </r>
  <r>
    <x v="1"/>
    <x v="19"/>
    <x v="18"/>
  </r>
  <r>
    <x v="1"/>
    <x v="20"/>
    <x v="19"/>
  </r>
  <r>
    <x v="1"/>
    <x v="21"/>
    <x v="20"/>
  </r>
  <r>
    <x v="1"/>
    <x v="22"/>
    <x v="21"/>
  </r>
  <r>
    <x v="1"/>
    <x v="23"/>
    <x v="22"/>
  </r>
  <r>
    <x v="1"/>
    <x v="24"/>
    <x v="23"/>
  </r>
  <r>
    <x v="1"/>
    <x v="25"/>
    <x v="24"/>
  </r>
  <r>
    <x v="1"/>
    <x v="26"/>
    <x v="25"/>
  </r>
  <r>
    <x v="1"/>
    <x v="27"/>
    <x v="26"/>
  </r>
  <r>
    <x v="1"/>
    <x v="28"/>
    <x v="27"/>
  </r>
  <r>
    <x v="1"/>
    <x v="29"/>
    <x v="28"/>
  </r>
  <r>
    <x v="1"/>
    <x v="30"/>
    <x v="29"/>
  </r>
  <r>
    <x v="1"/>
    <x v="31"/>
    <x v="30"/>
  </r>
  <r>
    <x v="1"/>
    <x v="32"/>
    <x v="31"/>
  </r>
  <r>
    <x v="1"/>
    <x v="33"/>
    <x v="32"/>
  </r>
  <r>
    <x v="1"/>
    <x v="34"/>
    <x v="33"/>
  </r>
  <r>
    <x v="1"/>
    <x v="35"/>
    <x v="34"/>
  </r>
  <r>
    <x v="1"/>
    <x v="36"/>
    <x v="35"/>
  </r>
  <r>
    <x v="1"/>
    <x v="37"/>
    <x v="36"/>
  </r>
  <r>
    <x v="1"/>
    <x v="38"/>
    <x v="37"/>
  </r>
  <r>
    <x v="1"/>
    <x v="39"/>
    <x v="38"/>
  </r>
  <r>
    <x v="1"/>
    <x v="40"/>
    <x v="39"/>
  </r>
  <r>
    <x v="2"/>
    <x v="41"/>
    <x v="40"/>
  </r>
  <r>
    <x v="2"/>
    <x v="42"/>
    <x v="41"/>
  </r>
  <r>
    <x v="2"/>
    <x v="43"/>
    <x v="42"/>
  </r>
  <r>
    <x v="2"/>
    <x v="44"/>
    <x v="43"/>
  </r>
  <r>
    <x v="2"/>
    <x v="45"/>
    <x v="44"/>
  </r>
  <r>
    <x v="2"/>
    <x v="46"/>
    <x v="45"/>
  </r>
  <r>
    <x v="2"/>
    <x v="47"/>
    <x v="43"/>
  </r>
  <r>
    <x v="2"/>
    <x v="48"/>
    <x v="44"/>
  </r>
  <r>
    <x v="2"/>
    <x v="49"/>
    <x v="46"/>
  </r>
  <r>
    <x v="2"/>
    <x v="50"/>
    <x v="43"/>
  </r>
  <r>
    <x v="2"/>
    <x v="51"/>
    <x v="47"/>
  </r>
  <r>
    <x v="2"/>
    <x v="52"/>
    <x v="48"/>
  </r>
  <r>
    <x v="2"/>
    <x v="53"/>
    <x v="49"/>
  </r>
  <r>
    <x v="2"/>
    <x v="54"/>
    <x v="50"/>
  </r>
  <r>
    <x v="2"/>
    <x v="55"/>
    <x v="51"/>
  </r>
  <r>
    <x v="2"/>
    <x v="56"/>
    <x v="52"/>
  </r>
  <r>
    <x v="2"/>
    <x v="57"/>
    <x v="53"/>
  </r>
  <r>
    <x v="3"/>
    <x v="58"/>
    <x v="54"/>
  </r>
  <r>
    <x v="3"/>
    <x v="59"/>
    <x v="55"/>
  </r>
  <r>
    <x v="3"/>
    <x v="60"/>
    <x v="56"/>
  </r>
  <r>
    <x v="3"/>
    <x v="61"/>
    <x v="57"/>
  </r>
  <r>
    <x v="3"/>
    <x v="62"/>
    <x v="58"/>
  </r>
  <r>
    <x v="3"/>
    <x v="63"/>
    <x v="59"/>
  </r>
  <r>
    <x v="3"/>
    <x v="64"/>
    <x v="60"/>
  </r>
  <r>
    <x v="3"/>
    <x v="65"/>
    <x v="61"/>
  </r>
  <r>
    <x v="3"/>
    <x v="66"/>
    <x v="62"/>
  </r>
  <r>
    <x v="3"/>
    <x v="67"/>
    <x v="63"/>
  </r>
  <r>
    <x v="3"/>
    <x v="68"/>
    <x v="64"/>
  </r>
  <r>
    <x v="3"/>
    <x v="69"/>
    <x v="65"/>
  </r>
  <r>
    <x v="3"/>
    <x v="70"/>
    <x v="66"/>
  </r>
  <r>
    <x v="3"/>
    <x v="71"/>
    <x v="67"/>
  </r>
  <r>
    <x v="3"/>
    <x v="72"/>
    <x v="68"/>
  </r>
  <r>
    <x v="3"/>
    <x v="73"/>
    <x v="69"/>
  </r>
  <r>
    <x v="3"/>
    <x v="74"/>
    <x v="70"/>
  </r>
  <r>
    <x v="3"/>
    <x v="75"/>
    <x v="71"/>
  </r>
  <r>
    <x v="3"/>
    <x v="76"/>
    <x v="72"/>
  </r>
  <r>
    <x v="3"/>
    <x v="77"/>
    <x v="73"/>
  </r>
  <r>
    <x v="3"/>
    <x v="78"/>
    <x v="74"/>
  </r>
  <r>
    <x v="3"/>
    <x v="79"/>
    <x v="75"/>
  </r>
  <r>
    <x v="3"/>
    <x v="80"/>
    <x v="76"/>
  </r>
  <r>
    <x v="3"/>
    <x v="81"/>
    <x v="77"/>
  </r>
  <r>
    <x v="3"/>
    <x v="82"/>
    <x v="78"/>
  </r>
  <r>
    <x v="3"/>
    <x v="83"/>
    <x v="79"/>
  </r>
  <r>
    <x v="3"/>
    <x v="84"/>
    <x v="80"/>
  </r>
  <r>
    <x v="3"/>
    <x v="85"/>
    <x v="81"/>
  </r>
  <r>
    <x v="3"/>
    <x v="86"/>
    <x v="82"/>
  </r>
  <r>
    <x v="3"/>
    <x v="87"/>
    <x v="83"/>
  </r>
  <r>
    <x v="3"/>
    <x v="88"/>
    <x v="84"/>
  </r>
  <r>
    <x v="3"/>
    <x v="89"/>
    <x v="85"/>
  </r>
  <r>
    <x v="3"/>
    <x v="90"/>
    <x v="86"/>
  </r>
  <r>
    <x v="3"/>
    <x v="91"/>
    <x v="87"/>
  </r>
  <r>
    <x v="3"/>
    <x v="92"/>
    <x v="88"/>
  </r>
  <r>
    <x v="3"/>
    <x v="93"/>
    <x v="89"/>
  </r>
  <r>
    <x v="3"/>
    <x v="94"/>
    <x v="90"/>
  </r>
  <r>
    <x v="3"/>
    <x v="95"/>
    <x v="91"/>
  </r>
  <r>
    <x v="3"/>
    <x v="96"/>
    <x v="92"/>
  </r>
  <r>
    <x v="3"/>
    <x v="97"/>
    <x v="93"/>
  </r>
  <r>
    <x v="3"/>
    <x v="98"/>
    <x v="94"/>
  </r>
  <r>
    <x v="3"/>
    <x v="99"/>
    <x v="95"/>
  </r>
  <r>
    <x v="3"/>
    <x v="100"/>
    <x v="96"/>
  </r>
  <r>
    <x v="3"/>
    <x v="101"/>
    <x v="97"/>
  </r>
  <r>
    <x v="3"/>
    <x v="102"/>
    <x v="98"/>
  </r>
  <r>
    <x v="3"/>
    <x v="103"/>
    <x v="99"/>
  </r>
  <r>
    <x v="3"/>
    <x v="104"/>
    <x v="100"/>
  </r>
  <r>
    <x v="3"/>
    <x v="105"/>
    <x v="101"/>
  </r>
  <r>
    <x v="3"/>
    <x v="106"/>
    <x v="102"/>
  </r>
  <r>
    <x v="3"/>
    <x v="107"/>
    <x v="103"/>
  </r>
  <r>
    <x v="3"/>
    <x v="108"/>
    <x v="104"/>
  </r>
  <r>
    <x v="3"/>
    <x v="109"/>
    <x v="105"/>
  </r>
  <r>
    <x v="3"/>
    <x v="110"/>
    <x v="106"/>
  </r>
  <r>
    <x v="3"/>
    <x v="111"/>
    <x v="107"/>
  </r>
  <r>
    <x v="3"/>
    <x v="112"/>
    <x v="108"/>
  </r>
  <r>
    <x v="3"/>
    <x v="113"/>
    <x v="109"/>
  </r>
  <r>
    <x v="3"/>
    <x v="114"/>
    <x v="110"/>
  </r>
  <r>
    <x v="3"/>
    <x v="115"/>
    <x v="111"/>
  </r>
  <r>
    <x v="3"/>
    <x v="116"/>
    <x v="112"/>
  </r>
  <r>
    <x v="3"/>
    <x v="117"/>
    <x v="113"/>
  </r>
  <r>
    <x v="3"/>
    <x v="118"/>
    <x v="114"/>
  </r>
  <r>
    <x v="3"/>
    <x v="119"/>
    <x v="115"/>
  </r>
  <r>
    <x v="3"/>
    <x v="120"/>
    <x v="116"/>
  </r>
  <r>
    <x v="3"/>
    <x v="121"/>
    <x v="117"/>
  </r>
  <r>
    <x v="3"/>
    <x v="122"/>
    <x v="118"/>
  </r>
  <r>
    <x v="3"/>
    <x v="123"/>
    <x v="119"/>
  </r>
  <r>
    <x v="3"/>
    <x v="124"/>
    <x v="120"/>
  </r>
  <r>
    <x v="3"/>
    <x v="125"/>
    <x v="121"/>
  </r>
  <r>
    <x v="3"/>
    <x v="126"/>
    <x v="122"/>
  </r>
  <r>
    <x v="3"/>
    <x v="127"/>
    <x v="123"/>
  </r>
  <r>
    <x v="3"/>
    <x v="128"/>
    <x v="124"/>
  </r>
  <r>
    <x v="3"/>
    <x v="129"/>
    <x v="125"/>
  </r>
  <r>
    <x v="3"/>
    <x v="130"/>
    <x v="126"/>
  </r>
  <r>
    <x v="3"/>
    <x v="131"/>
    <x v="127"/>
  </r>
  <r>
    <x v="3"/>
    <x v="132"/>
    <x v="128"/>
  </r>
  <r>
    <x v="3"/>
    <x v="133"/>
    <x v="129"/>
  </r>
  <r>
    <x v="3"/>
    <x v="134"/>
    <x v="130"/>
  </r>
  <r>
    <x v="3"/>
    <x v="135"/>
    <x v="131"/>
  </r>
  <r>
    <x v="3"/>
    <x v="136"/>
    <x v="132"/>
  </r>
  <r>
    <x v="3"/>
    <x v="137"/>
    <x v="133"/>
  </r>
  <r>
    <x v="3"/>
    <x v="138"/>
    <x v="134"/>
  </r>
  <r>
    <x v="3"/>
    <x v="139"/>
    <x v="135"/>
  </r>
  <r>
    <x v="3"/>
    <x v="140"/>
    <x v="136"/>
  </r>
  <r>
    <x v="3"/>
    <x v="141"/>
    <x v="137"/>
  </r>
  <r>
    <x v="3"/>
    <x v="142"/>
    <x v="138"/>
  </r>
  <r>
    <x v="3"/>
    <x v="143"/>
    <x v="139"/>
  </r>
  <r>
    <x v="3"/>
    <x v="144"/>
    <x v="140"/>
  </r>
  <r>
    <x v="3"/>
    <x v="145"/>
    <x v="141"/>
  </r>
  <r>
    <x v="3"/>
    <x v="146"/>
    <x v="142"/>
  </r>
  <r>
    <x v="3"/>
    <x v="147"/>
    <x v="143"/>
  </r>
  <r>
    <x v="3"/>
    <x v="148"/>
    <x v="144"/>
  </r>
  <r>
    <x v="3"/>
    <x v="149"/>
    <x v="145"/>
  </r>
  <r>
    <x v="3"/>
    <x v="150"/>
    <x v="146"/>
  </r>
  <r>
    <x v="3"/>
    <x v="151"/>
    <x v="147"/>
  </r>
  <r>
    <x v="3"/>
    <x v="152"/>
    <x v="148"/>
  </r>
  <r>
    <x v="3"/>
    <x v="153"/>
    <x v="149"/>
  </r>
  <r>
    <x v="3"/>
    <x v="154"/>
    <x v="150"/>
  </r>
  <r>
    <x v="3"/>
    <x v="155"/>
    <x v="151"/>
  </r>
  <r>
    <x v="3"/>
    <x v="156"/>
    <x v="152"/>
  </r>
  <r>
    <x v="3"/>
    <x v="157"/>
    <x v="153"/>
  </r>
  <r>
    <x v="3"/>
    <x v="158"/>
    <x v="154"/>
  </r>
  <r>
    <x v="3"/>
    <x v="159"/>
    <x v="155"/>
  </r>
  <r>
    <x v="3"/>
    <x v="160"/>
    <x v="156"/>
  </r>
  <r>
    <x v="3"/>
    <x v="161"/>
    <x v="157"/>
  </r>
  <r>
    <x v="3"/>
    <x v="162"/>
    <x v="158"/>
  </r>
  <r>
    <x v="3"/>
    <x v="163"/>
    <x v="159"/>
  </r>
  <r>
    <x v="3"/>
    <x v="164"/>
    <x v="160"/>
  </r>
  <r>
    <x v="3"/>
    <x v="165"/>
    <x v="161"/>
  </r>
  <r>
    <x v="3"/>
    <x v="166"/>
    <x v="162"/>
  </r>
  <r>
    <x v="3"/>
    <x v="167"/>
    <x v="163"/>
  </r>
  <r>
    <x v="3"/>
    <x v="168"/>
    <x v="164"/>
  </r>
  <r>
    <x v="3"/>
    <x v="169"/>
    <x v="165"/>
  </r>
  <r>
    <x v="3"/>
    <x v="170"/>
    <x v="166"/>
  </r>
  <r>
    <x v="3"/>
    <x v="171"/>
    <x v="167"/>
  </r>
  <r>
    <x v="3"/>
    <x v="172"/>
    <x v="168"/>
  </r>
  <r>
    <x v="3"/>
    <x v="173"/>
    <x v="169"/>
  </r>
  <r>
    <x v="3"/>
    <x v="174"/>
    <x v="170"/>
  </r>
  <r>
    <x v="3"/>
    <x v="175"/>
    <x v="171"/>
  </r>
  <r>
    <x v="3"/>
    <x v="176"/>
    <x v="172"/>
  </r>
  <r>
    <x v="3"/>
    <x v="177"/>
    <x v="173"/>
  </r>
  <r>
    <x v="3"/>
    <x v="178"/>
    <x v="174"/>
  </r>
  <r>
    <x v="3"/>
    <x v="179"/>
    <x v="175"/>
  </r>
  <r>
    <x v="3"/>
    <x v="180"/>
    <x v="176"/>
  </r>
  <r>
    <x v="3"/>
    <x v="181"/>
    <x v="177"/>
  </r>
  <r>
    <x v="3"/>
    <x v="182"/>
    <x v="178"/>
  </r>
  <r>
    <x v="3"/>
    <x v="183"/>
    <x v="179"/>
  </r>
  <r>
    <x v="3"/>
    <x v="184"/>
    <x v="180"/>
  </r>
  <r>
    <x v="3"/>
    <x v="185"/>
    <x v="181"/>
  </r>
  <r>
    <x v="3"/>
    <x v="186"/>
    <x v="182"/>
  </r>
  <r>
    <x v="3"/>
    <x v="187"/>
    <x v="183"/>
  </r>
  <r>
    <x v="3"/>
    <x v="188"/>
    <x v="184"/>
  </r>
  <r>
    <x v="3"/>
    <x v="189"/>
    <x v="185"/>
  </r>
  <r>
    <x v="3"/>
    <x v="190"/>
    <x v="186"/>
  </r>
  <r>
    <x v="3"/>
    <x v="191"/>
    <x v="187"/>
  </r>
  <r>
    <x v="3"/>
    <x v="192"/>
    <x v="188"/>
  </r>
  <r>
    <x v="3"/>
    <x v="193"/>
    <x v="189"/>
  </r>
  <r>
    <x v="3"/>
    <x v="194"/>
    <x v="190"/>
  </r>
  <r>
    <x v="3"/>
    <x v="195"/>
    <x v="191"/>
  </r>
  <r>
    <x v="3"/>
    <x v="196"/>
    <x v="192"/>
  </r>
  <r>
    <x v="3"/>
    <x v="197"/>
    <x v="193"/>
  </r>
  <r>
    <x v="3"/>
    <x v="198"/>
    <x v="194"/>
  </r>
  <r>
    <x v="3"/>
    <x v="199"/>
    <x v="195"/>
  </r>
  <r>
    <x v="3"/>
    <x v="200"/>
    <x v="196"/>
  </r>
  <r>
    <x v="3"/>
    <x v="201"/>
    <x v="197"/>
  </r>
  <r>
    <x v="3"/>
    <x v="202"/>
    <x v="198"/>
  </r>
  <r>
    <x v="3"/>
    <x v="203"/>
    <x v="199"/>
  </r>
  <r>
    <x v="3"/>
    <x v="204"/>
    <x v="200"/>
  </r>
  <r>
    <x v="3"/>
    <x v="205"/>
    <x v="201"/>
  </r>
  <r>
    <x v="3"/>
    <x v="206"/>
    <x v="202"/>
  </r>
  <r>
    <x v="3"/>
    <x v="207"/>
    <x v="203"/>
  </r>
  <r>
    <x v="3"/>
    <x v="208"/>
    <x v="204"/>
  </r>
  <r>
    <x v="3"/>
    <x v="209"/>
    <x v="205"/>
  </r>
  <r>
    <x v="3"/>
    <x v="210"/>
    <x v="206"/>
  </r>
  <r>
    <x v="3"/>
    <x v="211"/>
    <x v="207"/>
  </r>
  <r>
    <x v="3"/>
    <x v="212"/>
    <x v="208"/>
  </r>
  <r>
    <x v="3"/>
    <x v="213"/>
    <x v="209"/>
  </r>
  <r>
    <x v="3"/>
    <x v="214"/>
    <x v="210"/>
  </r>
  <r>
    <x v="3"/>
    <x v="215"/>
    <x v="211"/>
  </r>
  <r>
    <x v="3"/>
    <x v="216"/>
    <x v="212"/>
  </r>
  <r>
    <x v="3"/>
    <x v="217"/>
    <x v="213"/>
  </r>
  <r>
    <x v="3"/>
    <x v="218"/>
    <x v="214"/>
  </r>
  <r>
    <x v="3"/>
    <x v="219"/>
    <x v="215"/>
  </r>
  <r>
    <x v="3"/>
    <x v="220"/>
    <x v="216"/>
  </r>
  <r>
    <x v="3"/>
    <x v="221"/>
    <x v="217"/>
  </r>
  <r>
    <x v="3"/>
    <x v="222"/>
    <x v="218"/>
  </r>
  <r>
    <x v="3"/>
    <x v="223"/>
    <x v="219"/>
  </r>
  <r>
    <x v="3"/>
    <x v="224"/>
    <x v="220"/>
  </r>
  <r>
    <x v="3"/>
    <x v="225"/>
    <x v="221"/>
  </r>
  <r>
    <x v="3"/>
    <x v="226"/>
    <x v="222"/>
  </r>
  <r>
    <x v="3"/>
    <x v="227"/>
    <x v="223"/>
  </r>
  <r>
    <x v="3"/>
    <x v="228"/>
    <x v="224"/>
  </r>
  <r>
    <x v="3"/>
    <x v="229"/>
    <x v="225"/>
  </r>
  <r>
    <x v="3"/>
    <x v="230"/>
    <x v="226"/>
  </r>
  <r>
    <x v="3"/>
    <x v="231"/>
    <x v="227"/>
  </r>
  <r>
    <x v="3"/>
    <x v="232"/>
    <x v="228"/>
  </r>
  <r>
    <x v="3"/>
    <x v="233"/>
    <x v="229"/>
  </r>
  <r>
    <x v="3"/>
    <x v="234"/>
    <x v="230"/>
  </r>
  <r>
    <x v="3"/>
    <x v="235"/>
    <x v="231"/>
  </r>
  <r>
    <x v="3"/>
    <x v="236"/>
    <x v="232"/>
  </r>
  <r>
    <x v="3"/>
    <x v="237"/>
    <x v="233"/>
  </r>
  <r>
    <x v="3"/>
    <x v="238"/>
    <x v="234"/>
  </r>
  <r>
    <x v="3"/>
    <x v="239"/>
    <x v="235"/>
  </r>
  <r>
    <x v="3"/>
    <x v="240"/>
    <x v="236"/>
  </r>
  <r>
    <x v="3"/>
    <x v="241"/>
    <x v="237"/>
  </r>
  <r>
    <x v="3"/>
    <x v="242"/>
    <x v="238"/>
  </r>
  <r>
    <x v="3"/>
    <x v="243"/>
    <x v="239"/>
  </r>
  <r>
    <x v="3"/>
    <x v="244"/>
    <x v="240"/>
  </r>
  <r>
    <x v="3"/>
    <x v="245"/>
    <x v="241"/>
  </r>
  <r>
    <x v="3"/>
    <x v="246"/>
    <x v="242"/>
  </r>
  <r>
    <x v="3"/>
    <x v="247"/>
    <x v="243"/>
  </r>
  <r>
    <x v="3"/>
    <x v="248"/>
    <x v="244"/>
  </r>
  <r>
    <x v="3"/>
    <x v="249"/>
    <x v="245"/>
  </r>
  <r>
    <x v="3"/>
    <x v="250"/>
    <x v="246"/>
  </r>
  <r>
    <x v="3"/>
    <x v="251"/>
    <x v="247"/>
  </r>
  <r>
    <x v="3"/>
    <x v="252"/>
    <x v="248"/>
  </r>
  <r>
    <x v="3"/>
    <x v="253"/>
    <x v="249"/>
  </r>
  <r>
    <x v="3"/>
    <x v="254"/>
    <x v="250"/>
  </r>
  <r>
    <x v="3"/>
    <x v="255"/>
    <x v="251"/>
  </r>
  <r>
    <x v="3"/>
    <x v="256"/>
    <x v="252"/>
  </r>
  <r>
    <x v="3"/>
    <x v="257"/>
    <x v="253"/>
  </r>
  <r>
    <x v="3"/>
    <x v="258"/>
    <x v="254"/>
  </r>
  <r>
    <x v="3"/>
    <x v="259"/>
    <x v="255"/>
  </r>
  <r>
    <x v="3"/>
    <x v="260"/>
    <x v="256"/>
  </r>
  <r>
    <x v="3"/>
    <x v="261"/>
    <x v="257"/>
  </r>
  <r>
    <x v="3"/>
    <x v="262"/>
    <x v="258"/>
  </r>
  <r>
    <x v="3"/>
    <x v="263"/>
    <x v="259"/>
  </r>
  <r>
    <x v="3"/>
    <x v="264"/>
    <x v="260"/>
  </r>
  <r>
    <x v="3"/>
    <x v="265"/>
    <x v="261"/>
  </r>
  <r>
    <x v="3"/>
    <x v="266"/>
    <x v="262"/>
  </r>
  <r>
    <x v="3"/>
    <x v="267"/>
    <x v="263"/>
  </r>
  <r>
    <x v="3"/>
    <x v="268"/>
    <x v="264"/>
  </r>
  <r>
    <x v="3"/>
    <x v="269"/>
    <x v="265"/>
  </r>
  <r>
    <x v="3"/>
    <x v="270"/>
    <x v="266"/>
  </r>
  <r>
    <x v="3"/>
    <x v="271"/>
    <x v="267"/>
  </r>
  <r>
    <x v="3"/>
    <x v="272"/>
    <x v="268"/>
  </r>
  <r>
    <x v="3"/>
    <x v="273"/>
    <x v="269"/>
  </r>
  <r>
    <x v="3"/>
    <x v="274"/>
    <x v="270"/>
  </r>
  <r>
    <x v="3"/>
    <x v="275"/>
    <x v="271"/>
  </r>
  <r>
    <x v="3"/>
    <x v="276"/>
    <x v="272"/>
  </r>
  <r>
    <x v="3"/>
    <x v="277"/>
    <x v="273"/>
  </r>
  <r>
    <x v="3"/>
    <x v="278"/>
    <x v="274"/>
  </r>
  <r>
    <x v="3"/>
    <x v="279"/>
    <x v="275"/>
  </r>
  <r>
    <x v="3"/>
    <x v="280"/>
    <x v="276"/>
  </r>
  <r>
    <x v="3"/>
    <x v="281"/>
    <x v="277"/>
  </r>
  <r>
    <x v="3"/>
    <x v="282"/>
    <x v="278"/>
  </r>
  <r>
    <x v="3"/>
    <x v="283"/>
    <x v="279"/>
  </r>
  <r>
    <x v="3"/>
    <x v="284"/>
    <x v="280"/>
  </r>
  <r>
    <x v="3"/>
    <x v="285"/>
    <x v="281"/>
  </r>
  <r>
    <x v="3"/>
    <x v="286"/>
    <x v="282"/>
  </r>
  <r>
    <x v="3"/>
    <x v="287"/>
    <x v="283"/>
  </r>
  <r>
    <x v="3"/>
    <x v="288"/>
    <x v="284"/>
  </r>
  <r>
    <x v="3"/>
    <x v="289"/>
    <x v="285"/>
  </r>
  <r>
    <x v="3"/>
    <x v="290"/>
    <x v="286"/>
  </r>
  <r>
    <x v="3"/>
    <x v="291"/>
    <x v="287"/>
  </r>
  <r>
    <x v="3"/>
    <x v="292"/>
    <x v="288"/>
  </r>
  <r>
    <x v="3"/>
    <x v="293"/>
    <x v="289"/>
  </r>
  <r>
    <x v="3"/>
    <x v="294"/>
    <x v="290"/>
  </r>
  <r>
    <x v="3"/>
    <x v="295"/>
    <x v="291"/>
  </r>
  <r>
    <x v="3"/>
    <x v="296"/>
    <x v="292"/>
  </r>
  <r>
    <x v="3"/>
    <x v="297"/>
    <x v="293"/>
  </r>
  <r>
    <x v="3"/>
    <x v="298"/>
    <x v="294"/>
  </r>
  <r>
    <x v="3"/>
    <x v="299"/>
    <x v="295"/>
  </r>
  <r>
    <x v="3"/>
    <x v="300"/>
    <x v="296"/>
  </r>
  <r>
    <x v="3"/>
    <x v="301"/>
    <x v="297"/>
  </r>
  <r>
    <x v="3"/>
    <x v="302"/>
    <x v="298"/>
  </r>
  <r>
    <x v="3"/>
    <x v="303"/>
    <x v="299"/>
  </r>
  <r>
    <x v="3"/>
    <x v="304"/>
    <x v="300"/>
  </r>
  <r>
    <x v="3"/>
    <x v="305"/>
    <x v="301"/>
  </r>
  <r>
    <x v="3"/>
    <x v="306"/>
    <x v="302"/>
  </r>
  <r>
    <x v="3"/>
    <x v="307"/>
    <x v="303"/>
  </r>
  <r>
    <x v="3"/>
    <x v="308"/>
    <x v="304"/>
  </r>
  <r>
    <x v="3"/>
    <x v="309"/>
    <x v="305"/>
  </r>
  <r>
    <x v="3"/>
    <x v="310"/>
    <x v="306"/>
  </r>
  <r>
    <x v="3"/>
    <x v="311"/>
    <x v="307"/>
  </r>
  <r>
    <x v="3"/>
    <x v="312"/>
    <x v="308"/>
  </r>
  <r>
    <x v="3"/>
    <x v="313"/>
    <x v="309"/>
  </r>
  <r>
    <x v="3"/>
    <x v="314"/>
    <x v="310"/>
  </r>
  <r>
    <x v="3"/>
    <x v="315"/>
    <x v="311"/>
  </r>
  <r>
    <x v="3"/>
    <x v="316"/>
    <x v="312"/>
  </r>
  <r>
    <x v="3"/>
    <x v="317"/>
    <x v="313"/>
  </r>
  <r>
    <x v="3"/>
    <x v="318"/>
    <x v="314"/>
  </r>
  <r>
    <x v="3"/>
    <x v="319"/>
    <x v="315"/>
  </r>
  <r>
    <x v="3"/>
    <x v="320"/>
    <x v="316"/>
  </r>
  <r>
    <x v="3"/>
    <x v="321"/>
    <x v="317"/>
  </r>
  <r>
    <x v="3"/>
    <x v="322"/>
    <x v="318"/>
  </r>
  <r>
    <x v="3"/>
    <x v="323"/>
    <x v="319"/>
  </r>
  <r>
    <x v="3"/>
    <x v="324"/>
    <x v="320"/>
  </r>
  <r>
    <x v="3"/>
    <x v="325"/>
    <x v="321"/>
  </r>
  <r>
    <x v="3"/>
    <x v="326"/>
    <x v="322"/>
  </r>
  <r>
    <x v="3"/>
    <x v="327"/>
    <x v="323"/>
  </r>
  <r>
    <x v="3"/>
    <x v="328"/>
    <x v="324"/>
  </r>
  <r>
    <x v="3"/>
    <x v="329"/>
    <x v="325"/>
  </r>
  <r>
    <x v="3"/>
    <x v="330"/>
    <x v="326"/>
  </r>
  <r>
    <x v="3"/>
    <x v="331"/>
    <x v="327"/>
  </r>
  <r>
    <x v="3"/>
    <x v="332"/>
    <x v="328"/>
  </r>
  <r>
    <x v="3"/>
    <x v="333"/>
    <x v="329"/>
  </r>
  <r>
    <x v="3"/>
    <x v="334"/>
    <x v="330"/>
  </r>
  <r>
    <x v="3"/>
    <x v="335"/>
    <x v="331"/>
  </r>
  <r>
    <x v="3"/>
    <x v="336"/>
    <x v="332"/>
  </r>
  <r>
    <x v="3"/>
    <x v="337"/>
    <x v="333"/>
  </r>
  <r>
    <x v="3"/>
    <x v="338"/>
    <x v="334"/>
  </r>
  <r>
    <x v="3"/>
    <x v="339"/>
    <x v="335"/>
  </r>
  <r>
    <x v="3"/>
    <x v="340"/>
    <x v="336"/>
  </r>
  <r>
    <x v="3"/>
    <x v="341"/>
    <x v="337"/>
  </r>
  <r>
    <x v="3"/>
    <x v="342"/>
    <x v="338"/>
  </r>
  <r>
    <x v="3"/>
    <x v="343"/>
    <x v="339"/>
  </r>
  <r>
    <x v="3"/>
    <x v="344"/>
    <x v="340"/>
  </r>
  <r>
    <x v="3"/>
    <x v="345"/>
    <x v="341"/>
  </r>
  <r>
    <x v="3"/>
    <x v="346"/>
    <x v="342"/>
  </r>
  <r>
    <x v="3"/>
    <x v="347"/>
    <x v="343"/>
  </r>
  <r>
    <x v="3"/>
    <x v="348"/>
    <x v="344"/>
  </r>
  <r>
    <x v="3"/>
    <x v="349"/>
    <x v="345"/>
  </r>
  <r>
    <x v="3"/>
    <x v="350"/>
    <x v="346"/>
  </r>
  <r>
    <x v="3"/>
    <x v="351"/>
    <x v="347"/>
  </r>
  <r>
    <x v="3"/>
    <x v="352"/>
    <x v="348"/>
  </r>
  <r>
    <x v="3"/>
    <x v="353"/>
    <x v="349"/>
  </r>
  <r>
    <x v="3"/>
    <x v="354"/>
    <x v="350"/>
  </r>
  <r>
    <x v="3"/>
    <x v="355"/>
    <x v="351"/>
  </r>
  <r>
    <x v="3"/>
    <x v="356"/>
    <x v="352"/>
  </r>
  <r>
    <x v="3"/>
    <x v="357"/>
    <x v="353"/>
  </r>
  <r>
    <x v="3"/>
    <x v="358"/>
    <x v="354"/>
  </r>
  <r>
    <x v="3"/>
    <x v="359"/>
    <x v="355"/>
  </r>
  <r>
    <x v="3"/>
    <x v="360"/>
    <x v="356"/>
  </r>
  <r>
    <x v="3"/>
    <x v="361"/>
    <x v="357"/>
  </r>
  <r>
    <x v="3"/>
    <x v="362"/>
    <x v="358"/>
  </r>
  <r>
    <x v="3"/>
    <x v="363"/>
    <x v="359"/>
  </r>
  <r>
    <x v="3"/>
    <x v="364"/>
    <x v="360"/>
  </r>
  <r>
    <x v="3"/>
    <x v="365"/>
    <x v="361"/>
  </r>
  <r>
    <x v="3"/>
    <x v="366"/>
    <x v="362"/>
  </r>
  <r>
    <x v="3"/>
    <x v="367"/>
    <x v="363"/>
  </r>
  <r>
    <x v="3"/>
    <x v="368"/>
    <x v="364"/>
  </r>
  <r>
    <x v="3"/>
    <x v="369"/>
    <x v="365"/>
  </r>
  <r>
    <x v="3"/>
    <x v="370"/>
    <x v="366"/>
  </r>
  <r>
    <x v="3"/>
    <x v="371"/>
    <x v="367"/>
  </r>
  <r>
    <x v="3"/>
    <x v="372"/>
    <x v="368"/>
  </r>
  <r>
    <x v="3"/>
    <x v="373"/>
    <x v="369"/>
  </r>
  <r>
    <x v="3"/>
    <x v="374"/>
    <x v="370"/>
  </r>
  <r>
    <x v="3"/>
    <x v="375"/>
    <x v="371"/>
  </r>
  <r>
    <x v="3"/>
    <x v="376"/>
    <x v="372"/>
  </r>
  <r>
    <x v="3"/>
    <x v="377"/>
    <x v="373"/>
  </r>
  <r>
    <x v="3"/>
    <x v="378"/>
    <x v="374"/>
  </r>
  <r>
    <x v="3"/>
    <x v="379"/>
    <x v="375"/>
  </r>
  <r>
    <x v="3"/>
    <x v="380"/>
    <x v="376"/>
  </r>
  <r>
    <x v="3"/>
    <x v="381"/>
    <x v="377"/>
  </r>
  <r>
    <x v="3"/>
    <x v="382"/>
    <x v="378"/>
  </r>
  <r>
    <x v="3"/>
    <x v="383"/>
    <x v="379"/>
  </r>
  <r>
    <x v="3"/>
    <x v="384"/>
    <x v="380"/>
  </r>
  <r>
    <x v="3"/>
    <x v="385"/>
    <x v="381"/>
  </r>
  <r>
    <x v="3"/>
    <x v="386"/>
    <x v="382"/>
  </r>
  <r>
    <x v="3"/>
    <x v="387"/>
    <x v="383"/>
  </r>
  <r>
    <x v="3"/>
    <x v="388"/>
    <x v="384"/>
  </r>
  <r>
    <x v="3"/>
    <x v="389"/>
    <x v="385"/>
  </r>
  <r>
    <x v="3"/>
    <x v="390"/>
    <x v="386"/>
  </r>
  <r>
    <x v="3"/>
    <x v="391"/>
    <x v="387"/>
  </r>
  <r>
    <x v="3"/>
    <x v="392"/>
    <x v="388"/>
  </r>
  <r>
    <x v="3"/>
    <x v="393"/>
    <x v="389"/>
  </r>
  <r>
    <x v="3"/>
    <x v="394"/>
    <x v="390"/>
  </r>
  <r>
    <x v="3"/>
    <x v="395"/>
    <x v="391"/>
  </r>
  <r>
    <x v="3"/>
    <x v="396"/>
    <x v="392"/>
  </r>
  <r>
    <x v="3"/>
    <x v="397"/>
    <x v="393"/>
  </r>
  <r>
    <x v="3"/>
    <x v="398"/>
    <x v="394"/>
  </r>
  <r>
    <x v="3"/>
    <x v="399"/>
    <x v="395"/>
  </r>
  <r>
    <x v="3"/>
    <x v="400"/>
    <x v="396"/>
  </r>
  <r>
    <x v="3"/>
    <x v="401"/>
    <x v="397"/>
  </r>
  <r>
    <x v="3"/>
    <x v="402"/>
    <x v="398"/>
  </r>
  <r>
    <x v="3"/>
    <x v="403"/>
    <x v="399"/>
  </r>
  <r>
    <x v="3"/>
    <x v="404"/>
    <x v="400"/>
  </r>
  <r>
    <x v="3"/>
    <x v="405"/>
    <x v="401"/>
  </r>
  <r>
    <x v="3"/>
    <x v="406"/>
    <x v="402"/>
  </r>
  <r>
    <x v="3"/>
    <x v="407"/>
    <x v="403"/>
  </r>
  <r>
    <x v="3"/>
    <x v="408"/>
    <x v="404"/>
  </r>
  <r>
    <x v="3"/>
    <x v="409"/>
    <x v="405"/>
  </r>
  <r>
    <x v="3"/>
    <x v="410"/>
    <x v="406"/>
  </r>
  <r>
    <x v="3"/>
    <x v="411"/>
    <x v="407"/>
  </r>
  <r>
    <x v="3"/>
    <x v="412"/>
    <x v="408"/>
  </r>
  <r>
    <x v="3"/>
    <x v="413"/>
    <x v="409"/>
  </r>
  <r>
    <x v="3"/>
    <x v="414"/>
    <x v="410"/>
  </r>
  <r>
    <x v="3"/>
    <x v="415"/>
    <x v="411"/>
  </r>
  <r>
    <x v="3"/>
    <x v="416"/>
    <x v="412"/>
  </r>
  <r>
    <x v="3"/>
    <x v="417"/>
    <x v="413"/>
  </r>
  <r>
    <x v="3"/>
    <x v="418"/>
    <x v="414"/>
  </r>
  <r>
    <x v="3"/>
    <x v="419"/>
    <x v="415"/>
  </r>
  <r>
    <x v="3"/>
    <x v="420"/>
    <x v="416"/>
  </r>
  <r>
    <x v="3"/>
    <x v="421"/>
    <x v="417"/>
  </r>
  <r>
    <x v="3"/>
    <x v="422"/>
    <x v="418"/>
  </r>
  <r>
    <x v="3"/>
    <x v="423"/>
    <x v="419"/>
  </r>
  <r>
    <x v="3"/>
    <x v="424"/>
    <x v="420"/>
  </r>
  <r>
    <x v="3"/>
    <x v="425"/>
    <x v="421"/>
  </r>
  <r>
    <x v="3"/>
    <x v="426"/>
    <x v="422"/>
  </r>
  <r>
    <x v="3"/>
    <x v="427"/>
    <x v="423"/>
  </r>
  <r>
    <x v="3"/>
    <x v="428"/>
    <x v="424"/>
  </r>
  <r>
    <x v="3"/>
    <x v="429"/>
    <x v="425"/>
  </r>
  <r>
    <x v="3"/>
    <x v="430"/>
    <x v="426"/>
  </r>
  <r>
    <x v="3"/>
    <x v="431"/>
    <x v="427"/>
  </r>
  <r>
    <x v="3"/>
    <x v="432"/>
    <x v="428"/>
  </r>
  <r>
    <x v="3"/>
    <x v="433"/>
    <x v="429"/>
  </r>
  <r>
    <x v="3"/>
    <x v="434"/>
    <x v="430"/>
  </r>
  <r>
    <x v="3"/>
    <x v="435"/>
    <x v="431"/>
  </r>
  <r>
    <x v="3"/>
    <x v="436"/>
    <x v="432"/>
  </r>
  <r>
    <x v="3"/>
    <x v="437"/>
    <x v="433"/>
  </r>
  <r>
    <x v="3"/>
    <x v="438"/>
    <x v="434"/>
  </r>
  <r>
    <x v="3"/>
    <x v="439"/>
    <x v="435"/>
  </r>
  <r>
    <x v="3"/>
    <x v="440"/>
    <x v="436"/>
  </r>
  <r>
    <x v="3"/>
    <x v="441"/>
    <x v="437"/>
  </r>
  <r>
    <x v="3"/>
    <x v="442"/>
    <x v="438"/>
  </r>
  <r>
    <x v="3"/>
    <x v="443"/>
    <x v="439"/>
  </r>
  <r>
    <x v="3"/>
    <x v="444"/>
    <x v="440"/>
  </r>
  <r>
    <x v="3"/>
    <x v="445"/>
    <x v="441"/>
  </r>
  <r>
    <x v="3"/>
    <x v="446"/>
    <x v="442"/>
  </r>
  <r>
    <x v="3"/>
    <x v="447"/>
    <x v="443"/>
  </r>
  <r>
    <x v="3"/>
    <x v="448"/>
    <x v="444"/>
  </r>
  <r>
    <x v="3"/>
    <x v="449"/>
    <x v="445"/>
  </r>
  <r>
    <x v="3"/>
    <x v="450"/>
    <x v="446"/>
  </r>
  <r>
    <x v="3"/>
    <x v="451"/>
    <x v="447"/>
  </r>
  <r>
    <x v="3"/>
    <x v="452"/>
    <x v="448"/>
  </r>
  <r>
    <x v="3"/>
    <x v="453"/>
    <x v="449"/>
  </r>
  <r>
    <x v="3"/>
    <x v="454"/>
    <x v="450"/>
  </r>
  <r>
    <x v="3"/>
    <x v="455"/>
    <x v="451"/>
  </r>
  <r>
    <x v="3"/>
    <x v="456"/>
    <x v="452"/>
  </r>
  <r>
    <x v="3"/>
    <x v="457"/>
    <x v="453"/>
  </r>
  <r>
    <x v="3"/>
    <x v="458"/>
    <x v="454"/>
  </r>
  <r>
    <x v="3"/>
    <x v="459"/>
    <x v="455"/>
  </r>
  <r>
    <x v="3"/>
    <x v="460"/>
    <x v="456"/>
  </r>
  <r>
    <x v="3"/>
    <x v="461"/>
    <x v="457"/>
  </r>
  <r>
    <x v="3"/>
    <x v="462"/>
    <x v="458"/>
  </r>
  <r>
    <x v="3"/>
    <x v="463"/>
    <x v="459"/>
  </r>
  <r>
    <x v="3"/>
    <x v="464"/>
    <x v="460"/>
  </r>
  <r>
    <x v="3"/>
    <x v="465"/>
    <x v="461"/>
  </r>
  <r>
    <x v="3"/>
    <x v="466"/>
    <x v="462"/>
  </r>
  <r>
    <x v="3"/>
    <x v="467"/>
    <x v="463"/>
  </r>
  <r>
    <x v="3"/>
    <x v="468"/>
    <x v="464"/>
  </r>
  <r>
    <x v="3"/>
    <x v="469"/>
    <x v="465"/>
  </r>
  <r>
    <x v="3"/>
    <x v="470"/>
    <x v="466"/>
  </r>
  <r>
    <x v="3"/>
    <x v="471"/>
    <x v="467"/>
  </r>
  <r>
    <x v="3"/>
    <x v="472"/>
    <x v="468"/>
  </r>
  <r>
    <x v="3"/>
    <x v="473"/>
    <x v="469"/>
  </r>
  <r>
    <x v="3"/>
    <x v="474"/>
    <x v="470"/>
  </r>
  <r>
    <x v="3"/>
    <x v="475"/>
    <x v="471"/>
  </r>
  <r>
    <x v="3"/>
    <x v="476"/>
    <x v="472"/>
  </r>
  <r>
    <x v="3"/>
    <x v="477"/>
    <x v="473"/>
  </r>
  <r>
    <x v="3"/>
    <x v="478"/>
    <x v="474"/>
  </r>
  <r>
    <x v="3"/>
    <x v="479"/>
    <x v="475"/>
  </r>
  <r>
    <x v="3"/>
    <x v="480"/>
    <x v="476"/>
  </r>
  <r>
    <x v="3"/>
    <x v="481"/>
    <x v="477"/>
  </r>
  <r>
    <x v="3"/>
    <x v="482"/>
    <x v="478"/>
  </r>
  <r>
    <x v="3"/>
    <x v="483"/>
    <x v="479"/>
  </r>
  <r>
    <x v="3"/>
    <x v="484"/>
    <x v="480"/>
  </r>
  <r>
    <x v="3"/>
    <x v="485"/>
    <x v="481"/>
  </r>
  <r>
    <x v="3"/>
    <x v="486"/>
    <x v="482"/>
  </r>
  <r>
    <x v="3"/>
    <x v="487"/>
    <x v="483"/>
  </r>
  <r>
    <x v="3"/>
    <x v="488"/>
    <x v="484"/>
  </r>
  <r>
    <x v="3"/>
    <x v="489"/>
    <x v="485"/>
  </r>
  <r>
    <x v="3"/>
    <x v="490"/>
    <x v="486"/>
  </r>
  <r>
    <x v="3"/>
    <x v="491"/>
    <x v="487"/>
  </r>
  <r>
    <x v="3"/>
    <x v="492"/>
    <x v="488"/>
  </r>
  <r>
    <x v="3"/>
    <x v="493"/>
    <x v="489"/>
  </r>
  <r>
    <x v="3"/>
    <x v="494"/>
    <x v="490"/>
  </r>
  <r>
    <x v="3"/>
    <x v="495"/>
    <x v="491"/>
  </r>
  <r>
    <x v="3"/>
    <x v="496"/>
    <x v="492"/>
  </r>
  <r>
    <x v="3"/>
    <x v="497"/>
    <x v="493"/>
  </r>
  <r>
    <x v="3"/>
    <x v="498"/>
    <x v="494"/>
  </r>
  <r>
    <x v="3"/>
    <x v="499"/>
    <x v="495"/>
  </r>
  <r>
    <x v="3"/>
    <x v="500"/>
    <x v="496"/>
  </r>
  <r>
    <x v="3"/>
    <x v="501"/>
    <x v="497"/>
  </r>
  <r>
    <x v="3"/>
    <x v="502"/>
    <x v="498"/>
  </r>
  <r>
    <x v="3"/>
    <x v="503"/>
    <x v="499"/>
  </r>
  <r>
    <x v="3"/>
    <x v="504"/>
    <x v="500"/>
  </r>
  <r>
    <x v="3"/>
    <x v="505"/>
    <x v="501"/>
  </r>
  <r>
    <x v="3"/>
    <x v="506"/>
    <x v="502"/>
  </r>
  <r>
    <x v="3"/>
    <x v="507"/>
    <x v="503"/>
  </r>
  <r>
    <x v="3"/>
    <x v="508"/>
    <x v="504"/>
  </r>
  <r>
    <x v="3"/>
    <x v="509"/>
    <x v="505"/>
  </r>
  <r>
    <x v="3"/>
    <x v="510"/>
    <x v="506"/>
  </r>
  <r>
    <x v="3"/>
    <x v="511"/>
    <x v="507"/>
  </r>
  <r>
    <x v="3"/>
    <x v="512"/>
    <x v="508"/>
  </r>
  <r>
    <x v="3"/>
    <x v="513"/>
    <x v="509"/>
  </r>
  <r>
    <x v="3"/>
    <x v="514"/>
    <x v="510"/>
  </r>
  <r>
    <x v="3"/>
    <x v="515"/>
    <x v="511"/>
  </r>
  <r>
    <x v="3"/>
    <x v="516"/>
    <x v="512"/>
  </r>
  <r>
    <x v="3"/>
    <x v="517"/>
    <x v="513"/>
  </r>
  <r>
    <x v="3"/>
    <x v="518"/>
    <x v="514"/>
  </r>
  <r>
    <x v="3"/>
    <x v="519"/>
    <x v="515"/>
  </r>
  <r>
    <x v="3"/>
    <x v="520"/>
    <x v="516"/>
  </r>
  <r>
    <x v="3"/>
    <x v="521"/>
    <x v="517"/>
  </r>
  <r>
    <x v="3"/>
    <x v="522"/>
    <x v="518"/>
  </r>
  <r>
    <x v="3"/>
    <x v="523"/>
    <x v="519"/>
  </r>
  <r>
    <x v="3"/>
    <x v="524"/>
    <x v="520"/>
  </r>
  <r>
    <x v="3"/>
    <x v="525"/>
    <x v="521"/>
  </r>
  <r>
    <x v="3"/>
    <x v="526"/>
    <x v="522"/>
  </r>
  <r>
    <x v="3"/>
    <x v="527"/>
    <x v="523"/>
  </r>
  <r>
    <x v="3"/>
    <x v="528"/>
    <x v="524"/>
  </r>
  <r>
    <x v="3"/>
    <x v="529"/>
    <x v="525"/>
  </r>
  <r>
    <x v="3"/>
    <x v="530"/>
    <x v="526"/>
  </r>
  <r>
    <x v="3"/>
    <x v="531"/>
    <x v="527"/>
  </r>
  <r>
    <x v="3"/>
    <x v="532"/>
    <x v="528"/>
  </r>
  <r>
    <x v="3"/>
    <x v="533"/>
    <x v="529"/>
  </r>
  <r>
    <x v="3"/>
    <x v="534"/>
    <x v="530"/>
  </r>
  <r>
    <x v="3"/>
    <x v="535"/>
    <x v="531"/>
  </r>
  <r>
    <x v="3"/>
    <x v="536"/>
    <x v="532"/>
  </r>
  <r>
    <x v="3"/>
    <x v="537"/>
    <x v="533"/>
  </r>
  <r>
    <x v="3"/>
    <x v="538"/>
    <x v="534"/>
  </r>
  <r>
    <x v="3"/>
    <x v="539"/>
    <x v="535"/>
  </r>
  <r>
    <x v="3"/>
    <x v="540"/>
    <x v="536"/>
  </r>
  <r>
    <x v="3"/>
    <x v="541"/>
    <x v="537"/>
  </r>
  <r>
    <x v="3"/>
    <x v="542"/>
    <x v="538"/>
  </r>
  <r>
    <x v="3"/>
    <x v="543"/>
    <x v="539"/>
  </r>
  <r>
    <x v="3"/>
    <x v="544"/>
    <x v="540"/>
  </r>
  <r>
    <x v="3"/>
    <x v="545"/>
    <x v="541"/>
  </r>
  <r>
    <x v="3"/>
    <x v="546"/>
    <x v="542"/>
  </r>
  <r>
    <x v="3"/>
    <x v="547"/>
    <x v="543"/>
  </r>
  <r>
    <x v="3"/>
    <x v="548"/>
    <x v="544"/>
  </r>
  <r>
    <x v="3"/>
    <x v="549"/>
    <x v="545"/>
  </r>
  <r>
    <x v="3"/>
    <x v="550"/>
    <x v="546"/>
  </r>
  <r>
    <x v="3"/>
    <x v="551"/>
    <x v="547"/>
  </r>
  <r>
    <x v="3"/>
    <x v="552"/>
    <x v="548"/>
  </r>
  <r>
    <x v="3"/>
    <x v="553"/>
    <x v="549"/>
  </r>
  <r>
    <x v="3"/>
    <x v="554"/>
    <x v="550"/>
  </r>
  <r>
    <x v="3"/>
    <x v="555"/>
    <x v="551"/>
  </r>
  <r>
    <x v="3"/>
    <x v="556"/>
    <x v="552"/>
  </r>
  <r>
    <x v="3"/>
    <x v="557"/>
    <x v="553"/>
  </r>
  <r>
    <x v="3"/>
    <x v="558"/>
    <x v="554"/>
  </r>
  <r>
    <x v="3"/>
    <x v="559"/>
    <x v="555"/>
  </r>
  <r>
    <x v="3"/>
    <x v="560"/>
    <x v="556"/>
  </r>
  <r>
    <x v="3"/>
    <x v="561"/>
    <x v="557"/>
  </r>
  <r>
    <x v="3"/>
    <x v="562"/>
    <x v="558"/>
  </r>
  <r>
    <x v="3"/>
    <x v="563"/>
    <x v="559"/>
  </r>
  <r>
    <x v="3"/>
    <x v="564"/>
    <x v="560"/>
  </r>
  <r>
    <x v="3"/>
    <x v="565"/>
    <x v="561"/>
  </r>
  <r>
    <x v="3"/>
    <x v="566"/>
    <x v="562"/>
  </r>
  <r>
    <x v="3"/>
    <x v="567"/>
    <x v="563"/>
  </r>
  <r>
    <x v="3"/>
    <x v="568"/>
    <x v="564"/>
  </r>
  <r>
    <x v="3"/>
    <x v="569"/>
    <x v="565"/>
  </r>
  <r>
    <x v="3"/>
    <x v="570"/>
    <x v="566"/>
  </r>
  <r>
    <x v="3"/>
    <x v="571"/>
    <x v="567"/>
  </r>
  <r>
    <x v="3"/>
    <x v="572"/>
    <x v="568"/>
  </r>
  <r>
    <x v="3"/>
    <x v="573"/>
    <x v="569"/>
  </r>
  <r>
    <x v="3"/>
    <x v="574"/>
    <x v="570"/>
  </r>
  <r>
    <x v="3"/>
    <x v="575"/>
    <x v="571"/>
  </r>
  <r>
    <x v="3"/>
    <x v="576"/>
    <x v="572"/>
  </r>
  <r>
    <x v="3"/>
    <x v="577"/>
    <x v="573"/>
  </r>
  <r>
    <x v="3"/>
    <x v="578"/>
    <x v="574"/>
  </r>
  <r>
    <x v="3"/>
    <x v="579"/>
    <x v="575"/>
  </r>
  <r>
    <x v="3"/>
    <x v="580"/>
    <x v="576"/>
  </r>
  <r>
    <x v="3"/>
    <x v="581"/>
    <x v="577"/>
  </r>
  <r>
    <x v="3"/>
    <x v="582"/>
    <x v="578"/>
  </r>
  <r>
    <x v="3"/>
    <x v="583"/>
    <x v="579"/>
  </r>
  <r>
    <x v="3"/>
    <x v="584"/>
    <x v="580"/>
  </r>
  <r>
    <x v="3"/>
    <x v="585"/>
    <x v="581"/>
  </r>
  <r>
    <x v="3"/>
    <x v="586"/>
    <x v="582"/>
  </r>
  <r>
    <x v="3"/>
    <x v="587"/>
    <x v="583"/>
  </r>
  <r>
    <x v="3"/>
    <x v="588"/>
    <x v="584"/>
  </r>
  <r>
    <x v="3"/>
    <x v="589"/>
    <x v="585"/>
  </r>
  <r>
    <x v="3"/>
    <x v="590"/>
    <x v="586"/>
  </r>
  <r>
    <x v="3"/>
    <x v="591"/>
    <x v="587"/>
  </r>
  <r>
    <x v="3"/>
    <x v="592"/>
    <x v="588"/>
  </r>
  <r>
    <x v="3"/>
    <x v="593"/>
    <x v="589"/>
  </r>
  <r>
    <x v="3"/>
    <x v="594"/>
    <x v="590"/>
  </r>
  <r>
    <x v="3"/>
    <x v="595"/>
    <x v="591"/>
  </r>
  <r>
    <x v="3"/>
    <x v="596"/>
    <x v="592"/>
  </r>
  <r>
    <x v="3"/>
    <x v="597"/>
    <x v="593"/>
  </r>
  <r>
    <x v="3"/>
    <x v="598"/>
    <x v="594"/>
  </r>
  <r>
    <x v="3"/>
    <x v="599"/>
    <x v="595"/>
  </r>
  <r>
    <x v="3"/>
    <x v="600"/>
    <x v="596"/>
  </r>
  <r>
    <x v="3"/>
    <x v="601"/>
    <x v="597"/>
  </r>
  <r>
    <x v="3"/>
    <x v="602"/>
    <x v="598"/>
  </r>
  <r>
    <x v="3"/>
    <x v="603"/>
    <x v="599"/>
  </r>
  <r>
    <x v="3"/>
    <x v="604"/>
    <x v="600"/>
  </r>
  <r>
    <x v="3"/>
    <x v="605"/>
    <x v="601"/>
  </r>
  <r>
    <x v="3"/>
    <x v="606"/>
    <x v="602"/>
  </r>
  <r>
    <x v="3"/>
    <x v="607"/>
    <x v="603"/>
  </r>
  <r>
    <x v="3"/>
    <x v="608"/>
    <x v="604"/>
  </r>
  <r>
    <x v="3"/>
    <x v="609"/>
    <x v="605"/>
  </r>
  <r>
    <x v="4"/>
    <x v="610"/>
    <x v="606"/>
  </r>
  <r>
    <x v="4"/>
    <x v="611"/>
    <x v="607"/>
  </r>
  <r>
    <x v="4"/>
    <x v="612"/>
    <x v="608"/>
  </r>
  <r>
    <x v="4"/>
    <x v="613"/>
    <x v="609"/>
  </r>
  <r>
    <x v="4"/>
    <x v="614"/>
    <x v="610"/>
  </r>
  <r>
    <x v="4"/>
    <x v="615"/>
    <x v="611"/>
  </r>
  <r>
    <x v="4"/>
    <x v="616"/>
    <x v="612"/>
  </r>
  <r>
    <x v="4"/>
    <x v="617"/>
    <x v="613"/>
  </r>
  <r>
    <x v="4"/>
    <x v="618"/>
    <x v="614"/>
  </r>
  <r>
    <x v="4"/>
    <x v="619"/>
    <x v="615"/>
  </r>
  <r>
    <x v="4"/>
    <x v="620"/>
    <x v="616"/>
  </r>
  <r>
    <x v="4"/>
    <x v="621"/>
    <x v="617"/>
  </r>
  <r>
    <x v="4"/>
    <x v="622"/>
    <x v="618"/>
  </r>
  <r>
    <x v="4"/>
    <x v="623"/>
    <x v="619"/>
  </r>
  <r>
    <x v="4"/>
    <x v="624"/>
    <x v="620"/>
  </r>
  <r>
    <x v="4"/>
    <x v="625"/>
    <x v="621"/>
  </r>
  <r>
    <x v="4"/>
    <x v="626"/>
    <x v="622"/>
  </r>
  <r>
    <x v="4"/>
    <x v="627"/>
    <x v="623"/>
  </r>
  <r>
    <x v="4"/>
    <x v="628"/>
    <x v="624"/>
  </r>
  <r>
    <x v="4"/>
    <x v="629"/>
    <x v="625"/>
  </r>
  <r>
    <x v="4"/>
    <x v="630"/>
    <x v="626"/>
  </r>
  <r>
    <x v="4"/>
    <x v="631"/>
    <x v="627"/>
  </r>
  <r>
    <x v="4"/>
    <x v="632"/>
    <x v="628"/>
  </r>
  <r>
    <x v="4"/>
    <x v="633"/>
    <x v="629"/>
  </r>
  <r>
    <x v="4"/>
    <x v="634"/>
    <x v="630"/>
  </r>
  <r>
    <x v="4"/>
    <x v="635"/>
    <x v="631"/>
  </r>
  <r>
    <x v="4"/>
    <x v="636"/>
    <x v="632"/>
  </r>
  <r>
    <x v="4"/>
    <x v="637"/>
    <x v="633"/>
  </r>
  <r>
    <x v="4"/>
    <x v="638"/>
    <x v="634"/>
  </r>
  <r>
    <x v="4"/>
    <x v="639"/>
    <x v="635"/>
  </r>
  <r>
    <x v="4"/>
    <x v="640"/>
    <x v="635"/>
  </r>
  <r>
    <x v="4"/>
    <x v="641"/>
    <x v="636"/>
  </r>
  <r>
    <x v="4"/>
    <x v="642"/>
    <x v="637"/>
  </r>
  <r>
    <x v="4"/>
    <x v="643"/>
    <x v="638"/>
  </r>
  <r>
    <x v="4"/>
    <x v="644"/>
    <x v="639"/>
  </r>
  <r>
    <x v="4"/>
    <x v="645"/>
    <x v="640"/>
  </r>
  <r>
    <x v="4"/>
    <x v="646"/>
    <x v="641"/>
  </r>
  <r>
    <x v="4"/>
    <x v="647"/>
    <x v="642"/>
  </r>
  <r>
    <x v="4"/>
    <x v="648"/>
    <x v="643"/>
  </r>
  <r>
    <x v="4"/>
    <x v="649"/>
    <x v="644"/>
  </r>
  <r>
    <x v="4"/>
    <x v="650"/>
    <x v="645"/>
  </r>
  <r>
    <x v="4"/>
    <x v="651"/>
    <x v="646"/>
  </r>
  <r>
    <x v="4"/>
    <x v="652"/>
    <x v="647"/>
  </r>
  <r>
    <x v="4"/>
    <x v="653"/>
    <x v="648"/>
  </r>
  <r>
    <x v="4"/>
    <x v="654"/>
    <x v="649"/>
  </r>
  <r>
    <x v="4"/>
    <x v="655"/>
    <x v="650"/>
  </r>
  <r>
    <x v="4"/>
    <x v="656"/>
    <x v="651"/>
  </r>
  <r>
    <x v="4"/>
    <x v="657"/>
    <x v="652"/>
  </r>
  <r>
    <x v="4"/>
    <x v="658"/>
    <x v="653"/>
  </r>
  <r>
    <x v="4"/>
    <x v="659"/>
    <x v="654"/>
  </r>
  <r>
    <x v="4"/>
    <x v="660"/>
    <x v="655"/>
  </r>
  <r>
    <x v="4"/>
    <x v="661"/>
    <x v="656"/>
  </r>
  <r>
    <x v="4"/>
    <x v="662"/>
    <x v="657"/>
  </r>
  <r>
    <x v="4"/>
    <x v="663"/>
    <x v="658"/>
  </r>
  <r>
    <x v="4"/>
    <x v="664"/>
    <x v="659"/>
  </r>
  <r>
    <x v="4"/>
    <x v="665"/>
    <x v="660"/>
  </r>
  <r>
    <x v="4"/>
    <x v="666"/>
    <x v="661"/>
  </r>
  <r>
    <x v="4"/>
    <x v="667"/>
    <x v="662"/>
  </r>
  <r>
    <x v="4"/>
    <x v="668"/>
    <x v="663"/>
  </r>
  <r>
    <x v="4"/>
    <x v="669"/>
    <x v="664"/>
  </r>
  <r>
    <x v="4"/>
    <x v="670"/>
    <x v="665"/>
  </r>
  <r>
    <x v="4"/>
    <x v="671"/>
    <x v="666"/>
  </r>
  <r>
    <x v="4"/>
    <x v="672"/>
    <x v="667"/>
  </r>
  <r>
    <x v="4"/>
    <x v="673"/>
    <x v="668"/>
  </r>
  <r>
    <x v="4"/>
    <x v="674"/>
    <x v="669"/>
  </r>
  <r>
    <x v="4"/>
    <x v="675"/>
    <x v="670"/>
  </r>
  <r>
    <x v="4"/>
    <x v="676"/>
    <x v="671"/>
  </r>
  <r>
    <x v="4"/>
    <x v="677"/>
    <x v="672"/>
  </r>
  <r>
    <x v="4"/>
    <x v="678"/>
    <x v="673"/>
  </r>
  <r>
    <x v="4"/>
    <x v="679"/>
    <x v="674"/>
  </r>
  <r>
    <x v="4"/>
    <x v="680"/>
    <x v="675"/>
  </r>
  <r>
    <x v="4"/>
    <x v="681"/>
    <x v="676"/>
  </r>
  <r>
    <x v="4"/>
    <x v="682"/>
    <x v="677"/>
  </r>
  <r>
    <x v="4"/>
    <x v="683"/>
    <x v="678"/>
  </r>
  <r>
    <x v="4"/>
    <x v="684"/>
    <x v="679"/>
  </r>
  <r>
    <x v="4"/>
    <x v="685"/>
    <x v="680"/>
  </r>
  <r>
    <x v="4"/>
    <x v="686"/>
    <x v="681"/>
  </r>
  <r>
    <x v="4"/>
    <x v="687"/>
    <x v="682"/>
  </r>
  <r>
    <x v="4"/>
    <x v="688"/>
    <x v="683"/>
  </r>
  <r>
    <x v="4"/>
    <x v="689"/>
    <x v="684"/>
  </r>
  <r>
    <x v="4"/>
    <x v="690"/>
    <x v="685"/>
  </r>
  <r>
    <x v="4"/>
    <x v="691"/>
    <x v="686"/>
  </r>
  <r>
    <x v="4"/>
    <x v="692"/>
    <x v="687"/>
  </r>
  <r>
    <x v="4"/>
    <x v="693"/>
    <x v="688"/>
  </r>
  <r>
    <x v="4"/>
    <x v="694"/>
    <x v="689"/>
  </r>
  <r>
    <x v="4"/>
    <x v="695"/>
    <x v="690"/>
  </r>
  <r>
    <x v="4"/>
    <x v="696"/>
    <x v="691"/>
  </r>
  <r>
    <x v="4"/>
    <x v="697"/>
    <x v="692"/>
  </r>
  <r>
    <x v="4"/>
    <x v="698"/>
    <x v="693"/>
  </r>
  <r>
    <x v="4"/>
    <x v="699"/>
    <x v="694"/>
  </r>
  <r>
    <x v="4"/>
    <x v="700"/>
    <x v="694"/>
  </r>
  <r>
    <x v="4"/>
    <x v="701"/>
    <x v="695"/>
  </r>
  <r>
    <x v="4"/>
    <x v="702"/>
    <x v="696"/>
  </r>
  <r>
    <x v="4"/>
    <x v="703"/>
    <x v="697"/>
  </r>
  <r>
    <x v="4"/>
    <x v="704"/>
    <x v="698"/>
  </r>
  <r>
    <x v="4"/>
    <x v="705"/>
    <x v="699"/>
  </r>
  <r>
    <x v="4"/>
    <x v="706"/>
    <x v="700"/>
  </r>
  <r>
    <x v="4"/>
    <x v="707"/>
    <x v="701"/>
  </r>
  <r>
    <x v="4"/>
    <x v="708"/>
    <x v="702"/>
  </r>
  <r>
    <x v="4"/>
    <x v="709"/>
    <x v="703"/>
  </r>
  <r>
    <x v="4"/>
    <x v="710"/>
    <x v="704"/>
  </r>
  <r>
    <x v="4"/>
    <x v="711"/>
    <x v="705"/>
  </r>
  <r>
    <x v="4"/>
    <x v="712"/>
    <x v="706"/>
  </r>
  <r>
    <x v="4"/>
    <x v="713"/>
    <x v="707"/>
  </r>
  <r>
    <x v="4"/>
    <x v="714"/>
    <x v="708"/>
  </r>
  <r>
    <x v="5"/>
    <x v="715"/>
    <x v="709"/>
  </r>
  <r>
    <x v="5"/>
    <x v="716"/>
    <x v="710"/>
  </r>
  <r>
    <x v="5"/>
    <x v="717"/>
    <x v="711"/>
  </r>
  <r>
    <x v="5"/>
    <x v="718"/>
    <x v="712"/>
  </r>
  <r>
    <x v="5"/>
    <x v="719"/>
    <x v="713"/>
  </r>
  <r>
    <x v="5"/>
    <x v="720"/>
    <x v="714"/>
  </r>
  <r>
    <x v="5"/>
    <x v="721"/>
    <x v="715"/>
  </r>
  <r>
    <x v="5"/>
    <x v="722"/>
    <x v="716"/>
  </r>
  <r>
    <x v="5"/>
    <x v="723"/>
    <x v="717"/>
  </r>
  <r>
    <x v="5"/>
    <x v="724"/>
    <x v="718"/>
  </r>
  <r>
    <x v="5"/>
    <x v="725"/>
    <x v="719"/>
  </r>
  <r>
    <x v="5"/>
    <x v="726"/>
    <x v="720"/>
  </r>
  <r>
    <x v="5"/>
    <x v="727"/>
    <x v="721"/>
  </r>
  <r>
    <x v="5"/>
    <x v="728"/>
    <x v="722"/>
  </r>
  <r>
    <x v="5"/>
    <x v="729"/>
    <x v="723"/>
  </r>
  <r>
    <x v="5"/>
    <x v="730"/>
    <x v="724"/>
  </r>
  <r>
    <x v="5"/>
    <x v="731"/>
    <x v="725"/>
  </r>
  <r>
    <x v="5"/>
    <x v="732"/>
    <x v="726"/>
  </r>
  <r>
    <x v="5"/>
    <x v="733"/>
    <x v="727"/>
  </r>
  <r>
    <x v="5"/>
    <x v="734"/>
    <x v="728"/>
  </r>
  <r>
    <x v="5"/>
    <x v="735"/>
    <x v="729"/>
  </r>
  <r>
    <x v="5"/>
    <x v="736"/>
    <x v="730"/>
  </r>
  <r>
    <x v="5"/>
    <x v="737"/>
    <x v="731"/>
  </r>
  <r>
    <x v="5"/>
    <x v="738"/>
    <x v="732"/>
  </r>
  <r>
    <x v="5"/>
    <x v="739"/>
    <x v="733"/>
  </r>
  <r>
    <x v="5"/>
    <x v="740"/>
    <x v="734"/>
  </r>
  <r>
    <x v="5"/>
    <x v="741"/>
    <x v="735"/>
  </r>
  <r>
    <x v="5"/>
    <x v="742"/>
    <x v="736"/>
  </r>
  <r>
    <x v="5"/>
    <x v="743"/>
    <x v="737"/>
  </r>
  <r>
    <x v="5"/>
    <x v="744"/>
    <x v="738"/>
  </r>
  <r>
    <x v="5"/>
    <x v="745"/>
    <x v="739"/>
  </r>
  <r>
    <x v="5"/>
    <x v="746"/>
    <x v="740"/>
  </r>
  <r>
    <x v="5"/>
    <x v="747"/>
    <x v="741"/>
  </r>
  <r>
    <x v="5"/>
    <x v="748"/>
    <x v="742"/>
  </r>
  <r>
    <x v="5"/>
    <x v="749"/>
    <x v="743"/>
  </r>
  <r>
    <x v="5"/>
    <x v="750"/>
    <x v="744"/>
  </r>
  <r>
    <x v="5"/>
    <x v="751"/>
    <x v="745"/>
  </r>
  <r>
    <x v="5"/>
    <x v="752"/>
    <x v="746"/>
  </r>
  <r>
    <x v="5"/>
    <x v="753"/>
    <x v="747"/>
  </r>
  <r>
    <x v="5"/>
    <x v="754"/>
    <x v="748"/>
  </r>
  <r>
    <x v="5"/>
    <x v="755"/>
    <x v="749"/>
  </r>
  <r>
    <x v="5"/>
    <x v="756"/>
    <x v="750"/>
  </r>
  <r>
    <x v="5"/>
    <x v="757"/>
    <x v="751"/>
  </r>
  <r>
    <x v="5"/>
    <x v="758"/>
    <x v="752"/>
  </r>
  <r>
    <x v="5"/>
    <x v="759"/>
    <x v="753"/>
  </r>
  <r>
    <x v="5"/>
    <x v="760"/>
    <x v="754"/>
  </r>
  <r>
    <x v="5"/>
    <x v="761"/>
    <x v="755"/>
  </r>
  <r>
    <x v="5"/>
    <x v="762"/>
    <x v="756"/>
  </r>
  <r>
    <x v="5"/>
    <x v="763"/>
    <x v="757"/>
  </r>
  <r>
    <x v="5"/>
    <x v="764"/>
    <x v="758"/>
  </r>
  <r>
    <x v="5"/>
    <x v="765"/>
    <x v="759"/>
  </r>
  <r>
    <x v="5"/>
    <x v="766"/>
    <x v="760"/>
  </r>
  <r>
    <x v="5"/>
    <x v="767"/>
    <x v="761"/>
  </r>
  <r>
    <x v="5"/>
    <x v="768"/>
    <x v="762"/>
  </r>
  <r>
    <x v="5"/>
    <x v="769"/>
    <x v="763"/>
  </r>
  <r>
    <x v="5"/>
    <x v="770"/>
    <x v="764"/>
  </r>
  <r>
    <x v="5"/>
    <x v="771"/>
    <x v="765"/>
  </r>
  <r>
    <x v="5"/>
    <x v="772"/>
    <x v="766"/>
  </r>
  <r>
    <x v="5"/>
    <x v="773"/>
    <x v="767"/>
  </r>
  <r>
    <x v="5"/>
    <x v="774"/>
    <x v="768"/>
  </r>
  <r>
    <x v="5"/>
    <x v="775"/>
    <x v="769"/>
  </r>
  <r>
    <x v="5"/>
    <x v="776"/>
    <x v="770"/>
  </r>
  <r>
    <x v="5"/>
    <x v="777"/>
    <x v="771"/>
  </r>
  <r>
    <x v="5"/>
    <x v="778"/>
    <x v="772"/>
  </r>
  <r>
    <x v="5"/>
    <x v="779"/>
    <x v="773"/>
  </r>
  <r>
    <x v="5"/>
    <x v="780"/>
    <x v="774"/>
  </r>
  <r>
    <x v="5"/>
    <x v="781"/>
    <x v="775"/>
  </r>
  <r>
    <x v="5"/>
    <x v="782"/>
    <x v="776"/>
  </r>
  <r>
    <x v="5"/>
    <x v="783"/>
    <x v="777"/>
  </r>
  <r>
    <x v="5"/>
    <x v="784"/>
    <x v="778"/>
  </r>
  <r>
    <x v="5"/>
    <x v="785"/>
    <x v="779"/>
  </r>
  <r>
    <x v="5"/>
    <x v="786"/>
    <x v="780"/>
  </r>
  <r>
    <x v="5"/>
    <x v="787"/>
    <x v="781"/>
  </r>
  <r>
    <x v="5"/>
    <x v="788"/>
    <x v="782"/>
  </r>
  <r>
    <x v="5"/>
    <x v="789"/>
    <x v="783"/>
  </r>
  <r>
    <x v="5"/>
    <x v="790"/>
    <x v="784"/>
  </r>
  <r>
    <x v="5"/>
    <x v="791"/>
    <x v="785"/>
  </r>
  <r>
    <x v="5"/>
    <x v="792"/>
    <x v="786"/>
  </r>
  <r>
    <x v="5"/>
    <x v="793"/>
    <x v="787"/>
  </r>
  <r>
    <x v="5"/>
    <x v="794"/>
    <x v="788"/>
  </r>
  <r>
    <x v="5"/>
    <x v="795"/>
    <x v="789"/>
  </r>
  <r>
    <x v="5"/>
    <x v="796"/>
    <x v="790"/>
  </r>
  <r>
    <x v="5"/>
    <x v="797"/>
    <x v="791"/>
  </r>
  <r>
    <x v="5"/>
    <x v="798"/>
    <x v="792"/>
  </r>
  <r>
    <x v="5"/>
    <x v="799"/>
    <x v="793"/>
  </r>
  <r>
    <x v="5"/>
    <x v="800"/>
    <x v="794"/>
  </r>
  <r>
    <x v="5"/>
    <x v="801"/>
    <x v="795"/>
  </r>
  <r>
    <x v="5"/>
    <x v="802"/>
    <x v="796"/>
  </r>
  <r>
    <x v="5"/>
    <x v="803"/>
    <x v="797"/>
  </r>
  <r>
    <x v="5"/>
    <x v="804"/>
    <x v="798"/>
  </r>
  <r>
    <x v="5"/>
    <x v="805"/>
    <x v="799"/>
  </r>
  <r>
    <x v="5"/>
    <x v="806"/>
    <x v="800"/>
  </r>
  <r>
    <x v="5"/>
    <x v="807"/>
    <x v="801"/>
  </r>
  <r>
    <x v="5"/>
    <x v="808"/>
    <x v="802"/>
  </r>
  <r>
    <x v="5"/>
    <x v="809"/>
    <x v="803"/>
  </r>
  <r>
    <x v="5"/>
    <x v="810"/>
    <x v="804"/>
  </r>
  <r>
    <x v="5"/>
    <x v="811"/>
    <x v="805"/>
  </r>
  <r>
    <x v="5"/>
    <x v="812"/>
    <x v="806"/>
  </r>
  <r>
    <x v="5"/>
    <x v="813"/>
    <x v="807"/>
  </r>
  <r>
    <x v="5"/>
    <x v="814"/>
    <x v="808"/>
  </r>
  <r>
    <x v="5"/>
    <x v="815"/>
    <x v="809"/>
  </r>
  <r>
    <x v="5"/>
    <x v="816"/>
    <x v="810"/>
  </r>
  <r>
    <x v="5"/>
    <x v="817"/>
    <x v="811"/>
  </r>
  <r>
    <x v="5"/>
    <x v="818"/>
    <x v="812"/>
  </r>
  <r>
    <x v="5"/>
    <x v="819"/>
    <x v="813"/>
  </r>
  <r>
    <x v="5"/>
    <x v="820"/>
    <x v="814"/>
  </r>
  <r>
    <x v="5"/>
    <x v="821"/>
    <x v="815"/>
  </r>
  <r>
    <x v="5"/>
    <x v="822"/>
    <x v="816"/>
  </r>
  <r>
    <x v="5"/>
    <x v="823"/>
    <x v="817"/>
  </r>
  <r>
    <x v="5"/>
    <x v="824"/>
    <x v="818"/>
  </r>
  <r>
    <x v="5"/>
    <x v="825"/>
    <x v="819"/>
  </r>
  <r>
    <x v="5"/>
    <x v="826"/>
    <x v="820"/>
  </r>
  <r>
    <x v="5"/>
    <x v="827"/>
    <x v="821"/>
  </r>
  <r>
    <x v="5"/>
    <x v="828"/>
    <x v="822"/>
  </r>
  <r>
    <x v="5"/>
    <x v="829"/>
    <x v="823"/>
  </r>
  <r>
    <x v="5"/>
    <x v="830"/>
    <x v="824"/>
  </r>
  <r>
    <x v="5"/>
    <x v="831"/>
    <x v="825"/>
  </r>
  <r>
    <x v="5"/>
    <x v="832"/>
    <x v="826"/>
  </r>
  <r>
    <x v="5"/>
    <x v="833"/>
    <x v="827"/>
  </r>
  <r>
    <x v="5"/>
    <x v="834"/>
    <x v="828"/>
  </r>
  <r>
    <x v="5"/>
    <x v="835"/>
    <x v="829"/>
  </r>
  <r>
    <x v="5"/>
    <x v="836"/>
    <x v="830"/>
  </r>
  <r>
    <x v="5"/>
    <x v="837"/>
    <x v="831"/>
  </r>
  <r>
    <x v="5"/>
    <x v="838"/>
    <x v="832"/>
  </r>
  <r>
    <x v="5"/>
    <x v="839"/>
    <x v="833"/>
  </r>
  <r>
    <x v="5"/>
    <x v="840"/>
    <x v="834"/>
  </r>
  <r>
    <x v="5"/>
    <x v="841"/>
    <x v="835"/>
  </r>
  <r>
    <x v="5"/>
    <x v="842"/>
    <x v="836"/>
  </r>
  <r>
    <x v="5"/>
    <x v="843"/>
    <x v="837"/>
  </r>
  <r>
    <x v="5"/>
    <x v="844"/>
    <x v="838"/>
  </r>
  <r>
    <x v="5"/>
    <x v="845"/>
    <x v="839"/>
  </r>
  <r>
    <x v="5"/>
    <x v="846"/>
    <x v="840"/>
  </r>
  <r>
    <x v="5"/>
    <x v="847"/>
    <x v="841"/>
  </r>
  <r>
    <x v="5"/>
    <x v="848"/>
    <x v="842"/>
  </r>
  <r>
    <x v="5"/>
    <x v="849"/>
    <x v="843"/>
  </r>
  <r>
    <x v="5"/>
    <x v="850"/>
    <x v="844"/>
  </r>
  <r>
    <x v="5"/>
    <x v="851"/>
    <x v="845"/>
  </r>
  <r>
    <x v="5"/>
    <x v="852"/>
    <x v="846"/>
  </r>
  <r>
    <x v="5"/>
    <x v="853"/>
    <x v="847"/>
  </r>
  <r>
    <x v="5"/>
    <x v="854"/>
    <x v="848"/>
  </r>
  <r>
    <x v="5"/>
    <x v="855"/>
    <x v="849"/>
  </r>
  <r>
    <x v="5"/>
    <x v="856"/>
    <x v="850"/>
  </r>
  <r>
    <x v="5"/>
    <x v="857"/>
    <x v="851"/>
  </r>
  <r>
    <x v="5"/>
    <x v="858"/>
    <x v="852"/>
  </r>
  <r>
    <x v="5"/>
    <x v="859"/>
    <x v="853"/>
  </r>
  <r>
    <x v="5"/>
    <x v="860"/>
    <x v="854"/>
  </r>
  <r>
    <x v="5"/>
    <x v="861"/>
    <x v="855"/>
  </r>
  <r>
    <x v="5"/>
    <x v="862"/>
    <x v="856"/>
  </r>
  <r>
    <x v="5"/>
    <x v="863"/>
    <x v="857"/>
  </r>
  <r>
    <x v="5"/>
    <x v="864"/>
    <x v="858"/>
  </r>
  <r>
    <x v="5"/>
    <x v="865"/>
    <x v="859"/>
  </r>
  <r>
    <x v="5"/>
    <x v="866"/>
    <x v="860"/>
  </r>
  <r>
    <x v="5"/>
    <x v="867"/>
    <x v="861"/>
  </r>
  <r>
    <x v="5"/>
    <x v="868"/>
    <x v="862"/>
  </r>
  <r>
    <x v="5"/>
    <x v="869"/>
    <x v="863"/>
  </r>
  <r>
    <x v="5"/>
    <x v="870"/>
    <x v="864"/>
  </r>
  <r>
    <x v="5"/>
    <x v="871"/>
    <x v="865"/>
  </r>
  <r>
    <x v="5"/>
    <x v="872"/>
    <x v="866"/>
  </r>
  <r>
    <x v="5"/>
    <x v="873"/>
    <x v="867"/>
  </r>
  <r>
    <x v="5"/>
    <x v="874"/>
    <x v="868"/>
  </r>
  <r>
    <x v="5"/>
    <x v="875"/>
    <x v="869"/>
  </r>
  <r>
    <x v="5"/>
    <x v="876"/>
    <x v="870"/>
  </r>
  <r>
    <x v="5"/>
    <x v="877"/>
    <x v="871"/>
  </r>
  <r>
    <x v="5"/>
    <x v="878"/>
    <x v="872"/>
  </r>
  <r>
    <x v="5"/>
    <x v="879"/>
    <x v="873"/>
  </r>
  <r>
    <x v="5"/>
    <x v="880"/>
    <x v="874"/>
  </r>
  <r>
    <x v="5"/>
    <x v="881"/>
    <x v="875"/>
  </r>
  <r>
    <x v="5"/>
    <x v="882"/>
    <x v="876"/>
  </r>
  <r>
    <x v="5"/>
    <x v="883"/>
    <x v="877"/>
  </r>
  <r>
    <x v="5"/>
    <x v="884"/>
    <x v="878"/>
  </r>
  <r>
    <x v="5"/>
    <x v="885"/>
    <x v="879"/>
  </r>
  <r>
    <x v="5"/>
    <x v="886"/>
    <x v="880"/>
  </r>
  <r>
    <x v="5"/>
    <x v="887"/>
    <x v="881"/>
  </r>
  <r>
    <x v="5"/>
    <x v="888"/>
    <x v="882"/>
  </r>
  <r>
    <x v="5"/>
    <x v="889"/>
    <x v="883"/>
  </r>
  <r>
    <x v="5"/>
    <x v="890"/>
    <x v="884"/>
  </r>
  <r>
    <x v="5"/>
    <x v="891"/>
    <x v="885"/>
  </r>
  <r>
    <x v="5"/>
    <x v="892"/>
    <x v="886"/>
  </r>
  <r>
    <x v="5"/>
    <x v="893"/>
    <x v="887"/>
  </r>
  <r>
    <x v="5"/>
    <x v="894"/>
    <x v="888"/>
  </r>
  <r>
    <x v="5"/>
    <x v="895"/>
    <x v="889"/>
  </r>
  <r>
    <x v="5"/>
    <x v="896"/>
    <x v="890"/>
  </r>
  <r>
    <x v="5"/>
    <x v="897"/>
    <x v="891"/>
  </r>
  <r>
    <x v="5"/>
    <x v="898"/>
    <x v="892"/>
  </r>
  <r>
    <x v="5"/>
    <x v="899"/>
    <x v="893"/>
  </r>
  <r>
    <x v="5"/>
    <x v="900"/>
    <x v="894"/>
  </r>
  <r>
    <x v="5"/>
    <x v="901"/>
    <x v="895"/>
  </r>
  <r>
    <x v="5"/>
    <x v="902"/>
    <x v="896"/>
  </r>
  <r>
    <x v="5"/>
    <x v="903"/>
    <x v="897"/>
  </r>
  <r>
    <x v="5"/>
    <x v="904"/>
    <x v="898"/>
  </r>
  <r>
    <x v="5"/>
    <x v="905"/>
    <x v="899"/>
  </r>
  <r>
    <x v="5"/>
    <x v="906"/>
    <x v="900"/>
  </r>
  <r>
    <x v="5"/>
    <x v="907"/>
    <x v="901"/>
  </r>
  <r>
    <x v="5"/>
    <x v="908"/>
    <x v="902"/>
  </r>
  <r>
    <x v="5"/>
    <x v="909"/>
    <x v="903"/>
  </r>
  <r>
    <x v="5"/>
    <x v="910"/>
    <x v="904"/>
  </r>
  <r>
    <x v="5"/>
    <x v="911"/>
    <x v="905"/>
  </r>
  <r>
    <x v="5"/>
    <x v="912"/>
    <x v="906"/>
  </r>
  <r>
    <x v="5"/>
    <x v="913"/>
    <x v="907"/>
  </r>
  <r>
    <x v="5"/>
    <x v="914"/>
    <x v="908"/>
  </r>
  <r>
    <x v="5"/>
    <x v="915"/>
    <x v="909"/>
  </r>
  <r>
    <x v="5"/>
    <x v="916"/>
    <x v="910"/>
  </r>
  <r>
    <x v="5"/>
    <x v="917"/>
    <x v="911"/>
  </r>
  <r>
    <x v="5"/>
    <x v="918"/>
    <x v="912"/>
  </r>
  <r>
    <x v="5"/>
    <x v="919"/>
    <x v="913"/>
  </r>
  <r>
    <x v="5"/>
    <x v="920"/>
    <x v="914"/>
  </r>
  <r>
    <x v="5"/>
    <x v="921"/>
    <x v="915"/>
  </r>
  <r>
    <x v="5"/>
    <x v="922"/>
    <x v="916"/>
  </r>
  <r>
    <x v="5"/>
    <x v="923"/>
    <x v="917"/>
  </r>
  <r>
    <x v="5"/>
    <x v="924"/>
    <x v="918"/>
  </r>
  <r>
    <x v="5"/>
    <x v="925"/>
    <x v="919"/>
  </r>
  <r>
    <x v="5"/>
    <x v="926"/>
    <x v="920"/>
  </r>
  <r>
    <x v="5"/>
    <x v="927"/>
    <x v="921"/>
  </r>
  <r>
    <x v="5"/>
    <x v="928"/>
    <x v="922"/>
  </r>
  <r>
    <x v="5"/>
    <x v="929"/>
    <x v="923"/>
  </r>
  <r>
    <x v="5"/>
    <x v="930"/>
    <x v="924"/>
  </r>
  <r>
    <x v="5"/>
    <x v="931"/>
    <x v="925"/>
  </r>
  <r>
    <x v="5"/>
    <x v="932"/>
    <x v="926"/>
  </r>
  <r>
    <x v="5"/>
    <x v="933"/>
    <x v="927"/>
  </r>
  <r>
    <x v="5"/>
    <x v="934"/>
    <x v="928"/>
  </r>
  <r>
    <x v="5"/>
    <x v="935"/>
    <x v="929"/>
  </r>
  <r>
    <x v="5"/>
    <x v="936"/>
    <x v="930"/>
  </r>
  <r>
    <x v="5"/>
    <x v="937"/>
    <x v="931"/>
  </r>
  <r>
    <x v="5"/>
    <x v="938"/>
    <x v="932"/>
  </r>
  <r>
    <x v="5"/>
    <x v="939"/>
    <x v="933"/>
  </r>
  <r>
    <x v="5"/>
    <x v="940"/>
    <x v="934"/>
  </r>
  <r>
    <x v="5"/>
    <x v="941"/>
    <x v="935"/>
  </r>
  <r>
    <x v="5"/>
    <x v="942"/>
    <x v="936"/>
  </r>
  <r>
    <x v="5"/>
    <x v="943"/>
    <x v="937"/>
  </r>
  <r>
    <x v="5"/>
    <x v="944"/>
    <x v="938"/>
  </r>
  <r>
    <x v="5"/>
    <x v="945"/>
    <x v="939"/>
  </r>
  <r>
    <x v="5"/>
    <x v="946"/>
    <x v="940"/>
  </r>
  <r>
    <x v="5"/>
    <x v="947"/>
    <x v="941"/>
  </r>
  <r>
    <x v="5"/>
    <x v="948"/>
    <x v="942"/>
  </r>
  <r>
    <x v="5"/>
    <x v="949"/>
    <x v="943"/>
  </r>
  <r>
    <x v="5"/>
    <x v="950"/>
    <x v="944"/>
  </r>
  <r>
    <x v="5"/>
    <x v="951"/>
    <x v="945"/>
  </r>
  <r>
    <x v="5"/>
    <x v="952"/>
    <x v="946"/>
  </r>
  <r>
    <x v="5"/>
    <x v="953"/>
    <x v="947"/>
  </r>
  <r>
    <x v="5"/>
    <x v="954"/>
    <x v="948"/>
  </r>
  <r>
    <x v="5"/>
    <x v="955"/>
    <x v="949"/>
  </r>
  <r>
    <x v="5"/>
    <x v="956"/>
    <x v="950"/>
  </r>
  <r>
    <x v="5"/>
    <x v="957"/>
    <x v="951"/>
  </r>
  <r>
    <x v="5"/>
    <x v="958"/>
    <x v="952"/>
  </r>
  <r>
    <x v="5"/>
    <x v="959"/>
    <x v="953"/>
  </r>
  <r>
    <x v="5"/>
    <x v="960"/>
    <x v="954"/>
  </r>
  <r>
    <x v="5"/>
    <x v="961"/>
    <x v="955"/>
  </r>
  <r>
    <x v="5"/>
    <x v="962"/>
    <x v="956"/>
  </r>
  <r>
    <x v="5"/>
    <x v="963"/>
    <x v="957"/>
  </r>
  <r>
    <x v="5"/>
    <x v="964"/>
    <x v="958"/>
  </r>
  <r>
    <x v="5"/>
    <x v="965"/>
    <x v="959"/>
  </r>
  <r>
    <x v="5"/>
    <x v="966"/>
    <x v="960"/>
  </r>
  <r>
    <x v="5"/>
    <x v="967"/>
    <x v="961"/>
  </r>
  <r>
    <x v="5"/>
    <x v="968"/>
    <x v="962"/>
  </r>
  <r>
    <x v="5"/>
    <x v="969"/>
    <x v="963"/>
  </r>
  <r>
    <x v="5"/>
    <x v="970"/>
    <x v="964"/>
  </r>
  <r>
    <x v="5"/>
    <x v="971"/>
    <x v="965"/>
  </r>
  <r>
    <x v="5"/>
    <x v="972"/>
    <x v="966"/>
  </r>
  <r>
    <x v="5"/>
    <x v="973"/>
    <x v="967"/>
  </r>
  <r>
    <x v="5"/>
    <x v="974"/>
    <x v="968"/>
  </r>
  <r>
    <x v="5"/>
    <x v="975"/>
    <x v="969"/>
  </r>
  <r>
    <x v="5"/>
    <x v="976"/>
    <x v="970"/>
  </r>
  <r>
    <x v="5"/>
    <x v="977"/>
    <x v="971"/>
  </r>
  <r>
    <x v="5"/>
    <x v="978"/>
    <x v="972"/>
  </r>
  <r>
    <x v="5"/>
    <x v="979"/>
    <x v="973"/>
  </r>
  <r>
    <x v="5"/>
    <x v="980"/>
    <x v="974"/>
  </r>
  <r>
    <x v="5"/>
    <x v="981"/>
    <x v="975"/>
  </r>
  <r>
    <x v="5"/>
    <x v="982"/>
    <x v="976"/>
  </r>
  <r>
    <x v="5"/>
    <x v="983"/>
    <x v="977"/>
  </r>
  <r>
    <x v="5"/>
    <x v="984"/>
    <x v="978"/>
  </r>
  <r>
    <x v="5"/>
    <x v="985"/>
    <x v="979"/>
  </r>
  <r>
    <x v="5"/>
    <x v="986"/>
    <x v="980"/>
  </r>
  <r>
    <x v="5"/>
    <x v="987"/>
    <x v="981"/>
  </r>
  <r>
    <x v="5"/>
    <x v="988"/>
    <x v="982"/>
  </r>
  <r>
    <x v="5"/>
    <x v="989"/>
    <x v="983"/>
  </r>
  <r>
    <x v="5"/>
    <x v="990"/>
    <x v="984"/>
  </r>
  <r>
    <x v="5"/>
    <x v="991"/>
    <x v="985"/>
  </r>
  <r>
    <x v="5"/>
    <x v="992"/>
    <x v="986"/>
  </r>
  <r>
    <x v="5"/>
    <x v="993"/>
    <x v="987"/>
  </r>
  <r>
    <x v="5"/>
    <x v="994"/>
    <x v="988"/>
  </r>
  <r>
    <x v="5"/>
    <x v="995"/>
    <x v="989"/>
  </r>
  <r>
    <x v="5"/>
    <x v="996"/>
    <x v="990"/>
  </r>
  <r>
    <x v="5"/>
    <x v="997"/>
    <x v="991"/>
  </r>
  <r>
    <x v="5"/>
    <x v="998"/>
    <x v="992"/>
  </r>
  <r>
    <x v="5"/>
    <x v="999"/>
    <x v="993"/>
  </r>
  <r>
    <x v="5"/>
    <x v="1000"/>
    <x v="994"/>
  </r>
  <r>
    <x v="5"/>
    <x v="1001"/>
    <x v="995"/>
  </r>
  <r>
    <x v="5"/>
    <x v="1002"/>
    <x v="996"/>
  </r>
  <r>
    <x v="5"/>
    <x v="1003"/>
    <x v="997"/>
  </r>
  <r>
    <x v="5"/>
    <x v="1004"/>
    <x v="998"/>
  </r>
  <r>
    <x v="5"/>
    <x v="1005"/>
    <x v="999"/>
  </r>
  <r>
    <x v="5"/>
    <x v="1006"/>
    <x v="1000"/>
  </r>
  <r>
    <x v="5"/>
    <x v="1007"/>
    <x v="1001"/>
  </r>
  <r>
    <x v="5"/>
    <x v="1008"/>
    <x v="1002"/>
  </r>
  <r>
    <x v="5"/>
    <x v="1009"/>
    <x v="1003"/>
  </r>
  <r>
    <x v="5"/>
    <x v="1010"/>
    <x v="1004"/>
  </r>
  <r>
    <x v="5"/>
    <x v="1011"/>
    <x v="1005"/>
  </r>
  <r>
    <x v="5"/>
    <x v="1012"/>
    <x v="1006"/>
  </r>
  <r>
    <x v="5"/>
    <x v="1013"/>
    <x v="1007"/>
  </r>
  <r>
    <x v="5"/>
    <x v="1014"/>
    <x v="1008"/>
  </r>
  <r>
    <x v="5"/>
    <x v="1015"/>
    <x v="1009"/>
  </r>
  <r>
    <x v="5"/>
    <x v="1016"/>
    <x v="1010"/>
  </r>
  <r>
    <x v="5"/>
    <x v="1017"/>
    <x v="1011"/>
  </r>
  <r>
    <x v="5"/>
    <x v="1018"/>
    <x v="1012"/>
  </r>
  <r>
    <x v="5"/>
    <x v="1019"/>
    <x v="1013"/>
  </r>
  <r>
    <x v="5"/>
    <x v="1020"/>
    <x v="1014"/>
  </r>
  <r>
    <x v="5"/>
    <x v="1021"/>
    <x v="1015"/>
  </r>
  <r>
    <x v="5"/>
    <x v="1022"/>
    <x v="1016"/>
  </r>
  <r>
    <x v="5"/>
    <x v="1023"/>
    <x v="1017"/>
  </r>
  <r>
    <x v="5"/>
    <x v="1024"/>
    <x v="1018"/>
  </r>
  <r>
    <x v="5"/>
    <x v="1025"/>
    <x v="1019"/>
  </r>
  <r>
    <x v="5"/>
    <x v="1026"/>
    <x v="1020"/>
  </r>
  <r>
    <x v="5"/>
    <x v="1027"/>
    <x v="1021"/>
  </r>
  <r>
    <x v="5"/>
    <x v="1028"/>
    <x v="1022"/>
  </r>
  <r>
    <x v="5"/>
    <x v="1029"/>
    <x v="1023"/>
  </r>
  <r>
    <x v="5"/>
    <x v="1030"/>
    <x v="1024"/>
  </r>
  <r>
    <x v="5"/>
    <x v="1031"/>
    <x v="1025"/>
  </r>
  <r>
    <x v="5"/>
    <x v="1032"/>
    <x v="1026"/>
  </r>
  <r>
    <x v="5"/>
    <x v="1033"/>
    <x v="1027"/>
  </r>
  <r>
    <x v="5"/>
    <x v="1034"/>
    <x v="1028"/>
  </r>
  <r>
    <x v="5"/>
    <x v="1035"/>
    <x v="1029"/>
  </r>
  <r>
    <x v="5"/>
    <x v="1036"/>
    <x v="1030"/>
  </r>
  <r>
    <x v="5"/>
    <x v="1037"/>
    <x v="1031"/>
  </r>
  <r>
    <x v="5"/>
    <x v="1038"/>
    <x v="1032"/>
  </r>
  <r>
    <x v="5"/>
    <x v="1039"/>
    <x v="1033"/>
  </r>
  <r>
    <x v="5"/>
    <x v="1040"/>
    <x v="1034"/>
  </r>
  <r>
    <x v="5"/>
    <x v="1041"/>
    <x v="1035"/>
  </r>
  <r>
    <x v="5"/>
    <x v="1042"/>
    <x v="1036"/>
  </r>
  <r>
    <x v="5"/>
    <x v="1043"/>
    <x v="1037"/>
  </r>
  <r>
    <x v="5"/>
    <x v="1044"/>
    <x v="1038"/>
  </r>
  <r>
    <x v="5"/>
    <x v="1045"/>
    <x v="1039"/>
  </r>
  <r>
    <x v="5"/>
    <x v="1046"/>
    <x v="1040"/>
  </r>
  <r>
    <x v="5"/>
    <x v="1047"/>
    <x v="1041"/>
  </r>
  <r>
    <x v="5"/>
    <x v="1048"/>
    <x v="1042"/>
  </r>
  <r>
    <x v="5"/>
    <x v="1049"/>
    <x v="1043"/>
  </r>
  <r>
    <x v="5"/>
    <x v="1050"/>
    <x v="1044"/>
  </r>
  <r>
    <x v="5"/>
    <x v="1051"/>
    <x v="1045"/>
  </r>
  <r>
    <x v="5"/>
    <x v="1052"/>
    <x v="1046"/>
  </r>
  <r>
    <x v="5"/>
    <x v="1053"/>
    <x v="1047"/>
  </r>
  <r>
    <x v="5"/>
    <x v="1054"/>
    <x v="1048"/>
  </r>
  <r>
    <x v="5"/>
    <x v="1055"/>
    <x v="1049"/>
  </r>
  <r>
    <x v="5"/>
    <x v="1056"/>
    <x v="1050"/>
  </r>
  <r>
    <x v="5"/>
    <x v="1057"/>
    <x v="1051"/>
  </r>
  <r>
    <x v="5"/>
    <x v="1058"/>
    <x v="1052"/>
  </r>
  <r>
    <x v="5"/>
    <x v="1059"/>
    <x v="1053"/>
  </r>
  <r>
    <x v="5"/>
    <x v="1060"/>
    <x v="1054"/>
  </r>
  <r>
    <x v="5"/>
    <x v="1061"/>
    <x v="1055"/>
  </r>
  <r>
    <x v="5"/>
    <x v="1062"/>
    <x v="1056"/>
  </r>
  <r>
    <x v="5"/>
    <x v="1063"/>
    <x v="1057"/>
  </r>
  <r>
    <x v="5"/>
    <x v="1064"/>
    <x v="1058"/>
  </r>
  <r>
    <x v="5"/>
    <x v="1065"/>
    <x v="1059"/>
  </r>
  <r>
    <x v="5"/>
    <x v="1066"/>
    <x v="1060"/>
  </r>
  <r>
    <x v="5"/>
    <x v="1067"/>
    <x v="1061"/>
  </r>
  <r>
    <x v="5"/>
    <x v="1068"/>
    <x v="1062"/>
  </r>
  <r>
    <x v="5"/>
    <x v="1069"/>
    <x v="1063"/>
  </r>
  <r>
    <x v="5"/>
    <x v="1070"/>
    <x v="1064"/>
  </r>
  <r>
    <x v="5"/>
    <x v="1071"/>
    <x v="1065"/>
  </r>
  <r>
    <x v="5"/>
    <x v="1072"/>
    <x v="1066"/>
  </r>
  <r>
    <x v="5"/>
    <x v="1073"/>
    <x v="1067"/>
  </r>
  <r>
    <x v="5"/>
    <x v="1074"/>
    <x v="1068"/>
  </r>
  <r>
    <x v="5"/>
    <x v="1075"/>
    <x v="1069"/>
  </r>
  <r>
    <x v="5"/>
    <x v="1076"/>
    <x v="1070"/>
  </r>
  <r>
    <x v="5"/>
    <x v="1077"/>
    <x v="1071"/>
  </r>
  <r>
    <x v="5"/>
    <x v="1078"/>
    <x v="1072"/>
  </r>
  <r>
    <x v="5"/>
    <x v="1079"/>
    <x v="1073"/>
  </r>
  <r>
    <x v="5"/>
    <x v="1080"/>
    <x v="1074"/>
  </r>
  <r>
    <x v="5"/>
    <x v="1081"/>
    <x v="1075"/>
  </r>
  <r>
    <x v="5"/>
    <x v="1082"/>
    <x v="1076"/>
  </r>
  <r>
    <x v="5"/>
    <x v="1083"/>
    <x v="1077"/>
  </r>
  <r>
    <x v="5"/>
    <x v="1084"/>
    <x v="1078"/>
  </r>
  <r>
    <x v="5"/>
    <x v="1085"/>
    <x v="1079"/>
  </r>
  <r>
    <x v="5"/>
    <x v="1086"/>
    <x v="1080"/>
  </r>
  <r>
    <x v="5"/>
    <x v="1087"/>
    <x v="1081"/>
  </r>
  <r>
    <x v="5"/>
    <x v="1088"/>
    <x v="1082"/>
  </r>
  <r>
    <x v="5"/>
    <x v="1089"/>
    <x v="1083"/>
  </r>
  <r>
    <x v="5"/>
    <x v="1090"/>
    <x v="1084"/>
  </r>
  <r>
    <x v="5"/>
    <x v="1091"/>
    <x v="1085"/>
  </r>
  <r>
    <x v="5"/>
    <x v="1092"/>
    <x v="1086"/>
  </r>
  <r>
    <x v="5"/>
    <x v="1093"/>
    <x v="1087"/>
  </r>
  <r>
    <x v="5"/>
    <x v="1094"/>
    <x v="1088"/>
  </r>
  <r>
    <x v="5"/>
    <x v="1095"/>
    <x v="1089"/>
  </r>
  <r>
    <x v="5"/>
    <x v="1096"/>
    <x v="1090"/>
  </r>
  <r>
    <x v="5"/>
    <x v="1097"/>
    <x v="1091"/>
  </r>
  <r>
    <x v="5"/>
    <x v="1098"/>
    <x v="1092"/>
  </r>
  <r>
    <x v="5"/>
    <x v="1099"/>
    <x v="1093"/>
  </r>
  <r>
    <x v="5"/>
    <x v="1100"/>
    <x v="1094"/>
  </r>
  <r>
    <x v="5"/>
    <x v="1101"/>
    <x v="1095"/>
  </r>
  <r>
    <x v="5"/>
    <x v="1102"/>
    <x v="1096"/>
  </r>
  <r>
    <x v="5"/>
    <x v="1103"/>
    <x v="1097"/>
  </r>
  <r>
    <x v="5"/>
    <x v="1104"/>
    <x v="1098"/>
  </r>
  <r>
    <x v="5"/>
    <x v="1105"/>
    <x v="1098"/>
  </r>
  <r>
    <x v="5"/>
    <x v="1106"/>
    <x v="1099"/>
  </r>
  <r>
    <x v="5"/>
    <x v="1107"/>
    <x v="1100"/>
  </r>
  <r>
    <x v="5"/>
    <x v="1108"/>
    <x v="1101"/>
  </r>
  <r>
    <x v="5"/>
    <x v="1109"/>
    <x v="1102"/>
  </r>
  <r>
    <x v="5"/>
    <x v="1110"/>
    <x v="1103"/>
  </r>
  <r>
    <x v="5"/>
    <x v="1111"/>
    <x v="1104"/>
  </r>
  <r>
    <x v="5"/>
    <x v="1112"/>
    <x v="1105"/>
  </r>
  <r>
    <x v="5"/>
    <x v="1113"/>
    <x v="1106"/>
  </r>
  <r>
    <x v="5"/>
    <x v="1114"/>
    <x v="1107"/>
  </r>
  <r>
    <x v="5"/>
    <x v="1115"/>
    <x v="1108"/>
  </r>
  <r>
    <x v="5"/>
    <x v="1116"/>
    <x v="1109"/>
  </r>
  <r>
    <x v="5"/>
    <x v="1117"/>
    <x v="1110"/>
  </r>
  <r>
    <x v="5"/>
    <x v="1118"/>
    <x v="1111"/>
  </r>
  <r>
    <x v="5"/>
    <x v="1119"/>
    <x v="1112"/>
  </r>
  <r>
    <x v="5"/>
    <x v="1120"/>
    <x v="1113"/>
  </r>
  <r>
    <x v="5"/>
    <x v="1121"/>
    <x v="1114"/>
  </r>
  <r>
    <x v="5"/>
    <x v="1122"/>
    <x v="1115"/>
  </r>
  <r>
    <x v="5"/>
    <x v="1123"/>
    <x v="1116"/>
  </r>
  <r>
    <x v="5"/>
    <x v="1124"/>
    <x v="1117"/>
  </r>
  <r>
    <x v="5"/>
    <x v="1125"/>
    <x v="1118"/>
  </r>
  <r>
    <x v="5"/>
    <x v="1126"/>
    <x v="1119"/>
  </r>
  <r>
    <x v="5"/>
    <x v="1127"/>
    <x v="1120"/>
  </r>
  <r>
    <x v="5"/>
    <x v="1128"/>
    <x v="1121"/>
  </r>
  <r>
    <x v="5"/>
    <x v="1129"/>
    <x v="1122"/>
  </r>
  <r>
    <x v="5"/>
    <x v="1130"/>
    <x v="1123"/>
  </r>
  <r>
    <x v="5"/>
    <x v="1131"/>
    <x v="1124"/>
  </r>
  <r>
    <x v="5"/>
    <x v="1132"/>
    <x v="1125"/>
  </r>
  <r>
    <x v="5"/>
    <x v="1133"/>
    <x v="1126"/>
  </r>
  <r>
    <x v="5"/>
    <x v="1134"/>
    <x v="1127"/>
  </r>
  <r>
    <x v="5"/>
    <x v="1135"/>
    <x v="1128"/>
  </r>
  <r>
    <x v="5"/>
    <x v="1136"/>
    <x v="1129"/>
  </r>
  <r>
    <x v="5"/>
    <x v="1137"/>
    <x v="1130"/>
  </r>
  <r>
    <x v="5"/>
    <x v="1138"/>
    <x v="1131"/>
  </r>
  <r>
    <x v="5"/>
    <x v="1139"/>
    <x v="1132"/>
  </r>
  <r>
    <x v="5"/>
    <x v="1140"/>
    <x v="1133"/>
  </r>
  <r>
    <x v="5"/>
    <x v="1141"/>
    <x v="1134"/>
  </r>
  <r>
    <x v="5"/>
    <x v="1142"/>
    <x v="1135"/>
  </r>
  <r>
    <x v="5"/>
    <x v="1143"/>
    <x v="1136"/>
  </r>
  <r>
    <x v="5"/>
    <x v="1144"/>
    <x v="1137"/>
  </r>
  <r>
    <x v="5"/>
    <x v="1145"/>
    <x v="1138"/>
  </r>
  <r>
    <x v="5"/>
    <x v="1146"/>
    <x v="1139"/>
  </r>
  <r>
    <x v="5"/>
    <x v="1147"/>
    <x v="1140"/>
  </r>
  <r>
    <x v="5"/>
    <x v="1148"/>
    <x v="1141"/>
  </r>
  <r>
    <x v="5"/>
    <x v="1149"/>
    <x v="1142"/>
  </r>
  <r>
    <x v="5"/>
    <x v="1150"/>
    <x v="1143"/>
  </r>
  <r>
    <x v="5"/>
    <x v="1151"/>
    <x v="1144"/>
  </r>
  <r>
    <x v="5"/>
    <x v="1152"/>
    <x v="1145"/>
  </r>
  <r>
    <x v="5"/>
    <x v="1153"/>
    <x v="1146"/>
  </r>
  <r>
    <x v="5"/>
    <x v="1154"/>
    <x v="1147"/>
  </r>
  <r>
    <x v="5"/>
    <x v="1155"/>
    <x v="1148"/>
  </r>
  <r>
    <x v="5"/>
    <x v="1156"/>
    <x v="1149"/>
  </r>
  <r>
    <x v="5"/>
    <x v="1157"/>
    <x v="1150"/>
  </r>
  <r>
    <x v="5"/>
    <x v="1158"/>
    <x v="1151"/>
  </r>
  <r>
    <x v="5"/>
    <x v="1159"/>
    <x v="1152"/>
  </r>
  <r>
    <x v="5"/>
    <x v="1160"/>
    <x v="1153"/>
  </r>
  <r>
    <x v="5"/>
    <x v="1161"/>
    <x v="1154"/>
  </r>
  <r>
    <x v="5"/>
    <x v="1162"/>
    <x v="1155"/>
  </r>
  <r>
    <x v="5"/>
    <x v="1163"/>
    <x v="1156"/>
  </r>
  <r>
    <x v="5"/>
    <x v="1164"/>
    <x v="1157"/>
  </r>
  <r>
    <x v="5"/>
    <x v="1165"/>
    <x v="1158"/>
  </r>
  <r>
    <x v="5"/>
    <x v="1166"/>
    <x v="1159"/>
  </r>
  <r>
    <x v="5"/>
    <x v="1167"/>
    <x v="1160"/>
  </r>
  <r>
    <x v="5"/>
    <x v="1168"/>
    <x v="1161"/>
  </r>
  <r>
    <x v="5"/>
    <x v="1169"/>
    <x v="1162"/>
  </r>
  <r>
    <x v="5"/>
    <x v="1170"/>
    <x v="1163"/>
  </r>
  <r>
    <x v="5"/>
    <x v="1171"/>
    <x v="1164"/>
  </r>
  <r>
    <x v="5"/>
    <x v="1172"/>
    <x v="1165"/>
  </r>
  <r>
    <x v="5"/>
    <x v="1173"/>
    <x v="1166"/>
  </r>
  <r>
    <x v="5"/>
    <x v="1174"/>
    <x v="1167"/>
  </r>
  <r>
    <x v="5"/>
    <x v="1175"/>
    <x v="1168"/>
  </r>
  <r>
    <x v="5"/>
    <x v="1176"/>
    <x v="1169"/>
  </r>
  <r>
    <x v="5"/>
    <x v="1177"/>
    <x v="1170"/>
  </r>
  <r>
    <x v="5"/>
    <x v="1178"/>
    <x v="1171"/>
  </r>
  <r>
    <x v="5"/>
    <x v="1179"/>
    <x v="1172"/>
  </r>
  <r>
    <x v="5"/>
    <x v="1180"/>
    <x v="1173"/>
  </r>
  <r>
    <x v="5"/>
    <x v="1181"/>
    <x v="1174"/>
  </r>
  <r>
    <x v="5"/>
    <x v="1182"/>
    <x v="1175"/>
  </r>
  <r>
    <x v="5"/>
    <x v="1183"/>
    <x v="1176"/>
  </r>
  <r>
    <x v="5"/>
    <x v="1184"/>
    <x v="1177"/>
  </r>
  <r>
    <x v="5"/>
    <x v="1185"/>
    <x v="1178"/>
  </r>
  <r>
    <x v="5"/>
    <x v="1186"/>
    <x v="1179"/>
  </r>
  <r>
    <x v="5"/>
    <x v="1187"/>
    <x v="1180"/>
  </r>
  <r>
    <x v="5"/>
    <x v="1188"/>
    <x v="1181"/>
  </r>
  <r>
    <x v="5"/>
    <x v="1189"/>
    <x v="1182"/>
  </r>
  <r>
    <x v="5"/>
    <x v="1190"/>
    <x v="1183"/>
  </r>
  <r>
    <x v="5"/>
    <x v="1191"/>
    <x v="1184"/>
  </r>
  <r>
    <x v="5"/>
    <x v="1192"/>
    <x v="1185"/>
  </r>
  <r>
    <x v="5"/>
    <x v="1193"/>
    <x v="1186"/>
  </r>
  <r>
    <x v="5"/>
    <x v="1194"/>
    <x v="1187"/>
  </r>
  <r>
    <x v="5"/>
    <x v="1195"/>
    <x v="1188"/>
  </r>
  <r>
    <x v="5"/>
    <x v="1196"/>
    <x v="1189"/>
  </r>
  <r>
    <x v="6"/>
    <x v="1197"/>
    <x v="1190"/>
  </r>
  <r>
    <x v="6"/>
    <x v="1198"/>
    <x v="1191"/>
  </r>
  <r>
    <x v="6"/>
    <x v="1199"/>
    <x v="1192"/>
  </r>
  <r>
    <x v="6"/>
    <x v="1200"/>
    <x v="1193"/>
  </r>
  <r>
    <x v="6"/>
    <x v="1201"/>
    <x v="1194"/>
  </r>
  <r>
    <x v="6"/>
    <x v="1202"/>
    <x v="1195"/>
  </r>
  <r>
    <x v="6"/>
    <x v="1203"/>
    <x v="1196"/>
  </r>
  <r>
    <x v="6"/>
    <x v="1204"/>
    <x v="1197"/>
  </r>
  <r>
    <x v="6"/>
    <x v="1205"/>
    <x v="1198"/>
  </r>
  <r>
    <x v="6"/>
    <x v="1206"/>
    <x v="1199"/>
  </r>
  <r>
    <x v="6"/>
    <x v="1207"/>
    <x v="1200"/>
  </r>
  <r>
    <x v="6"/>
    <x v="1208"/>
    <x v="1201"/>
  </r>
  <r>
    <x v="6"/>
    <x v="1209"/>
    <x v="1202"/>
  </r>
  <r>
    <x v="6"/>
    <x v="1210"/>
    <x v="1203"/>
  </r>
  <r>
    <x v="6"/>
    <x v="1211"/>
    <x v="1204"/>
  </r>
  <r>
    <x v="6"/>
    <x v="1212"/>
    <x v="1205"/>
  </r>
  <r>
    <x v="6"/>
    <x v="1213"/>
    <x v="1206"/>
  </r>
  <r>
    <x v="6"/>
    <x v="1214"/>
    <x v="1207"/>
  </r>
  <r>
    <x v="6"/>
    <x v="1215"/>
    <x v="1208"/>
  </r>
  <r>
    <x v="6"/>
    <x v="1216"/>
    <x v="1209"/>
  </r>
  <r>
    <x v="7"/>
    <x v="1217"/>
    <x v="1210"/>
  </r>
  <r>
    <x v="7"/>
    <x v="1218"/>
    <x v="1211"/>
  </r>
  <r>
    <x v="7"/>
    <x v="1219"/>
    <x v="1212"/>
  </r>
  <r>
    <x v="7"/>
    <x v="1220"/>
    <x v="1213"/>
  </r>
  <r>
    <x v="7"/>
    <x v="1221"/>
    <x v="1214"/>
  </r>
  <r>
    <x v="7"/>
    <x v="1222"/>
    <x v="1215"/>
  </r>
  <r>
    <x v="7"/>
    <x v="1223"/>
    <x v="1216"/>
  </r>
  <r>
    <x v="7"/>
    <x v="1224"/>
    <x v="1217"/>
  </r>
  <r>
    <x v="7"/>
    <x v="1225"/>
    <x v="1218"/>
  </r>
  <r>
    <x v="7"/>
    <x v="1226"/>
    <x v="1219"/>
  </r>
  <r>
    <x v="7"/>
    <x v="1227"/>
    <x v="1220"/>
  </r>
  <r>
    <x v="7"/>
    <x v="1228"/>
    <x v="1221"/>
  </r>
  <r>
    <x v="7"/>
    <x v="1229"/>
    <x v="1222"/>
  </r>
  <r>
    <x v="7"/>
    <x v="1230"/>
    <x v="1223"/>
  </r>
  <r>
    <x v="7"/>
    <x v="1231"/>
    <x v="1224"/>
  </r>
  <r>
    <x v="7"/>
    <x v="1232"/>
    <x v="1225"/>
  </r>
  <r>
    <x v="7"/>
    <x v="1233"/>
    <x v="1226"/>
  </r>
  <r>
    <x v="7"/>
    <x v="1234"/>
    <x v="1227"/>
  </r>
  <r>
    <x v="7"/>
    <x v="1235"/>
    <x v="1228"/>
  </r>
  <r>
    <x v="7"/>
    <x v="1236"/>
    <x v="1229"/>
  </r>
  <r>
    <x v="7"/>
    <x v="1237"/>
    <x v="1230"/>
  </r>
  <r>
    <x v="7"/>
    <x v="1238"/>
    <x v="1230"/>
  </r>
  <r>
    <x v="8"/>
    <x v="1239"/>
    <x v="1231"/>
  </r>
  <r>
    <x v="8"/>
    <x v="1240"/>
    <x v="1232"/>
  </r>
  <r>
    <x v="8"/>
    <x v="1241"/>
    <x v="1233"/>
  </r>
  <r>
    <x v="8"/>
    <x v="1242"/>
    <x v="1234"/>
  </r>
  <r>
    <x v="8"/>
    <x v="1243"/>
    <x v="1235"/>
  </r>
  <r>
    <x v="8"/>
    <x v="1244"/>
    <x v="1236"/>
  </r>
  <r>
    <x v="8"/>
    <x v="1245"/>
    <x v="1237"/>
  </r>
  <r>
    <x v="8"/>
    <x v="1246"/>
    <x v="1238"/>
  </r>
  <r>
    <x v="8"/>
    <x v="1247"/>
    <x v="1239"/>
  </r>
  <r>
    <x v="8"/>
    <x v="1248"/>
    <x v="1240"/>
  </r>
  <r>
    <x v="8"/>
    <x v="1249"/>
    <x v="1241"/>
  </r>
  <r>
    <x v="8"/>
    <x v="1250"/>
    <x v="1242"/>
  </r>
  <r>
    <x v="8"/>
    <x v="1251"/>
    <x v="1243"/>
  </r>
  <r>
    <x v="8"/>
    <x v="1252"/>
    <x v="1244"/>
  </r>
  <r>
    <x v="8"/>
    <x v="1253"/>
    <x v="1245"/>
  </r>
  <r>
    <x v="8"/>
    <x v="1254"/>
    <x v="1246"/>
  </r>
  <r>
    <x v="8"/>
    <x v="1255"/>
    <x v="1247"/>
  </r>
  <r>
    <x v="8"/>
    <x v="1256"/>
    <x v="1248"/>
  </r>
  <r>
    <x v="8"/>
    <x v="1257"/>
    <x v="1249"/>
  </r>
  <r>
    <x v="8"/>
    <x v="1258"/>
    <x v="1250"/>
  </r>
  <r>
    <x v="8"/>
    <x v="1259"/>
    <x v="1251"/>
  </r>
  <r>
    <x v="8"/>
    <x v="1260"/>
    <x v="1252"/>
  </r>
  <r>
    <x v="8"/>
    <x v="1261"/>
    <x v="1253"/>
  </r>
  <r>
    <x v="8"/>
    <x v="1262"/>
    <x v="1254"/>
  </r>
  <r>
    <x v="8"/>
    <x v="1263"/>
    <x v="1255"/>
  </r>
  <r>
    <x v="8"/>
    <x v="1264"/>
    <x v="1256"/>
  </r>
  <r>
    <x v="8"/>
    <x v="1265"/>
    <x v="1257"/>
  </r>
  <r>
    <x v="8"/>
    <x v="1266"/>
    <x v="1258"/>
  </r>
  <r>
    <x v="8"/>
    <x v="1267"/>
    <x v="1259"/>
  </r>
  <r>
    <x v="8"/>
    <x v="1268"/>
    <x v="1260"/>
  </r>
  <r>
    <x v="8"/>
    <x v="1269"/>
    <x v="1261"/>
  </r>
  <r>
    <x v="8"/>
    <x v="1270"/>
    <x v="1262"/>
  </r>
  <r>
    <x v="8"/>
    <x v="1271"/>
    <x v="1263"/>
  </r>
  <r>
    <x v="8"/>
    <x v="1272"/>
    <x v="1264"/>
  </r>
  <r>
    <x v="8"/>
    <x v="1273"/>
    <x v="1265"/>
  </r>
  <r>
    <x v="8"/>
    <x v="1274"/>
    <x v="1266"/>
  </r>
  <r>
    <x v="8"/>
    <x v="1275"/>
    <x v="1267"/>
  </r>
  <r>
    <x v="8"/>
    <x v="1276"/>
    <x v="1268"/>
  </r>
  <r>
    <x v="8"/>
    <x v="1277"/>
    <x v="1269"/>
  </r>
  <r>
    <x v="8"/>
    <x v="1278"/>
    <x v="1270"/>
  </r>
  <r>
    <x v="8"/>
    <x v="1279"/>
    <x v="1271"/>
  </r>
  <r>
    <x v="8"/>
    <x v="1280"/>
    <x v="1272"/>
  </r>
  <r>
    <x v="8"/>
    <x v="1281"/>
    <x v="1273"/>
  </r>
  <r>
    <x v="8"/>
    <x v="1282"/>
    <x v="1274"/>
  </r>
  <r>
    <x v="8"/>
    <x v="1283"/>
    <x v="1275"/>
  </r>
  <r>
    <x v="8"/>
    <x v="1284"/>
    <x v="1276"/>
  </r>
  <r>
    <x v="8"/>
    <x v="1285"/>
    <x v="1277"/>
  </r>
  <r>
    <x v="8"/>
    <x v="1286"/>
    <x v="1190"/>
  </r>
  <r>
    <x v="8"/>
    <x v="1287"/>
    <x v="1278"/>
  </r>
  <r>
    <x v="8"/>
    <x v="1288"/>
    <x v="1279"/>
  </r>
  <r>
    <x v="8"/>
    <x v="1289"/>
    <x v="1280"/>
  </r>
  <r>
    <x v="8"/>
    <x v="1290"/>
    <x v="1281"/>
  </r>
  <r>
    <x v="8"/>
    <x v="1291"/>
    <x v="1282"/>
  </r>
  <r>
    <x v="8"/>
    <x v="1292"/>
    <x v="1283"/>
  </r>
  <r>
    <x v="8"/>
    <x v="1293"/>
    <x v="1284"/>
  </r>
  <r>
    <x v="8"/>
    <x v="1294"/>
    <x v="1285"/>
  </r>
  <r>
    <x v="8"/>
    <x v="1295"/>
    <x v="1286"/>
  </r>
  <r>
    <x v="8"/>
    <x v="1296"/>
    <x v="1287"/>
  </r>
  <r>
    <x v="8"/>
    <x v="1297"/>
    <x v="1288"/>
  </r>
  <r>
    <x v="8"/>
    <x v="1298"/>
    <x v="1289"/>
  </r>
  <r>
    <x v="8"/>
    <x v="1299"/>
    <x v="1290"/>
  </r>
  <r>
    <x v="8"/>
    <x v="1300"/>
    <x v="1291"/>
  </r>
  <r>
    <x v="8"/>
    <x v="1301"/>
    <x v="1292"/>
  </r>
  <r>
    <x v="8"/>
    <x v="1302"/>
    <x v="1293"/>
  </r>
  <r>
    <x v="8"/>
    <x v="1303"/>
    <x v="1294"/>
  </r>
  <r>
    <x v="8"/>
    <x v="1304"/>
    <x v="1295"/>
  </r>
  <r>
    <x v="8"/>
    <x v="1305"/>
    <x v="1296"/>
  </r>
  <r>
    <x v="8"/>
    <x v="1306"/>
    <x v="1297"/>
  </r>
  <r>
    <x v="8"/>
    <x v="1307"/>
    <x v="1298"/>
  </r>
  <r>
    <x v="8"/>
    <x v="1308"/>
    <x v="1299"/>
  </r>
  <r>
    <x v="8"/>
    <x v="1309"/>
    <x v="1300"/>
  </r>
  <r>
    <x v="8"/>
    <x v="1310"/>
    <x v="1301"/>
  </r>
  <r>
    <x v="8"/>
    <x v="1311"/>
    <x v="1302"/>
  </r>
  <r>
    <x v="8"/>
    <x v="1312"/>
    <x v="1303"/>
  </r>
  <r>
    <x v="8"/>
    <x v="1313"/>
    <x v="1304"/>
  </r>
  <r>
    <x v="8"/>
    <x v="1314"/>
    <x v="1305"/>
  </r>
  <r>
    <x v="8"/>
    <x v="1315"/>
    <x v="1306"/>
  </r>
  <r>
    <x v="8"/>
    <x v="1316"/>
    <x v="1307"/>
  </r>
  <r>
    <x v="8"/>
    <x v="1317"/>
    <x v="1308"/>
  </r>
  <r>
    <x v="8"/>
    <x v="1318"/>
    <x v="1309"/>
  </r>
  <r>
    <x v="8"/>
    <x v="1319"/>
    <x v="1310"/>
  </r>
  <r>
    <x v="8"/>
    <x v="1320"/>
    <x v="1311"/>
  </r>
  <r>
    <x v="8"/>
    <x v="1321"/>
    <x v="1312"/>
  </r>
  <r>
    <x v="8"/>
    <x v="1322"/>
    <x v="1313"/>
  </r>
  <r>
    <x v="8"/>
    <x v="1323"/>
    <x v="1314"/>
  </r>
  <r>
    <x v="8"/>
    <x v="1324"/>
    <x v="1315"/>
  </r>
  <r>
    <x v="8"/>
    <x v="1325"/>
    <x v="1316"/>
  </r>
  <r>
    <x v="8"/>
    <x v="1326"/>
    <x v="1316"/>
  </r>
  <r>
    <x v="8"/>
    <x v="1327"/>
    <x v="1317"/>
  </r>
  <r>
    <x v="8"/>
    <x v="1328"/>
    <x v="1318"/>
  </r>
  <r>
    <x v="8"/>
    <x v="1329"/>
    <x v="1319"/>
  </r>
  <r>
    <x v="8"/>
    <x v="1330"/>
    <x v="1320"/>
  </r>
  <r>
    <x v="8"/>
    <x v="1331"/>
    <x v="1320"/>
  </r>
  <r>
    <x v="8"/>
    <x v="1332"/>
    <x v="1321"/>
  </r>
  <r>
    <x v="8"/>
    <x v="1333"/>
    <x v="1322"/>
  </r>
  <r>
    <x v="8"/>
    <x v="1334"/>
    <x v="1323"/>
  </r>
  <r>
    <x v="8"/>
    <x v="1335"/>
    <x v="1324"/>
  </r>
  <r>
    <x v="8"/>
    <x v="1336"/>
    <x v="1324"/>
  </r>
  <r>
    <x v="8"/>
    <x v="1337"/>
    <x v="1325"/>
  </r>
  <r>
    <x v="8"/>
    <x v="1338"/>
    <x v="1326"/>
  </r>
  <r>
    <x v="8"/>
    <x v="1339"/>
    <x v="1327"/>
  </r>
  <r>
    <x v="8"/>
    <x v="1340"/>
    <x v="1328"/>
  </r>
  <r>
    <x v="8"/>
    <x v="1341"/>
    <x v="1328"/>
  </r>
  <r>
    <x v="8"/>
    <x v="1342"/>
    <x v="1329"/>
  </r>
  <r>
    <x v="8"/>
    <x v="1343"/>
    <x v="1330"/>
  </r>
  <r>
    <x v="8"/>
    <x v="1344"/>
    <x v="1331"/>
  </r>
  <r>
    <x v="8"/>
    <x v="1345"/>
    <x v="1331"/>
  </r>
  <r>
    <x v="8"/>
    <x v="1346"/>
    <x v="1332"/>
  </r>
  <r>
    <x v="8"/>
    <x v="1347"/>
    <x v="1333"/>
  </r>
  <r>
    <x v="8"/>
    <x v="1348"/>
    <x v="1334"/>
  </r>
  <r>
    <x v="8"/>
    <x v="1349"/>
    <x v="1335"/>
  </r>
  <r>
    <x v="8"/>
    <x v="1350"/>
    <x v="1335"/>
  </r>
  <r>
    <x v="8"/>
    <x v="1351"/>
    <x v="1336"/>
  </r>
  <r>
    <x v="8"/>
    <x v="1352"/>
    <x v="1337"/>
  </r>
  <r>
    <x v="8"/>
    <x v="1353"/>
    <x v="1338"/>
  </r>
  <r>
    <x v="8"/>
    <x v="1354"/>
    <x v="1339"/>
  </r>
  <r>
    <x v="8"/>
    <x v="1355"/>
    <x v="1339"/>
  </r>
  <r>
    <x v="8"/>
    <x v="1356"/>
    <x v="1340"/>
  </r>
  <r>
    <x v="8"/>
    <x v="1357"/>
    <x v="1341"/>
  </r>
  <r>
    <x v="8"/>
    <x v="1358"/>
    <x v="1341"/>
  </r>
  <r>
    <x v="8"/>
    <x v="1359"/>
    <x v="1342"/>
  </r>
  <r>
    <x v="8"/>
    <x v="1360"/>
    <x v="1342"/>
  </r>
  <r>
    <x v="8"/>
    <x v="1361"/>
    <x v="1343"/>
  </r>
  <r>
    <x v="8"/>
    <x v="1362"/>
    <x v="1344"/>
  </r>
  <r>
    <x v="8"/>
    <x v="1363"/>
    <x v="1344"/>
  </r>
  <r>
    <x v="8"/>
    <x v="1364"/>
    <x v="1345"/>
  </r>
  <r>
    <x v="8"/>
    <x v="1365"/>
    <x v="1346"/>
  </r>
  <r>
    <x v="8"/>
    <x v="1366"/>
    <x v="1346"/>
  </r>
  <r>
    <x v="8"/>
    <x v="1367"/>
    <x v="1347"/>
  </r>
  <r>
    <x v="8"/>
    <x v="1368"/>
    <x v="1347"/>
  </r>
  <r>
    <x v="8"/>
    <x v="1369"/>
    <x v="1348"/>
  </r>
  <r>
    <x v="8"/>
    <x v="1370"/>
    <x v="1348"/>
  </r>
  <r>
    <x v="8"/>
    <x v="1371"/>
    <x v="1349"/>
  </r>
  <r>
    <x v="8"/>
    <x v="1372"/>
    <x v="1349"/>
  </r>
  <r>
    <x v="8"/>
    <x v="1373"/>
    <x v="1350"/>
  </r>
  <r>
    <x v="8"/>
    <x v="1374"/>
    <x v="1350"/>
  </r>
  <r>
    <x v="8"/>
    <x v="1375"/>
    <x v="1351"/>
  </r>
  <r>
    <x v="8"/>
    <x v="1376"/>
    <x v="1352"/>
  </r>
  <r>
    <x v="8"/>
    <x v="1377"/>
    <x v="1352"/>
  </r>
  <r>
    <x v="8"/>
    <x v="1378"/>
    <x v="1353"/>
  </r>
  <r>
    <x v="8"/>
    <x v="1379"/>
    <x v="1354"/>
  </r>
  <r>
    <x v="8"/>
    <x v="1380"/>
    <x v="1354"/>
  </r>
  <r>
    <x v="8"/>
    <x v="1381"/>
    <x v="1355"/>
  </r>
  <r>
    <x v="8"/>
    <x v="1382"/>
    <x v="1356"/>
  </r>
  <r>
    <x v="8"/>
    <x v="1383"/>
    <x v="1356"/>
  </r>
  <r>
    <x v="8"/>
    <x v="1384"/>
    <x v="1357"/>
  </r>
  <r>
    <x v="8"/>
    <x v="1385"/>
    <x v="1357"/>
  </r>
  <r>
    <x v="8"/>
    <x v="1386"/>
    <x v="1358"/>
  </r>
  <r>
    <x v="8"/>
    <x v="1387"/>
    <x v="1358"/>
  </r>
  <r>
    <x v="8"/>
    <x v="1388"/>
    <x v="1359"/>
  </r>
  <r>
    <x v="8"/>
    <x v="1389"/>
    <x v="1360"/>
  </r>
  <r>
    <x v="8"/>
    <x v="1390"/>
    <x v="1361"/>
  </r>
  <r>
    <x v="8"/>
    <x v="1391"/>
    <x v="1362"/>
  </r>
  <r>
    <x v="8"/>
    <x v="1392"/>
    <x v="1362"/>
  </r>
  <r>
    <x v="8"/>
    <x v="1393"/>
    <x v="1363"/>
  </r>
  <r>
    <x v="8"/>
    <x v="1394"/>
    <x v="1363"/>
  </r>
  <r>
    <x v="8"/>
    <x v="1395"/>
    <x v="1364"/>
  </r>
  <r>
    <x v="8"/>
    <x v="1396"/>
    <x v="1365"/>
  </r>
  <r>
    <x v="8"/>
    <x v="1397"/>
    <x v="1365"/>
  </r>
  <r>
    <x v="8"/>
    <x v="1398"/>
    <x v="1366"/>
  </r>
  <r>
    <x v="8"/>
    <x v="1399"/>
    <x v="1366"/>
  </r>
  <r>
    <x v="8"/>
    <x v="1400"/>
    <x v="1367"/>
  </r>
  <r>
    <x v="8"/>
    <x v="1401"/>
    <x v="1367"/>
  </r>
  <r>
    <x v="8"/>
    <x v="1402"/>
    <x v="1368"/>
  </r>
  <r>
    <x v="8"/>
    <x v="1403"/>
    <x v="1369"/>
  </r>
  <r>
    <x v="8"/>
    <x v="1404"/>
    <x v="1369"/>
  </r>
  <r>
    <x v="8"/>
    <x v="1405"/>
    <x v="1370"/>
  </r>
  <r>
    <x v="8"/>
    <x v="1406"/>
    <x v="1370"/>
  </r>
  <r>
    <x v="8"/>
    <x v="1407"/>
    <x v="1371"/>
  </r>
  <r>
    <x v="8"/>
    <x v="1408"/>
    <x v="1371"/>
  </r>
  <r>
    <x v="8"/>
    <x v="1409"/>
    <x v="1372"/>
  </r>
  <r>
    <x v="8"/>
    <x v="1410"/>
    <x v="1373"/>
  </r>
  <r>
    <x v="8"/>
    <x v="1411"/>
    <x v="1373"/>
  </r>
  <r>
    <x v="8"/>
    <x v="1412"/>
    <x v="1374"/>
  </r>
  <r>
    <x v="8"/>
    <x v="1413"/>
    <x v="1374"/>
  </r>
  <r>
    <x v="8"/>
    <x v="1414"/>
    <x v="1375"/>
  </r>
  <r>
    <x v="8"/>
    <x v="1415"/>
    <x v="1375"/>
  </r>
  <r>
    <x v="8"/>
    <x v="1416"/>
    <x v="1376"/>
  </r>
  <r>
    <x v="8"/>
    <x v="1417"/>
    <x v="1376"/>
  </r>
  <r>
    <x v="8"/>
    <x v="1418"/>
    <x v="1377"/>
  </r>
  <r>
    <x v="8"/>
    <x v="1419"/>
    <x v="1377"/>
  </r>
  <r>
    <x v="8"/>
    <x v="1420"/>
    <x v="1378"/>
  </r>
  <r>
    <x v="8"/>
    <x v="1421"/>
    <x v="1378"/>
  </r>
  <r>
    <x v="8"/>
    <x v="1422"/>
    <x v="1379"/>
  </r>
  <r>
    <x v="8"/>
    <x v="1423"/>
    <x v="1379"/>
  </r>
  <r>
    <x v="8"/>
    <x v="1424"/>
    <x v="1380"/>
  </r>
  <r>
    <x v="8"/>
    <x v="1425"/>
    <x v="1380"/>
  </r>
  <r>
    <x v="8"/>
    <x v="1426"/>
    <x v="1381"/>
  </r>
  <r>
    <x v="8"/>
    <x v="1427"/>
    <x v="1381"/>
  </r>
  <r>
    <x v="8"/>
    <x v="1428"/>
    <x v="1382"/>
  </r>
  <r>
    <x v="8"/>
    <x v="1429"/>
    <x v="1382"/>
  </r>
  <r>
    <x v="8"/>
    <x v="1430"/>
    <x v="1383"/>
  </r>
  <r>
    <x v="8"/>
    <x v="1431"/>
    <x v="1383"/>
  </r>
  <r>
    <x v="9"/>
    <x v="1432"/>
    <x v="1384"/>
  </r>
  <r>
    <x v="9"/>
    <x v="1433"/>
    <x v="1385"/>
  </r>
  <r>
    <x v="9"/>
    <x v="1434"/>
    <x v="1233"/>
  </r>
  <r>
    <x v="9"/>
    <x v="1435"/>
    <x v="1386"/>
  </r>
  <r>
    <x v="9"/>
    <x v="1436"/>
    <x v="1387"/>
  </r>
  <r>
    <x v="9"/>
    <x v="1437"/>
    <x v="1388"/>
  </r>
  <r>
    <x v="9"/>
    <x v="1438"/>
    <x v="1389"/>
  </r>
  <r>
    <x v="9"/>
    <x v="1439"/>
    <x v="1238"/>
  </r>
  <r>
    <x v="9"/>
    <x v="1440"/>
    <x v="1390"/>
  </r>
  <r>
    <x v="9"/>
    <x v="1441"/>
    <x v="1391"/>
  </r>
  <r>
    <x v="9"/>
    <x v="1442"/>
    <x v="1244"/>
  </r>
  <r>
    <x v="9"/>
    <x v="1443"/>
    <x v="1392"/>
  </r>
  <r>
    <x v="9"/>
    <x v="1444"/>
    <x v="1393"/>
  </r>
  <r>
    <x v="9"/>
    <x v="1445"/>
    <x v="1394"/>
  </r>
  <r>
    <x v="9"/>
    <x v="1446"/>
    <x v="1395"/>
  </r>
  <r>
    <x v="9"/>
    <x v="1447"/>
    <x v="1396"/>
  </r>
  <r>
    <x v="9"/>
    <x v="1448"/>
    <x v="1397"/>
  </r>
  <r>
    <x v="9"/>
    <x v="1449"/>
    <x v="1398"/>
  </r>
  <r>
    <x v="9"/>
    <x v="1450"/>
    <x v="1252"/>
  </r>
  <r>
    <x v="9"/>
    <x v="1451"/>
    <x v="1399"/>
  </r>
  <r>
    <x v="9"/>
    <x v="1452"/>
    <x v="1400"/>
  </r>
  <r>
    <x v="9"/>
    <x v="1453"/>
    <x v="1401"/>
  </r>
  <r>
    <x v="9"/>
    <x v="1454"/>
    <x v="1402"/>
  </r>
  <r>
    <x v="9"/>
    <x v="1455"/>
    <x v="1403"/>
  </r>
  <r>
    <x v="9"/>
    <x v="1456"/>
    <x v="1404"/>
  </r>
  <r>
    <x v="9"/>
    <x v="1457"/>
    <x v="1259"/>
  </r>
  <r>
    <x v="9"/>
    <x v="1458"/>
    <x v="1405"/>
  </r>
  <r>
    <x v="9"/>
    <x v="1459"/>
    <x v="1261"/>
  </r>
  <r>
    <x v="9"/>
    <x v="1460"/>
    <x v="1406"/>
  </r>
  <r>
    <x v="9"/>
    <x v="1461"/>
    <x v="1407"/>
  </r>
  <r>
    <x v="9"/>
    <x v="1462"/>
    <x v="1408"/>
  </r>
  <r>
    <x v="9"/>
    <x v="1463"/>
    <x v="1409"/>
  </r>
  <r>
    <x v="9"/>
    <x v="1464"/>
    <x v="1410"/>
  </r>
  <r>
    <x v="9"/>
    <x v="1465"/>
    <x v="1411"/>
  </r>
  <r>
    <x v="9"/>
    <x v="1466"/>
    <x v="1412"/>
  </r>
  <r>
    <x v="9"/>
    <x v="1467"/>
    <x v="1413"/>
  </r>
  <r>
    <x v="9"/>
    <x v="1468"/>
    <x v="1414"/>
  </r>
  <r>
    <x v="9"/>
    <x v="1469"/>
    <x v="1415"/>
  </r>
  <r>
    <x v="9"/>
    <x v="1470"/>
    <x v="1416"/>
  </r>
  <r>
    <x v="9"/>
    <x v="1471"/>
    <x v="1417"/>
  </r>
  <r>
    <x v="9"/>
    <x v="1472"/>
    <x v="1418"/>
  </r>
  <r>
    <x v="9"/>
    <x v="1473"/>
    <x v="1419"/>
  </r>
  <r>
    <x v="9"/>
    <x v="1474"/>
    <x v="1420"/>
  </r>
  <r>
    <x v="9"/>
    <x v="1475"/>
    <x v="1421"/>
  </r>
  <r>
    <x v="9"/>
    <x v="1476"/>
    <x v="1190"/>
  </r>
  <r>
    <x v="9"/>
    <x v="1477"/>
    <x v="1422"/>
  </r>
  <r>
    <x v="9"/>
    <x v="1478"/>
    <x v="1423"/>
  </r>
  <r>
    <x v="9"/>
    <x v="1479"/>
    <x v="1424"/>
  </r>
  <r>
    <x v="9"/>
    <x v="1480"/>
    <x v="1425"/>
  </r>
  <r>
    <x v="9"/>
    <x v="1481"/>
    <x v="1426"/>
  </r>
  <r>
    <x v="9"/>
    <x v="1482"/>
    <x v="1427"/>
  </r>
  <r>
    <x v="9"/>
    <x v="1483"/>
    <x v="1428"/>
  </r>
  <r>
    <x v="9"/>
    <x v="1484"/>
    <x v="1285"/>
  </r>
  <r>
    <x v="9"/>
    <x v="1485"/>
    <x v="1429"/>
  </r>
  <r>
    <x v="9"/>
    <x v="1486"/>
    <x v="1430"/>
  </r>
  <r>
    <x v="9"/>
    <x v="1487"/>
    <x v="1431"/>
  </r>
  <r>
    <x v="9"/>
    <x v="1488"/>
    <x v="1432"/>
  </r>
  <r>
    <x v="9"/>
    <x v="1489"/>
    <x v="1433"/>
  </r>
  <r>
    <x v="9"/>
    <x v="1490"/>
    <x v="1434"/>
  </r>
  <r>
    <x v="9"/>
    <x v="1491"/>
    <x v="1435"/>
  </r>
  <r>
    <x v="9"/>
    <x v="1492"/>
    <x v="1436"/>
  </r>
  <r>
    <x v="9"/>
    <x v="1493"/>
    <x v="1294"/>
  </r>
  <r>
    <x v="9"/>
    <x v="1494"/>
    <x v="1437"/>
  </r>
  <r>
    <x v="9"/>
    <x v="1495"/>
    <x v="1438"/>
  </r>
  <r>
    <x v="9"/>
    <x v="1496"/>
    <x v="1439"/>
  </r>
  <r>
    <x v="9"/>
    <x v="1497"/>
    <x v="1440"/>
  </r>
  <r>
    <x v="9"/>
    <x v="1498"/>
    <x v="1441"/>
  </r>
  <r>
    <x v="9"/>
    <x v="1499"/>
    <x v="1441"/>
  </r>
  <r>
    <x v="9"/>
    <x v="1500"/>
    <x v="1442"/>
  </r>
  <r>
    <x v="9"/>
    <x v="1501"/>
    <x v="1443"/>
  </r>
  <r>
    <x v="9"/>
    <x v="1502"/>
    <x v="1444"/>
  </r>
  <r>
    <x v="9"/>
    <x v="1503"/>
    <x v="1445"/>
  </r>
  <r>
    <x v="9"/>
    <x v="1504"/>
    <x v="1445"/>
  </r>
  <r>
    <x v="9"/>
    <x v="1505"/>
    <x v="1446"/>
  </r>
  <r>
    <x v="9"/>
    <x v="1506"/>
    <x v="1447"/>
  </r>
  <r>
    <x v="9"/>
    <x v="1507"/>
    <x v="1448"/>
  </r>
  <r>
    <x v="9"/>
    <x v="1508"/>
    <x v="1449"/>
  </r>
  <r>
    <x v="9"/>
    <x v="1509"/>
    <x v="1449"/>
  </r>
  <r>
    <x v="9"/>
    <x v="1510"/>
    <x v="1450"/>
  </r>
  <r>
    <x v="9"/>
    <x v="1511"/>
    <x v="1451"/>
  </r>
  <r>
    <x v="9"/>
    <x v="1512"/>
    <x v="1451"/>
  </r>
  <r>
    <x v="9"/>
    <x v="1513"/>
    <x v="1452"/>
  </r>
  <r>
    <x v="9"/>
    <x v="1514"/>
    <x v="1453"/>
  </r>
  <r>
    <x v="9"/>
    <x v="1515"/>
    <x v="1454"/>
  </r>
  <r>
    <x v="9"/>
    <x v="1516"/>
    <x v="1455"/>
  </r>
  <r>
    <x v="9"/>
    <x v="1517"/>
    <x v="1456"/>
  </r>
  <r>
    <x v="9"/>
    <x v="1518"/>
    <x v="1456"/>
  </r>
  <r>
    <x v="9"/>
    <x v="1519"/>
    <x v="1457"/>
  </r>
  <r>
    <x v="9"/>
    <x v="1520"/>
    <x v="1458"/>
  </r>
  <r>
    <x v="9"/>
    <x v="1521"/>
    <x v="1459"/>
  </r>
  <r>
    <x v="9"/>
    <x v="1522"/>
    <x v="1460"/>
  </r>
  <r>
    <x v="9"/>
    <x v="1523"/>
    <x v="1460"/>
  </r>
  <r>
    <x v="9"/>
    <x v="1524"/>
    <x v="1461"/>
  </r>
  <r>
    <x v="9"/>
    <x v="1525"/>
    <x v="1462"/>
  </r>
  <r>
    <x v="9"/>
    <x v="1526"/>
    <x v="1463"/>
  </r>
  <r>
    <x v="9"/>
    <x v="1527"/>
    <x v="1464"/>
  </r>
  <r>
    <x v="9"/>
    <x v="1528"/>
    <x v="1465"/>
  </r>
  <r>
    <x v="9"/>
    <x v="1529"/>
    <x v="1466"/>
  </r>
  <r>
    <x v="9"/>
    <x v="1530"/>
    <x v="1467"/>
  </r>
  <r>
    <x v="9"/>
    <x v="1531"/>
    <x v="1468"/>
  </r>
  <r>
    <x v="9"/>
    <x v="1532"/>
    <x v="1469"/>
  </r>
  <r>
    <x v="9"/>
    <x v="1533"/>
    <x v="1470"/>
  </r>
  <r>
    <x v="9"/>
    <x v="1534"/>
    <x v="1470"/>
  </r>
  <r>
    <x v="9"/>
    <x v="1535"/>
    <x v="1471"/>
  </r>
  <r>
    <x v="9"/>
    <x v="1536"/>
    <x v="1471"/>
  </r>
  <r>
    <x v="9"/>
    <x v="1537"/>
    <x v="1472"/>
  </r>
  <r>
    <x v="9"/>
    <x v="1538"/>
    <x v="1472"/>
  </r>
  <r>
    <x v="9"/>
    <x v="1539"/>
    <x v="1473"/>
  </r>
  <r>
    <x v="9"/>
    <x v="1540"/>
    <x v="1474"/>
  </r>
  <r>
    <x v="9"/>
    <x v="1541"/>
    <x v="1474"/>
  </r>
  <r>
    <x v="9"/>
    <x v="1542"/>
    <x v="1475"/>
  </r>
  <r>
    <x v="9"/>
    <x v="1543"/>
    <x v="1475"/>
  </r>
  <r>
    <x v="9"/>
    <x v="1544"/>
    <x v="1476"/>
  </r>
  <r>
    <x v="9"/>
    <x v="1545"/>
    <x v="1476"/>
  </r>
  <r>
    <x v="9"/>
    <x v="1546"/>
    <x v="1477"/>
  </r>
  <r>
    <x v="9"/>
    <x v="1547"/>
    <x v="1478"/>
  </r>
  <r>
    <x v="9"/>
    <x v="1548"/>
    <x v="1478"/>
  </r>
  <r>
    <x v="9"/>
    <x v="1549"/>
    <x v="1479"/>
  </r>
  <r>
    <x v="9"/>
    <x v="1550"/>
    <x v="1479"/>
  </r>
  <r>
    <x v="9"/>
    <x v="1551"/>
    <x v="1480"/>
  </r>
  <r>
    <x v="9"/>
    <x v="1552"/>
    <x v="1481"/>
  </r>
  <r>
    <x v="9"/>
    <x v="1553"/>
    <x v="1481"/>
  </r>
  <r>
    <x v="10"/>
    <x v="1554"/>
    <x v="1482"/>
  </r>
  <r>
    <x v="10"/>
    <x v="1555"/>
    <x v="1483"/>
  </r>
  <r>
    <x v="10"/>
    <x v="1556"/>
    <x v="1484"/>
  </r>
  <r>
    <x v="10"/>
    <x v="1557"/>
    <x v="1485"/>
  </r>
  <r>
    <x v="10"/>
    <x v="1558"/>
    <x v="1486"/>
  </r>
  <r>
    <x v="10"/>
    <x v="1559"/>
    <x v="1487"/>
  </r>
  <r>
    <x v="10"/>
    <x v="1560"/>
    <x v="1488"/>
  </r>
  <r>
    <x v="10"/>
    <x v="1561"/>
    <x v="1489"/>
  </r>
  <r>
    <x v="10"/>
    <x v="1562"/>
    <x v="1490"/>
  </r>
  <r>
    <x v="10"/>
    <x v="1563"/>
    <x v="1491"/>
  </r>
  <r>
    <x v="10"/>
    <x v="1564"/>
    <x v="1492"/>
  </r>
  <r>
    <x v="10"/>
    <x v="1565"/>
    <x v="1493"/>
  </r>
  <r>
    <x v="10"/>
    <x v="1566"/>
    <x v="1494"/>
  </r>
  <r>
    <x v="10"/>
    <x v="1567"/>
    <x v="1495"/>
  </r>
  <r>
    <x v="10"/>
    <x v="1568"/>
    <x v="1496"/>
  </r>
  <r>
    <x v="10"/>
    <x v="1569"/>
    <x v="1497"/>
  </r>
  <r>
    <x v="10"/>
    <x v="1570"/>
    <x v="1498"/>
  </r>
  <r>
    <x v="10"/>
    <x v="1571"/>
    <x v="1499"/>
  </r>
  <r>
    <x v="10"/>
    <x v="1572"/>
    <x v="1500"/>
  </r>
  <r>
    <x v="10"/>
    <x v="1573"/>
    <x v="1501"/>
  </r>
  <r>
    <x v="10"/>
    <x v="1574"/>
    <x v="1502"/>
  </r>
  <r>
    <x v="10"/>
    <x v="1575"/>
    <x v="1503"/>
  </r>
  <r>
    <x v="10"/>
    <x v="1576"/>
    <x v="1504"/>
  </r>
  <r>
    <x v="10"/>
    <x v="1577"/>
    <x v="1505"/>
  </r>
  <r>
    <x v="10"/>
    <x v="1578"/>
    <x v="1506"/>
  </r>
  <r>
    <x v="10"/>
    <x v="1579"/>
    <x v="1507"/>
  </r>
  <r>
    <x v="10"/>
    <x v="1580"/>
    <x v="1508"/>
  </r>
  <r>
    <x v="10"/>
    <x v="1581"/>
    <x v="1509"/>
  </r>
  <r>
    <x v="10"/>
    <x v="1582"/>
    <x v="1510"/>
  </r>
  <r>
    <x v="10"/>
    <x v="1583"/>
    <x v="1511"/>
  </r>
  <r>
    <x v="10"/>
    <x v="1584"/>
    <x v="1512"/>
  </r>
  <r>
    <x v="10"/>
    <x v="1585"/>
    <x v="1513"/>
  </r>
  <r>
    <x v="10"/>
    <x v="1586"/>
    <x v="1514"/>
  </r>
  <r>
    <x v="10"/>
    <x v="1587"/>
    <x v="1515"/>
  </r>
  <r>
    <x v="10"/>
    <x v="1588"/>
    <x v="1516"/>
  </r>
  <r>
    <x v="10"/>
    <x v="1589"/>
    <x v="1517"/>
  </r>
  <r>
    <x v="10"/>
    <x v="1590"/>
    <x v="1518"/>
  </r>
  <r>
    <x v="10"/>
    <x v="1591"/>
    <x v="1519"/>
  </r>
  <r>
    <x v="10"/>
    <x v="1592"/>
    <x v="1520"/>
  </r>
  <r>
    <x v="10"/>
    <x v="1593"/>
    <x v="1521"/>
  </r>
  <r>
    <x v="10"/>
    <x v="1594"/>
    <x v="1522"/>
  </r>
  <r>
    <x v="10"/>
    <x v="1595"/>
    <x v="1523"/>
  </r>
  <r>
    <x v="10"/>
    <x v="1596"/>
    <x v="1524"/>
  </r>
  <r>
    <x v="10"/>
    <x v="1597"/>
    <x v="1525"/>
  </r>
  <r>
    <x v="10"/>
    <x v="1598"/>
    <x v="1525"/>
  </r>
  <r>
    <x v="10"/>
    <x v="1599"/>
    <x v="1526"/>
  </r>
  <r>
    <x v="10"/>
    <x v="1600"/>
    <x v="1527"/>
  </r>
  <r>
    <x v="10"/>
    <x v="1601"/>
    <x v="1528"/>
  </r>
  <r>
    <x v="10"/>
    <x v="1602"/>
    <x v="1529"/>
  </r>
  <r>
    <x v="10"/>
    <x v="1603"/>
    <x v="1530"/>
  </r>
  <r>
    <x v="10"/>
    <x v="1604"/>
    <x v="1531"/>
  </r>
  <r>
    <x v="10"/>
    <x v="1605"/>
    <x v="1532"/>
  </r>
  <r>
    <x v="10"/>
    <x v="1606"/>
    <x v="1533"/>
  </r>
  <r>
    <x v="10"/>
    <x v="1607"/>
    <x v="1534"/>
  </r>
  <r>
    <x v="10"/>
    <x v="1608"/>
    <x v="1535"/>
  </r>
  <r>
    <x v="10"/>
    <x v="1609"/>
    <x v="1536"/>
  </r>
  <r>
    <x v="10"/>
    <x v="1610"/>
    <x v="1537"/>
  </r>
  <r>
    <x v="10"/>
    <x v="1611"/>
    <x v="1538"/>
  </r>
  <r>
    <x v="10"/>
    <x v="1612"/>
    <x v="1539"/>
  </r>
  <r>
    <x v="10"/>
    <x v="1613"/>
    <x v="1540"/>
  </r>
  <r>
    <x v="10"/>
    <x v="1614"/>
    <x v="1541"/>
  </r>
  <r>
    <x v="10"/>
    <x v="1615"/>
    <x v="1542"/>
  </r>
  <r>
    <x v="10"/>
    <x v="1616"/>
    <x v="1543"/>
  </r>
  <r>
    <x v="10"/>
    <x v="1617"/>
    <x v="1544"/>
  </r>
  <r>
    <x v="10"/>
    <x v="1618"/>
    <x v="1545"/>
  </r>
  <r>
    <x v="10"/>
    <x v="1619"/>
    <x v="1546"/>
  </r>
  <r>
    <x v="10"/>
    <x v="1620"/>
    <x v="1546"/>
  </r>
  <r>
    <x v="10"/>
    <x v="1621"/>
    <x v="1547"/>
  </r>
  <r>
    <x v="11"/>
    <x v="1622"/>
    <x v="1548"/>
  </r>
  <r>
    <x v="11"/>
    <x v="1622"/>
    <x v="1549"/>
  </r>
  <r>
    <x v="4"/>
    <x v="1623"/>
    <x v="1550"/>
  </r>
  <r>
    <x v="4"/>
    <x v="1624"/>
    <x v="1551"/>
  </r>
  <r>
    <x v="4"/>
    <x v="1625"/>
    <x v="1552"/>
  </r>
  <r>
    <x v="12"/>
    <x v="1626"/>
    <x v="1553"/>
  </r>
  <r>
    <x v="10"/>
    <x v="1627"/>
    <x v="1554"/>
  </r>
  <r>
    <x v="13"/>
    <x v="1628"/>
    <x v="1555"/>
  </r>
  <r>
    <x v="1"/>
    <x v="1629"/>
    <x v="1556"/>
  </r>
  <r>
    <x v="5"/>
    <x v="1630"/>
    <x v="1557"/>
  </r>
  <r>
    <x v="5"/>
    <x v="1631"/>
    <x v="1558"/>
  </r>
  <r>
    <x v="5"/>
    <x v="1632"/>
    <x v="1559"/>
  </r>
  <r>
    <x v="5"/>
    <x v="1633"/>
    <x v="1560"/>
  </r>
  <r>
    <x v="5"/>
    <x v="1634"/>
    <x v="1561"/>
  </r>
  <r>
    <x v="5"/>
    <x v="1635"/>
    <x v="1562"/>
  </r>
  <r>
    <x v="5"/>
    <x v="1636"/>
    <x v="1563"/>
  </r>
  <r>
    <x v="5"/>
    <x v="1637"/>
    <x v="1564"/>
  </r>
  <r>
    <x v="3"/>
    <x v="1638"/>
    <x v="1565"/>
  </r>
  <r>
    <x v="5"/>
    <x v="1639"/>
    <x v="1566"/>
  </r>
  <r>
    <x v="4"/>
    <x v="1640"/>
    <x v="1567"/>
  </r>
  <r>
    <x v="4"/>
    <x v="1641"/>
    <x v="1568"/>
  </r>
  <r>
    <x v="4"/>
    <x v="1642"/>
    <x v="1569"/>
  </r>
  <r>
    <x v="4"/>
    <x v="1643"/>
    <x v="1570"/>
  </r>
  <r>
    <x v="5"/>
    <x v="1644"/>
    <x v="1571"/>
  </r>
  <r>
    <x v="5"/>
    <x v="1645"/>
    <x v="1572"/>
  </r>
  <r>
    <x v="5"/>
    <x v="1646"/>
    <x v="1573"/>
  </r>
  <r>
    <x v="5"/>
    <x v="1647"/>
    <x v="1574"/>
  </r>
  <r>
    <x v="5"/>
    <x v="1648"/>
    <x v="1575"/>
  </r>
  <r>
    <x v="5"/>
    <x v="1649"/>
    <x v="1576"/>
  </r>
  <r>
    <x v="5"/>
    <x v="1650"/>
    <x v="1577"/>
  </r>
  <r>
    <x v="3"/>
    <x v="1651"/>
    <x v="1578"/>
  </r>
  <r>
    <x v="4"/>
    <x v="1652"/>
    <x v="1579"/>
  </r>
  <r>
    <x v="4"/>
    <x v="1653"/>
    <x v="1580"/>
  </r>
  <r>
    <x v="4"/>
    <x v="1654"/>
    <x v="1581"/>
  </r>
  <r>
    <x v="4"/>
    <x v="1655"/>
    <x v="1582"/>
  </r>
  <r>
    <x v="4"/>
    <x v="1656"/>
    <x v="636"/>
  </r>
  <r>
    <x v="4"/>
    <x v="1657"/>
    <x v="1583"/>
  </r>
  <r>
    <x v="10"/>
    <x v="1658"/>
    <x v="1584"/>
  </r>
  <r>
    <x v="3"/>
    <x v="1659"/>
    <x v="1585"/>
  </r>
  <r>
    <x v="3"/>
    <x v="1660"/>
    <x v="1586"/>
  </r>
  <r>
    <x v="3"/>
    <x v="1661"/>
    <x v="1587"/>
  </r>
  <r>
    <x v="8"/>
    <x v="1662"/>
    <x v="1588"/>
  </r>
  <r>
    <x v="9"/>
    <x v="1663"/>
    <x v="1589"/>
  </r>
  <r>
    <x v="3"/>
    <x v="1664"/>
    <x v="1590"/>
  </r>
  <r>
    <x v="3"/>
    <x v="1665"/>
    <x v="1591"/>
  </r>
  <r>
    <x v="14"/>
    <x v="1666"/>
    <x v="1592"/>
  </r>
  <r>
    <x v="5"/>
    <x v="1667"/>
    <x v="1593"/>
  </r>
  <r>
    <x v="5"/>
    <x v="1668"/>
    <x v="1594"/>
  </r>
  <r>
    <x v="3"/>
    <x v="1669"/>
    <x v="1595"/>
  </r>
  <r>
    <x v="3"/>
    <x v="1670"/>
    <x v="1596"/>
  </r>
  <r>
    <x v="15"/>
    <x v="1671"/>
    <x v="1597"/>
  </r>
  <r>
    <x v="4"/>
    <x v="1672"/>
    <x v="1598"/>
  </r>
  <r>
    <x v="3"/>
    <x v="1673"/>
    <x v="1599"/>
  </r>
  <r>
    <x v="3"/>
    <x v="1674"/>
    <x v="1600"/>
  </r>
  <r>
    <x v="4"/>
    <x v="1675"/>
    <x v="1601"/>
  </r>
  <r>
    <x v="4"/>
    <x v="1676"/>
    <x v="1602"/>
  </r>
  <r>
    <x v="4"/>
    <x v="1677"/>
    <x v="1603"/>
  </r>
  <r>
    <x v="4"/>
    <x v="1678"/>
    <x v="1604"/>
  </r>
  <r>
    <x v="4"/>
    <x v="1679"/>
    <x v="630"/>
  </r>
  <r>
    <x v="16"/>
    <x v="1680"/>
    <x v="1605"/>
  </r>
  <r>
    <x v="16"/>
    <x v="1681"/>
    <x v="1606"/>
  </r>
  <r>
    <x v="16"/>
    <x v="1682"/>
    <x v="1607"/>
  </r>
  <r>
    <x v="13"/>
    <x v="1683"/>
    <x v="1608"/>
  </r>
  <r>
    <x v="4"/>
    <x v="1684"/>
    <x v="1609"/>
  </r>
  <r>
    <x v="7"/>
    <x v="1685"/>
    <x v="1610"/>
  </r>
  <r>
    <x v="4"/>
    <x v="1686"/>
    <x v="1611"/>
  </r>
  <r>
    <x v="10"/>
    <x v="1687"/>
    <x v="1612"/>
  </r>
  <r>
    <x v="0"/>
    <x v="1688"/>
    <x v="1613"/>
  </r>
  <r>
    <x v="0"/>
    <x v="1689"/>
    <x v="1614"/>
  </r>
  <r>
    <x v="0"/>
    <x v="1690"/>
    <x v="1615"/>
  </r>
  <r>
    <x v="0"/>
    <x v="1691"/>
    <x v="1616"/>
  </r>
  <r>
    <x v="4"/>
    <x v="1692"/>
    <x v="1617"/>
  </r>
  <r>
    <x v="4"/>
    <x v="1693"/>
    <x v="1618"/>
  </r>
  <r>
    <x v="4"/>
    <x v="1694"/>
    <x v="1619"/>
  </r>
  <r>
    <x v="5"/>
    <x v="1695"/>
    <x v="1620"/>
  </r>
  <r>
    <x v="5"/>
    <x v="1696"/>
    <x v="1621"/>
  </r>
  <r>
    <x v="5"/>
    <x v="1697"/>
    <x v="1622"/>
  </r>
  <r>
    <x v="5"/>
    <x v="1698"/>
    <x v="1623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624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  <r>
    <x v="11"/>
    <x v="1622"/>
    <x v="15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D5274-5819-48C2-86C8-113E780BE2F0}" name="Сводная таблица2" cacheId="1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gridDropZones="1" multipleFieldFilters="0">
  <location ref="A3:I151" firstHeaderRow="2" firstDataRow="2" firstDataCol="3"/>
  <pivotFields count="3">
    <pivotField axis="axisRow" compact="0" outline="0" showAll="0">
      <items count="18">
        <item sd="0" x="9"/>
        <item sd="0" x="12"/>
        <item x="4"/>
        <item sd="0" x="0"/>
        <item sd="0" x="10"/>
        <item sd="0" x="3"/>
        <item sd="0" x="6"/>
        <item sd="0" x="1"/>
        <item sd="0" x="7"/>
        <item sd="0" x="5"/>
        <item sd="0" x="8"/>
        <item sd="0" x="16"/>
        <item sd="0" x="15"/>
        <item sd="0" x="14"/>
        <item sd="0" x="13"/>
        <item sd="0" x="2"/>
        <item sd="0" x="11"/>
        <item t="default"/>
      </items>
    </pivotField>
    <pivotField axis="axisRow" compact="0" outline="0" showAll="0" defaultSubtotal="0">
      <items count="1699"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663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626"/>
        <item x="610"/>
        <item x="611"/>
        <item x="1657"/>
        <item x="612"/>
        <item x="613"/>
        <item x="622"/>
        <item x="623"/>
        <item x="624"/>
        <item x="625"/>
        <item x="626"/>
        <item x="627"/>
        <item x="628"/>
        <item x="629"/>
        <item x="630"/>
        <item x="631"/>
        <item x="614"/>
        <item x="632"/>
        <item x="1686"/>
        <item x="615"/>
        <item x="616"/>
        <item x="617"/>
        <item x="618"/>
        <item x="619"/>
        <item x="620"/>
        <item x="621"/>
        <item x="1625"/>
        <item x="1624"/>
        <item x="1694"/>
        <item x="1640"/>
        <item x="1693"/>
        <item x="1641"/>
        <item x="1675"/>
        <item x="1692"/>
        <item x="633"/>
        <item x="634"/>
        <item x="635"/>
        <item x="636"/>
        <item x="637"/>
        <item x="638"/>
        <item x="1679"/>
        <item x="1654"/>
        <item x="1642"/>
        <item x="1643"/>
        <item x="1677"/>
        <item x="1684"/>
        <item x="639"/>
        <item x="640"/>
        <item x="641"/>
        <item x="650"/>
        <item x="1656"/>
        <item x="1652"/>
        <item x="1676"/>
        <item x="1655"/>
        <item x="1653"/>
        <item x="1678"/>
        <item x="642"/>
        <item x="643"/>
        <item x="644"/>
        <item x="645"/>
        <item x="646"/>
        <item x="647"/>
        <item x="648"/>
        <item x="649"/>
        <item x="651"/>
        <item x="652"/>
        <item x="653"/>
        <item x="662"/>
        <item x="663"/>
        <item x="664"/>
        <item x="665"/>
        <item x="666"/>
        <item x="667"/>
        <item x="668"/>
        <item x="669"/>
        <item x="670"/>
        <item x="671"/>
        <item x="654"/>
        <item x="655"/>
        <item x="656"/>
        <item x="657"/>
        <item x="658"/>
        <item x="659"/>
        <item x="660"/>
        <item x="66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1623"/>
        <item x="1672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sd="0" x="0"/>
        <item sd="0" x="1"/>
        <item sd="0" x="2"/>
        <item sd="0" x="4"/>
        <item sd="0" x="1688"/>
        <item sd="0" x="3"/>
        <item sd="0" x="5"/>
        <item sd="0" x="6"/>
        <item sd="0" x="7"/>
        <item sd="0" x="8"/>
        <item sd="0" x="1689"/>
        <item sd="0" x="1690"/>
        <item sd="0" x="9"/>
        <item sd="0" x="10"/>
        <item sd="0" x="11"/>
        <item sd="0" x="12"/>
        <item x="13"/>
        <item x="1691"/>
        <item x="1554"/>
        <item x="1687"/>
        <item x="1627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58"/>
        <item x="1621"/>
        <item x="58"/>
        <item sd="0" x="59"/>
        <item sd="0" x="60"/>
        <item sd="0" x="61"/>
        <item sd="0" x="62"/>
        <item x="63"/>
        <item sd="0" x="64"/>
        <item sd="0" x="65"/>
        <item x="66"/>
        <item x="1638"/>
        <item x="1664"/>
        <item x="67"/>
        <item x="68"/>
        <item x="1665"/>
        <item x="69"/>
        <item x="71"/>
        <item x="73"/>
        <item x="72"/>
        <item x="70"/>
        <item x="1651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5"/>
        <item x="87"/>
        <item x="88"/>
        <item x="89"/>
        <item x="90"/>
        <item x="91"/>
        <item x="92"/>
        <item x="93"/>
        <item x="94"/>
        <item x="95"/>
        <item x="1661"/>
        <item x="96"/>
        <item x="97"/>
        <item x="98"/>
        <item x="100"/>
        <item x="101"/>
        <item x="102"/>
        <item x="103"/>
        <item x="104"/>
        <item x="105"/>
        <item x="106"/>
        <item x="107"/>
        <item x="109"/>
        <item x="110"/>
        <item x="111"/>
        <item x="112"/>
        <item x="113"/>
        <item x="114"/>
        <item x="99"/>
        <item x="108"/>
        <item x="115"/>
        <item x="116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17"/>
        <item x="118"/>
        <item x="119"/>
        <item x="120"/>
        <item x="121"/>
        <item x="1669"/>
        <item x="1659"/>
        <item x="1673"/>
        <item x="166"/>
        <item x="167"/>
        <item x="168"/>
        <item x="174"/>
        <item x="175"/>
        <item x="176"/>
        <item x="177"/>
        <item x="178"/>
        <item x="179"/>
        <item x="181"/>
        <item x="182"/>
        <item x="183"/>
        <item x="169"/>
        <item x="184"/>
        <item x="180"/>
        <item x="170"/>
        <item x="171"/>
        <item x="172"/>
        <item x="173"/>
        <item x="185"/>
        <item x="186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187"/>
        <item x="188"/>
        <item x="189"/>
        <item x="190"/>
        <item x="191"/>
        <item x="1670"/>
        <item x="1660"/>
        <item x="1674"/>
        <item x="236"/>
        <item x="237"/>
        <item x="251"/>
        <item x="252"/>
        <item x="253"/>
        <item x="254"/>
        <item x="255"/>
        <item x="256"/>
        <item x="257"/>
        <item x="258"/>
        <item x="259"/>
        <item x="260"/>
        <item x="243"/>
        <item x="261"/>
        <item x="262"/>
        <item x="263"/>
        <item x="264"/>
        <item x="265"/>
        <item x="266"/>
        <item x="267"/>
        <item x="268"/>
        <item x="269"/>
        <item x="270"/>
        <item x="244"/>
        <item x="271"/>
        <item x="272"/>
        <item x="273"/>
        <item x="274"/>
        <item x="275"/>
        <item x="276"/>
        <item x="277"/>
        <item x="278"/>
        <item x="279"/>
        <item x="280"/>
        <item x="245"/>
        <item x="281"/>
        <item x="282"/>
        <item x="283"/>
        <item x="284"/>
        <item x="285"/>
        <item x="286"/>
        <item x="238"/>
        <item x="239"/>
        <item x="240"/>
        <item x="241"/>
        <item x="246"/>
        <item x="242"/>
        <item x="247"/>
        <item x="248"/>
        <item x="249"/>
        <item x="250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5"/>
        <item x="336"/>
        <item x="337"/>
        <item x="338"/>
        <item x="339"/>
        <item x="340"/>
        <item x="341"/>
        <item x="342"/>
        <item x="343"/>
        <item x="330"/>
        <item x="331"/>
        <item x="332"/>
        <item x="333"/>
        <item x="334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84"/>
        <item x="376"/>
        <item x="377"/>
        <item x="378"/>
        <item x="379"/>
        <item x="380"/>
        <item x="381"/>
        <item x="382"/>
        <item x="383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20"/>
        <item x="421"/>
        <item x="422"/>
        <item x="423"/>
        <item x="424"/>
        <item x="425"/>
        <item x="426"/>
        <item x="427"/>
        <item x="428"/>
        <item x="429"/>
        <item x="412"/>
        <item x="430"/>
        <item x="431"/>
        <item x="432"/>
        <item x="433"/>
        <item x="434"/>
        <item x="435"/>
        <item x="436"/>
        <item x="437"/>
        <item x="438"/>
        <item x="439"/>
        <item x="413"/>
        <item x="440"/>
        <item x="441"/>
        <item x="442"/>
        <item x="443"/>
        <item x="444"/>
        <item x="445"/>
        <item x="446"/>
        <item x="447"/>
        <item x="448"/>
        <item x="449"/>
        <item x="414"/>
        <item x="450"/>
        <item x="451"/>
        <item x="452"/>
        <item x="453"/>
        <item x="454"/>
        <item x="455"/>
        <item x="407"/>
        <item x="408"/>
        <item x="409"/>
        <item x="410"/>
        <item x="415"/>
        <item x="411"/>
        <item x="416"/>
        <item x="417"/>
        <item x="418"/>
        <item x="419"/>
        <item x="456"/>
        <item x="457"/>
        <item x="467"/>
        <item x="468"/>
        <item x="469"/>
        <item x="470"/>
        <item x="471"/>
        <item x="472"/>
        <item x="458"/>
        <item x="459"/>
        <item x="460"/>
        <item x="461"/>
        <item x="462"/>
        <item x="463"/>
        <item x="464"/>
        <item x="465"/>
        <item x="466"/>
        <item x="473"/>
        <item x="474"/>
        <item x="475"/>
        <item x="489"/>
        <item x="490"/>
        <item x="491"/>
        <item x="492"/>
        <item x="493"/>
        <item x="494"/>
        <item x="495"/>
        <item x="496"/>
        <item x="497"/>
        <item x="498"/>
        <item x="481"/>
        <item x="499"/>
        <item x="500"/>
        <item x="501"/>
        <item x="502"/>
        <item x="503"/>
        <item x="504"/>
        <item x="505"/>
        <item x="506"/>
        <item x="507"/>
        <item x="508"/>
        <item x="482"/>
        <item x="509"/>
        <item x="510"/>
        <item x="511"/>
        <item x="512"/>
        <item x="513"/>
        <item x="514"/>
        <item x="515"/>
        <item x="516"/>
        <item x="517"/>
        <item x="518"/>
        <item x="483"/>
        <item x="519"/>
        <item x="520"/>
        <item x="521"/>
        <item x="522"/>
        <item x="523"/>
        <item x="524"/>
        <item x="484"/>
        <item x="476"/>
        <item x="477"/>
        <item x="478"/>
        <item x="479"/>
        <item x="480"/>
        <item x="485"/>
        <item x="486"/>
        <item x="487"/>
        <item x="488"/>
        <item x="525"/>
        <item x="526"/>
        <item x="535"/>
        <item x="536"/>
        <item x="537"/>
        <item x="538"/>
        <item x="539"/>
        <item x="540"/>
        <item x="541"/>
        <item x="527"/>
        <item x="528"/>
        <item x="529"/>
        <item x="530"/>
        <item x="531"/>
        <item x="532"/>
        <item x="533"/>
        <item x="534"/>
        <item x="542"/>
        <item x="543"/>
        <item x="557"/>
        <item x="558"/>
        <item x="559"/>
        <item x="560"/>
        <item x="561"/>
        <item x="562"/>
        <item x="563"/>
        <item x="564"/>
        <item x="565"/>
        <item x="566"/>
        <item x="549"/>
        <item x="567"/>
        <item x="568"/>
        <item x="569"/>
        <item x="570"/>
        <item x="571"/>
        <item x="572"/>
        <item x="573"/>
        <item x="574"/>
        <item x="575"/>
        <item x="576"/>
        <item x="550"/>
        <item x="577"/>
        <item x="578"/>
        <item x="579"/>
        <item x="580"/>
        <item x="581"/>
        <item x="582"/>
        <item x="583"/>
        <item x="584"/>
        <item x="585"/>
        <item x="586"/>
        <item x="551"/>
        <item x="587"/>
        <item x="588"/>
        <item x="589"/>
        <item x="590"/>
        <item x="591"/>
        <item x="592"/>
        <item x="552"/>
        <item x="544"/>
        <item x="545"/>
        <item x="546"/>
        <item x="547"/>
        <item x="548"/>
        <item x="553"/>
        <item x="554"/>
        <item x="555"/>
        <item x="556"/>
        <item x="593"/>
        <item x="594"/>
        <item x="603"/>
        <item x="604"/>
        <item x="605"/>
        <item x="606"/>
        <item x="607"/>
        <item x="608"/>
        <item x="609"/>
        <item x="595"/>
        <item x="596"/>
        <item x="597"/>
        <item x="598"/>
        <item x="599"/>
        <item x="600"/>
        <item x="601"/>
        <item x="602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1629"/>
        <item x="38"/>
        <item x="39"/>
        <item x="40"/>
        <item x="1217"/>
        <item x="1218"/>
        <item x="1219"/>
        <item x="1220"/>
        <item x="1221"/>
        <item x="1685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715"/>
        <item x="716"/>
        <item x="717"/>
        <item x="719"/>
        <item x="1631"/>
        <item x="1634"/>
        <item x="1635"/>
        <item x="1637"/>
        <item x="1667"/>
        <item x="1636"/>
        <item x="720"/>
        <item x="1632"/>
        <item x="1633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18"/>
        <item x="7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783"/>
        <item x="1697"/>
        <item x="1696"/>
        <item x="1695"/>
        <item x="1698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1647"/>
        <item x="1644"/>
        <item x="1650"/>
        <item x="1645"/>
        <item x="1668"/>
        <item x="1649"/>
        <item x="1648"/>
        <item x="1646"/>
        <item x="877"/>
        <item x="878"/>
        <item x="879"/>
        <item x="909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10"/>
        <item x="911"/>
        <item x="912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5"/>
        <item x="966"/>
        <item x="960"/>
        <item x="961"/>
        <item x="962"/>
        <item x="963"/>
        <item x="964"/>
        <item x="967"/>
        <item x="969"/>
        <item x="970"/>
        <item x="968"/>
        <item x="971"/>
        <item x="974"/>
        <item x="975"/>
        <item x="976"/>
        <item x="977"/>
        <item x="978"/>
        <item x="972"/>
        <item x="973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630"/>
        <item x="1639"/>
        <item x="990"/>
        <item x="991"/>
        <item x="992"/>
        <item x="993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9"/>
        <item x="1030"/>
        <item x="1031"/>
        <item x="1032"/>
        <item x="1023"/>
        <item x="1033"/>
        <item x="1024"/>
        <item x="1025"/>
        <item x="1026"/>
        <item x="1027"/>
        <item x="1028"/>
        <item x="1034"/>
        <item x="1035"/>
        <item x="1036"/>
        <item x="1045"/>
        <item x="1046"/>
        <item x="1047"/>
        <item x="1048"/>
        <item x="1049"/>
        <item x="1050"/>
        <item x="1051"/>
        <item x="1052"/>
        <item x="1037"/>
        <item x="1038"/>
        <item x="1039"/>
        <item x="1040"/>
        <item x="1041"/>
        <item x="1042"/>
        <item x="1043"/>
        <item x="1044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8"/>
        <item x="1069"/>
        <item x="1070"/>
        <item x="1071"/>
        <item x="1064"/>
        <item x="1065"/>
        <item x="1066"/>
        <item x="1067"/>
        <item x="1072"/>
        <item x="1073"/>
        <item x="1082"/>
        <item x="1083"/>
        <item x="1084"/>
        <item x="1085"/>
        <item x="1086"/>
        <item x="1074"/>
        <item x="1075"/>
        <item x="1076"/>
        <item x="1077"/>
        <item x="1078"/>
        <item x="1079"/>
        <item x="1080"/>
        <item x="1081"/>
        <item x="1087"/>
        <item x="1088"/>
        <item x="1095"/>
        <item x="1096"/>
        <item x="1097"/>
        <item x="1098"/>
        <item x="1100"/>
        <item x="1101"/>
        <item x="1102"/>
        <item x="1103"/>
        <item x="1099"/>
        <item x="1089"/>
        <item x="1090"/>
        <item x="1091"/>
        <item x="1092"/>
        <item x="1093"/>
        <item x="1094"/>
        <item x="1104"/>
        <item x="1105"/>
        <item x="1106"/>
        <item x="1115"/>
        <item x="1116"/>
        <item x="1117"/>
        <item x="1118"/>
        <item x="1119"/>
        <item x="1120"/>
        <item x="1121"/>
        <item x="1122"/>
        <item x="1123"/>
        <item x="1124"/>
        <item x="1107"/>
        <item x="1125"/>
        <item x="1126"/>
        <item x="1127"/>
        <item x="1128"/>
        <item x="1129"/>
        <item x="1130"/>
        <item x="1131"/>
        <item x="1132"/>
        <item x="1133"/>
        <item x="1134"/>
        <item x="1108"/>
        <item x="1135"/>
        <item x="1136"/>
        <item x="1137"/>
        <item x="1138"/>
        <item x="1139"/>
        <item x="1140"/>
        <item x="1141"/>
        <item x="1142"/>
        <item x="1143"/>
        <item x="1144"/>
        <item x="1109"/>
        <item x="1145"/>
        <item x="1146"/>
        <item x="1147"/>
        <item x="1148"/>
        <item x="1149"/>
        <item x="1150"/>
        <item x="1151"/>
        <item x="1152"/>
        <item x="1153"/>
        <item x="1154"/>
        <item x="1110"/>
        <item x="1155"/>
        <item x="1156"/>
        <item x="1157"/>
        <item x="1158"/>
        <item x="1159"/>
        <item x="1160"/>
        <item x="1161"/>
        <item x="1162"/>
        <item x="1163"/>
        <item x="1164"/>
        <item x="1111"/>
        <item x="1165"/>
        <item x="1166"/>
        <item x="1167"/>
        <item x="1168"/>
        <item x="1169"/>
        <item x="1170"/>
        <item x="1171"/>
        <item x="1172"/>
        <item x="1173"/>
        <item x="1174"/>
        <item x="1112"/>
        <item x="1175"/>
        <item x="1176"/>
        <item x="1177"/>
        <item x="1178"/>
        <item x="1179"/>
        <item x="1180"/>
        <item x="1181"/>
        <item x="1182"/>
        <item x="1183"/>
        <item x="1184"/>
        <item x="1113"/>
        <item x="1185"/>
        <item x="1186"/>
        <item x="1114"/>
        <item x="1187"/>
        <item x="1188"/>
        <item x="1189"/>
        <item x="1190"/>
        <item x="1191"/>
        <item x="1192"/>
        <item x="1193"/>
        <item x="1194"/>
        <item x="1195"/>
        <item x="1196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662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680"/>
        <item x="1682"/>
        <item x="1681"/>
        <item x="1671"/>
        <item x="1666"/>
        <item x="1683"/>
        <item x="162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1622"/>
      </items>
    </pivotField>
    <pivotField axis="axisRow" compact="0" outline="0" showAll="0">
      <items count="1626">
        <item x="1440"/>
        <item x="1339"/>
        <item x="14"/>
        <item x="26"/>
        <item x="27"/>
        <item x="28"/>
        <item x="29"/>
        <item x="30"/>
        <item x="31"/>
        <item x="32"/>
        <item x="33"/>
        <item x="34"/>
        <item x="35"/>
        <item x="36"/>
        <item x="1556"/>
        <item x="15"/>
        <item x="16"/>
        <item x="17"/>
        <item x="18"/>
        <item x="19"/>
        <item x="20"/>
        <item x="21"/>
        <item x="22"/>
        <item x="23"/>
        <item x="24"/>
        <item x="25"/>
        <item x="1038"/>
        <item x="1034"/>
        <item x="1032"/>
        <item x="1033"/>
        <item x="1036"/>
        <item x="1035"/>
        <item x="1039"/>
        <item x="10"/>
        <item x="11"/>
        <item x="9"/>
        <item x="1125"/>
        <item x="1165"/>
        <item x="1104"/>
        <item x="1103"/>
        <item x="1201"/>
        <item x="1410"/>
        <item x="1266"/>
        <item x="1592"/>
        <item x="47"/>
        <item x="44"/>
        <item x="2"/>
        <item x="982"/>
        <item x="981"/>
        <item x="1040"/>
        <item x="674"/>
        <item x="687"/>
        <item x="680"/>
        <item x="675"/>
        <item x="1203"/>
        <item x="1196"/>
        <item x="979"/>
        <item x="1122"/>
        <item x="1121"/>
        <item x="980"/>
        <item x="1100"/>
        <item x="1099"/>
        <item x="1102"/>
        <item x="1101"/>
        <item x="967"/>
        <item x="346"/>
        <item x="1501"/>
        <item x="1497"/>
        <item x="1498"/>
        <item x="1499"/>
        <item x="1519"/>
        <item x="1520"/>
        <item x="1521"/>
        <item x="1522"/>
        <item x="1523"/>
        <item x="1524"/>
        <item x="1526"/>
        <item x="1527"/>
        <item x="1528"/>
        <item x="1529"/>
        <item x="1530"/>
        <item x="1518"/>
        <item x="1484"/>
        <item x="1517"/>
        <item x="1513"/>
        <item x="1514"/>
        <item x="1516"/>
        <item x="1515"/>
        <item x="1485"/>
        <item x="1512"/>
        <item x="1511"/>
        <item x="1510"/>
        <item x="1612"/>
        <item x="1525"/>
        <item x="1503"/>
        <item x="1504"/>
        <item x="1505"/>
        <item x="1506"/>
        <item x="1507"/>
        <item x="1509"/>
        <item x="1508"/>
        <item x="1502"/>
        <item x="1491"/>
        <item x="1492"/>
        <item x="1493"/>
        <item x="1490"/>
        <item x="1500"/>
        <item x="1494"/>
        <item x="1495"/>
        <item x="1496"/>
        <item x="1488"/>
        <item x="1489"/>
        <item x="1487"/>
        <item x="1486"/>
        <item x="1532"/>
        <item x="1533"/>
        <item x="1535"/>
        <item x="1534"/>
        <item x="1531"/>
        <item x="1536"/>
        <item x="1538"/>
        <item x="1544"/>
        <item x="1540"/>
        <item x="1542"/>
        <item x="1537"/>
        <item x="1543"/>
        <item x="1539"/>
        <item x="1541"/>
        <item x="1554"/>
        <item x="1483"/>
        <item x="1482"/>
        <item x="1256"/>
        <item x="1402"/>
        <item x="350"/>
        <item x="351"/>
        <item x="352"/>
        <item x="347"/>
        <item x="349"/>
        <item x="348"/>
        <item x="1303"/>
        <item x="1624"/>
        <item x="1001"/>
        <item x="1006"/>
        <item x="1003"/>
        <item x="1002"/>
        <item x="1005"/>
        <item x="1004"/>
        <item x="1372"/>
        <item x="1606"/>
        <item x="1042"/>
        <item x="1549"/>
        <item x="56"/>
        <item x="1008"/>
        <item x="1009"/>
        <item x="1011"/>
        <item x="1010"/>
        <item x="1"/>
        <item x="1113"/>
        <item x="1112"/>
        <item x="48"/>
        <item x="49"/>
        <item x="50"/>
        <item x="695"/>
        <item x="1550"/>
        <item x="1598"/>
        <item x="956"/>
        <item x="326"/>
        <item x="327"/>
        <item x="328"/>
        <item x="329"/>
        <item x="1313"/>
        <item x="1311"/>
        <item x="1277"/>
        <item x="1270"/>
        <item x="1271"/>
        <item x="1272"/>
        <item x="1267"/>
        <item x="1268"/>
        <item x="1269"/>
        <item x="1306"/>
        <item x="1307"/>
        <item x="1284"/>
        <item x="1258"/>
        <item x="1257"/>
        <item x="1243"/>
        <item x="1242"/>
        <item x="1304"/>
        <item x="1305"/>
        <item x="1312"/>
        <item x="1246"/>
        <item x="1248"/>
        <item x="1308"/>
        <item x="1273"/>
        <item x="1274"/>
        <item x="1275"/>
        <item x="1276"/>
        <item x="1260"/>
        <item x="1262"/>
        <item x="1302"/>
        <item x="1301"/>
        <item x="1300"/>
        <item x="1299"/>
        <item x="1254"/>
        <item x="1253"/>
        <item x="1255"/>
        <item x="1286"/>
        <item x="1287"/>
        <item x="1288"/>
        <item x="1293"/>
        <item x="1296"/>
        <item x="1295"/>
        <item x="1297"/>
        <item x="1236"/>
        <item x="1237"/>
        <item x="1234"/>
        <item x="1235"/>
        <item x="1314"/>
        <item x="1310"/>
        <item x="1309"/>
        <item x="1264"/>
        <item x="1265"/>
        <item x="1239"/>
        <item x="1240"/>
        <item x="1588"/>
        <item x="1278"/>
        <item x="1279"/>
        <item x="1280"/>
        <item x="1281"/>
        <item x="1282"/>
        <item x="1283"/>
        <item x="1289"/>
        <item x="1292"/>
        <item x="1290"/>
        <item x="1291"/>
        <item x="1245"/>
        <item x="1247"/>
        <item x="1251"/>
        <item x="1249"/>
        <item x="1250"/>
        <item x="1481"/>
        <item x="1480"/>
        <item x="1348"/>
        <item x="1230"/>
        <item x="370"/>
        <item x="606"/>
        <item x="470"/>
        <item x="521"/>
        <item x="1167"/>
        <item x="538"/>
        <item x="589"/>
        <item x="93"/>
        <item x="401"/>
        <item x="452"/>
        <item x="1241"/>
        <item x="673"/>
        <item x="971"/>
        <item x="968"/>
        <item x="970"/>
        <item x="972"/>
        <item x="969"/>
        <item x="966"/>
        <item x="977"/>
        <item x="975"/>
        <item x="976"/>
        <item x="995"/>
        <item x="996"/>
        <item x="997"/>
        <item x="992"/>
        <item x="993"/>
        <item x="994"/>
        <item x="1455"/>
        <item x="1458"/>
        <item x="1454"/>
        <item x="1467"/>
        <item x="1457"/>
        <item x="1453"/>
        <item x="1468"/>
        <item x="1474"/>
        <item x="1475"/>
        <item x="1471"/>
        <item x="1472"/>
        <item x="1473"/>
        <item x="1470"/>
        <item x="1476"/>
        <item x="1469"/>
        <item x="1465"/>
        <item x="1456"/>
        <item x="1451"/>
        <item x="1452"/>
        <item x="1460"/>
        <item x="1463"/>
        <item x="1461"/>
        <item x="1462"/>
        <item x="1466"/>
        <item x="1589"/>
        <item x="1449"/>
        <item x="1445"/>
        <item x="1448"/>
        <item x="1446"/>
        <item x="1447"/>
        <item x="1441"/>
        <item x="1444"/>
        <item x="1442"/>
        <item x="1443"/>
        <item x="46"/>
        <item x="42"/>
        <item x="45"/>
        <item x="1342"/>
        <item x="1346"/>
        <item x="1356"/>
        <item x="1344"/>
        <item x="1357"/>
        <item x="1380"/>
        <item x="1349"/>
        <item x="1363"/>
        <item x="1352"/>
        <item x="1353"/>
        <item x="1350"/>
        <item x="1351"/>
        <item x="1354"/>
        <item x="1347"/>
        <item x="1362"/>
        <item x="1369"/>
        <item x="1370"/>
        <item x="1366"/>
        <item x="1367"/>
        <item x="1368"/>
        <item x="1365"/>
        <item x="1371"/>
        <item x="957"/>
        <item x="1124"/>
        <item x="1123"/>
        <item x="307"/>
        <item x="697"/>
        <item x="698"/>
        <item x="694"/>
        <item x="696"/>
        <item x="363"/>
        <item x="365"/>
        <item x="364"/>
        <item x="1159"/>
        <item x="1605"/>
        <item x="1130"/>
        <item x="1064"/>
        <item x="1182"/>
        <item x="1183"/>
        <item x="1161"/>
        <item x="291"/>
        <item x="1095"/>
        <item x="1140"/>
        <item x="371"/>
        <item x="1028"/>
        <item x="1077"/>
        <item x="1073"/>
        <item x="1074"/>
        <item x="1075"/>
        <item x="1072"/>
        <item x="1076"/>
        <item x="1080"/>
        <item x="1079"/>
        <item x="1160"/>
        <item x="1133"/>
        <item x="1166"/>
        <item x="1139"/>
        <item x="399"/>
        <item x="1566"/>
        <item x="1185"/>
        <item x="1063"/>
        <item x="1184"/>
        <item x="1608"/>
        <item x="1059"/>
        <item x="1057"/>
        <item x="706"/>
        <item x="708"/>
        <item x="707"/>
        <item x="316"/>
        <item x="317"/>
        <item x="1131"/>
        <item x="71"/>
        <item x="1191"/>
        <item x="1204"/>
        <item x="1197"/>
        <item x="1055"/>
        <item x="1054"/>
        <item x="1053"/>
        <item x="1164"/>
        <item x="55"/>
        <item x="74"/>
        <item x="75"/>
        <item x="705"/>
        <item x="700"/>
        <item x="12"/>
        <item x="699"/>
        <item x="1147"/>
        <item x="1555"/>
        <item x="1148"/>
        <item x="1061"/>
        <item x="1213"/>
        <item x="1214"/>
        <item x="1062"/>
        <item x="861"/>
        <item x="862"/>
        <item x="864"/>
        <item x="867"/>
        <item x="868"/>
        <item x="865"/>
        <item x="863"/>
        <item x="866"/>
        <item x="1138"/>
        <item x="1168"/>
        <item x="952"/>
        <item x="1174"/>
        <item x="654"/>
        <item x="657"/>
        <item x="655"/>
        <item x="658"/>
        <item x="656"/>
        <item x="659"/>
        <item x="648"/>
        <item x="651"/>
        <item x="649"/>
        <item x="652"/>
        <item x="650"/>
        <item x="653"/>
        <item x="608"/>
        <item x="1619"/>
        <item x="1618"/>
        <item x="1617"/>
        <item x="607"/>
        <item x="92"/>
        <item x="115"/>
        <item x="116"/>
        <item x="112"/>
        <item x="122"/>
        <item x="117"/>
        <item x="118"/>
        <item x="113"/>
        <item x="119"/>
        <item x="114"/>
        <item x="120"/>
        <item x="121"/>
        <item x="1595"/>
        <item x="127"/>
        <item x="134"/>
        <item x="135"/>
        <item x="128"/>
        <item x="136"/>
        <item x="137"/>
        <item x="129"/>
        <item x="130"/>
        <item x="131"/>
        <item x="132"/>
        <item x="133"/>
        <item x="123"/>
        <item x="124"/>
        <item x="125"/>
        <item x="126"/>
        <item x="1585"/>
        <item x="138"/>
        <item x="145"/>
        <item x="146"/>
        <item x="139"/>
        <item x="147"/>
        <item x="148"/>
        <item x="140"/>
        <item x="141"/>
        <item x="142"/>
        <item x="143"/>
        <item x="144"/>
        <item x="149"/>
        <item x="156"/>
        <item x="157"/>
        <item x="150"/>
        <item x="158"/>
        <item x="159"/>
        <item x="151"/>
        <item x="152"/>
        <item x="153"/>
        <item x="154"/>
        <item x="155"/>
        <item x="1599"/>
        <item x="160"/>
        <item x="161"/>
        <item x="111"/>
        <item x="103"/>
        <item x="95"/>
        <item x="96"/>
        <item x="97"/>
        <item x="98"/>
        <item x="99"/>
        <item x="100"/>
        <item x="101"/>
        <item x="102"/>
        <item x="94"/>
        <item x="107"/>
        <item x="108"/>
        <item x="109"/>
        <item x="110"/>
        <item x="104"/>
        <item x="105"/>
        <item x="106"/>
        <item x="711"/>
        <item x="776"/>
        <item x="1157"/>
        <item x="1065"/>
        <item x="1128"/>
        <item x="1150"/>
        <item x="1176"/>
        <item x="1142"/>
        <item x="1090"/>
        <item x="1085"/>
        <item x="1086"/>
        <item x="1087"/>
        <item x="1088"/>
        <item x="309"/>
        <item x="1089"/>
        <item x="1144"/>
        <item x="1082"/>
        <item x="1083"/>
        <item x="1084"/>
        <item x="635"/>
        <item x="636"/>
        <item x="637"/>
        <item x="1579"/>
        <item x="638"/>
        <item x="639"/>
        <item x="1602"/>
        <item x="640"/>
        <item x="641"/>
        <item x="642"/>
        <item x="643"/>
        <item x="644"/>
        <item x="645"/>
        <item x="1582"/>
        <item x="1580"/>
        <item x="1604"/>
        <item x="1552"/>
        <item x="1551"/>
        <item x="1583"/>
        <item x="308"/>
        <item x="1205"/>
        <item x="1135"/>
        <item x="1136"/>
        <item x="1078"/>
        <item x="1091"/>
        <item x="1023"/>
        <item x="1024"/>
        <item x="984"/>
        <item x="985"/>
        <item x="40"/>
        <item x="660"/>
        <item x="663"/>
        <item x="661"/>
        <item x="664"/>
        <item x="662"/>
        <item x="665"/>
        <item x="666"/>
        <item x="310"/>
        <item x="1163"/>
        <item x="1129"/>
        <item x="1187"/>
        <item x="1060"/>
        <item x="1058"/>
        <item x="609"/>
        <item x="610"/>
        <item x="611"/>
        <item x="612"/>
        <item x="613"/>
        <item x="614"/>
        <item x="615"/>
        <item x="616"/>
        <item x="617"/>
        <item x="618"/>
        <item x="1000"/>
        <item x="998"/>
        <item x="999"/>
        <item x="322"/>
        <item x="323"/>
        <item x="320"/>
        <item x="321"/>
        <item x="318"/>
        <item x="389"/>
        <item x="1081"/>
        <item x="709"/>
        <item x="951"/>
        <item x="1158"/>
        <item x="1068"/>
        <item x="1069"/>
        <item x="1070"/>
        <item x="1067"/>
        <item x="1071"/>
        <item x="846"/>
        <item x="848"/>
        <item x="849"/>
        <item x="847"/>
        <item x="850"/>
        <item x="856"/>
        <item x="858"/>
        <item x="859"/>
        <item x="857"/>
        <item x="860"/>
        <item x="841"/>
        <item x="843"/>
        <item x="844"/>
        <item x="842"/>
        <item x="845"/>
        <item x="851"/>
        <item x="853"/>
        <item x="854"/>
        <item x="852"/>
        <item x="855"/>
        <item x="1207"/>
        <item x="292"/>
        <item x="619"/>
        <item x="620"/>
        <item x="621"/>
        <item x="622"/>
        <item x="623"/>
        <item x="624"/>
        <item x="625"/>
        <item x="626"/>
        <item x="627"/>
        <item x="628"/>
        <item x="1611"/>
        <item x="1567"/>
        <item x="1568"/>
        <item x="1601"/>
        <item x="630"/>
        <item x="632"/>
        <item x="633"/>
        <item x="634"/>
        <item x="631"/>
        <item x="629"/>
        <item x="1186"/>
        <item x="396"/>
        <item x="701"/>
        <item x="702"/>
        <item x="283"/>
        <item x="300"/>
        <item x="301"/>
        <item x="298"/>
        <item x="296"/>
        <item x="297"/>
        <item x="295"/>
        <item x="72"/>
        <item x="1115"/>
        <item x="1114"/>
        <item x="1175"/>
        <item x="1092"/>
        <item x="1118"/>
        <item x="1119"/>
        <item x="1120"/>
        <item x="1052"/>
        <item x="57"/>
        <item x="1565"/>
        <item x="60"/>
        <item x="58"/>
        <item x="1590"/>
        <item x="62"/>
        <item x="59"/>
        <item x="61"/>
        <item x="80"/>
        <item x="1177"/>
        <item x="1178"/>
        <item x="1179"/>
        <item x="1173"/>
        <item x="1127"/>
        <item x="1171"/>
        <item x="1097"/>
        <item x="1096"/>
        <item x="1156"/>
        <item x="1170"/>
        <item x="688"/>
        <item x="681"/>
        <item x="689"/>
        <item x="682"/>
        <item x="690"/>
        <item x="683"/>
        <item x="691"/>
        <item x="684"/>
        <item x="692"/>
        <item x="685"/>
        <item x="693"/>
        <item x="686"/>
        <item x="703"/>
        <item x="704"/>
        <item x="1199"/>
        <item x="1208"/>
        <item x="1209"/>
        <item x="398"/>
        <item x="304"/>
        <item x="366"/>
        <item x="367"/>
        <item x="368"/>
        <item x="369"/>
        <item x="1134"/>
        <item x="1094"/>
        <item x="1093"/>
        <item x="1195"/>
        <item x="1194"/>
        <item x="1193"/>
        <item x="392"/>
        <item x="391"/>
        <item x="393"/>
        <item x="394"/>
        <item x="395"/>
        <item x="1111"/>
        <item x="1110"/>
        <item x="1169"/>
        <item x="1143"/>
        <item x="1021"/>
        <item x="1180"/>
        <item x="1098"/>
        <item x="387"/>
        <item x="944"/>
        <item x="945"/>
        <item x="943"/>
        <item x="946"/>
        <item x="938"/>
        <item x="939"/>
        <item x="937"/>
        <item x="940"/>
        <item x="81"/>
        <item x="73"/>
        <item x="1145"/>
        <item x="1146"/>
        <item x="1047"/>
        <item x="1202"/>
        <item x="1141"/>
        <item x="1126"/>
        <item x="1153"/>
        <item x="1154"/>
        <item x="1155"/>
        <item x="1151"/>
        <item x="1152"/>
        <item x="299"/>
        <item x="284"/>
        <item x="1149"/>
        <item x="1581"/>
        <item x="1569"/>
        <item x="1570"/>
        <item x="1603"/>
        <item x="294"/>
        <item x="383"/>
        <item x="382"/>
        <item x="70"/>
        <item x="384"/>
        <item x="385"/>
        <item x="386"/>
        <item x="1162"/>
        <item x="388"/>
        <item x="379"/>
        <item x="380"/>
        <item x="375"/>
        <item x="376"/>
        <item x="377"/>
        <item x="378"/>
        <item x="372"/>
        <item x="374"/>
        <item x="373"/>
        <item x="1172"/>
        <item x="1051"/>
        <item x="1132"/>
        <item x="1188"/>
        <item x="1189"/>
        <item x="1181"/>
        <item x="1137"/>
        <item x="1212"/>
        <item x="1014"/>
        <item x="1623"/>
        <item x="1622"/>
        <item x="1621"/>
        <item x="1620"/>
        <item x="718"/>
        <item x="750"/>
        <item x="719"/>
        <item x="751"/>
        <item x="712"/>
        <item x="744"/>
        <item x="713"/>
        <item x="745"/>
        <item x="720"/>
        <item x="752"/>
        <item x="721"/>
        <item x="753"/>
        <item x="722"/>
        <item x="754"/>
        <item x="723"/>
        <item x="755"/>
        <item x="724"/>
        <item x="756"/>
        <item x="725"/>
        <item x="757"/>
        <item x="726"/>
        <item x="758"/>
        <item x="727"/>
        <item x="759"/>
        <item x="728"/>
        <item x="760"/>
        <item x="729"/>
        <item x="761"/>
        <item x="730"/>
        <item x="762"/>
        <item x="731"/>
        <item x="763"/>
        <item x="732"/>
        <item x="764"/>
        <item x="733"/>
        <item x="765"/>
        <item x="734"/>
        <item x="766"/>
        <item x="735"/>
        <item x="767"/>
        <item x="736"/>
        <item x="768"/>
        <item x="737"/>
        <item x="769"/>
        <item x="738"/>
        <item x="770"/>
        <item x="739"/>
        <item x="771"/>
        <item x="740"/>
        <item x="772"/>
        <item x="741"/>
        <item x="773"/>
        <item x="714"/>
        <item x="746"/>
        <item x="715"/>
        <item x="747"/>
        <item x="742"/>
        <item x="774"/>
        <item x="743"/>
        <item x="775"/>
        <item x="716"/>
        <item x="748"/>
        <item x="717"/>
        <item x="749"/>
        <item x="1563"/>
        <item x="1558"/>
        <item x="1561"/>
        <item x="1559"/>
        <item x="1560"/>
        <item x="1562"/>
        <item x="1564"/>
        <item x="1593"/>
        <item x="1381"/>
        <item x="1382"/>
        <item x="1018"/>
        <item x="1450"/>
        <item x="1459"/>
        <item x="1464"/>
        <item x="319"/>
        <item x="5"/>
        <item x="8"/>
        <item x="1614"/>
        <item x="0"/>
        <item x="1597"/>
        <item x="1335"/>
        <item x="1338"/>
        <item x="1336"/>
        <item x="1337"/>
        <item x="1331"/>
        <item x="1334"/>
        <item x="1332"/>
        <item x="1333"/>
        <item x="1316"/>
        <item x="1319"/>
        <item x="1317"/>
        <item x="1318"/>
        <item x="1320"/>
        <item x="1324"/>
        <item x="1327"/>
        <item x="1325"/>
        <item x="1326"/>
        <item x="1323"/>
        <item x="1321"/>
        <item x="1322"/>
        <item x="64"/>
        <item x="1578"/>
        <item x="69"/>
        <item x="65"/>
        <item x="1591"/>
        <item x="66"/>
        <item x="67"/>
        <item x="68"/>
        <item x="43"/>
        <item x="1477"/>
        <item x="1210"/>
        <item x="1211"/>
        <item x="668"/>
        <item x="670"/>
        <item x="671"/>
        <item x="672"/>
        <item x="669"/>
        <item x="1012"/>
        <item x="1013"/>
        <item x="1231"/>
        <item x="1377"/>
        <item x="1376"/>
        <item x="1375"/>
        <item x="1373"/>
        <item x="1374"/>
        <item x="783"/>
        <item x="815"/>
        <item x="784"/>
        <item x="816"/>
        <item x="777"/>
        <item x="809"/>
        <item x="778"/>
        <item x="810"/>
        <item x="785"/>
        <item x="817"/>
        <item x="786"/>
        <item x="818"/>
        <item x="787"/>
        <item x="819"/>
        <item x="788"/>
        <item x="820"/>
        <item x="789"/>
        <item x="821"/>
        <item x="790"/>
        <item x="822"/>
        <item x="791"/>
        <item x="823"/>
        <item x="792"/>
        <item x="824"/>
        <item x="793"/>
        <item x="825"/>
        <item x="794"/>
        <item x="826"/>
        <item x="795"/>
        <item x="827"/>
        <item x="796"/>
        <item x="828"/>
        <item x="797"/>
        <item x="829"/>
        <item x="798"/>
        <item x="830"/>
        <item x="799"/>
        <item x="831"/>
        <item x="800"/>
        <item x="832"/>
        <item x="801"/>
        <item x="833"/>
        <item x="802"/>
        <item x="834"/>
        <item x="803"/>
        <item x="835"/>
        <item x="804"/>
        <item x="836"/>
        <item x="805"/>
        <item x="837"/>
        <item x="806"/>
        <item x="838"/>
        <item x="779"/>
        <item x="811"/>
        <item x="780"/>
        <item x="812"/>
        <item x="807"/>
        <item x="839"/>
        <item x="808"/>
        <item x="781"/>
        <item x="813"/>
        <item x="782"/>
        <item x="814"/>
        <item x="840"/>
        <item x="232"/>
        <item x="181"/>
        <item x="163"/>
        <item x="1031"/>
        <item x="1044"/>
        <item x="1553"/>
        <item x="1046"/>
        <item x="1045"/>
        <item x="962"/>
        <item x="963"/>
        <item x="964"/>
        <item x="947"/>
        <item x="941"/>
        <item x="1107"/>
        <item x="1106"/>
        <item x="1358"/>
        <item x="1360"/>
        <item x="1359"/>
        <item x="1378"/>
        <item x="1379"/>
        <item x="1328"/>
        <item x="1330"/>
        <item x="1329"/>
        <item x="1479"/>
        <item x="1478"/>
        <item x="1341"/>
        <item x="710"/>
        <item x="405"/>
        <item x="406"/>
        <item x="402"/>
        <item x="412"/>
        <item x="407"/>
        <item x="408"/>
        <item x="403"/>
        <item x="409"/>
        <item x="404"/>
        <item x="410"/>
        <item x="411"/>
        <item x="417"/>
        <item x="424"/>
        <item x="425"/>
        <item x="418"/>
        <item x="426"/>
        <item x="427"/>
        <item x="419"/>
        <item x="420"/>
        <item x="421"/>
        <item x="422"/>
        <item x="423"/>
        <item x="413"/>
        <item x="414"/>
        <item x="415"/>
        <item x="416"/>
        <item x="428"/>
        <item x="435"/>
        <item x="436"/>
        <item x="429"/>
        <item x="437"/>
        <item x="438"/>
        <item x="430"/>
        <item x="431"/>
        <item x="432"/>
        <item x="433"/>
        <item x="434"/>
        <item x="439"/>
        <item x="446"/>
        <item x="447"/>
        <item x="440"/>
        <item x="448"/>
        <item x="449"/>
        <item x="441"/>
        <item x="442"/>
        <item x="443"/>
        <item x="444"/>
        <item x="445"/>
        <item x="450"/>
        <item x="451"/>
        <item x="462"/>
        <item x="454"/>
        <item x="455"/>
        <item x="456"/>
        <item x="457"/>
        <item x="458"/>
        <item x="459"/>
        <item x="460"/>
        <item x="461"/>
        <item x="453"/>
        <item x="465"/>
        <item x="466"/>
        <item x="467"/>
        <item x="468"/>
        <item x="463"/>
        <item x="464"/>
        <item x="400"/>
        <item x="667"/>
        <item x="1022"/>
        <item x="1026"/>
        <item x="1027"/>
        <item x="1117"/>
        <item x="1116"/>
        <item x="1384"/>
        <item x="1315"/>
        <item x="1364"/>
        <item x="1355"/>
        <item x="1361"/>
        <item x="1340"/>
        <item x="1345"/>
        <item x="1343"/>
        <item x="162"/>
        <item x="469"/>
        <item x="1232"/>
        <item x="4"/>
        <item x="3"/>
        <item x="1613"/>
        <item x="1383"/>
        <item x="942"/>
        <item x="948"/>
        <item x="950"/>
        <item x="949"/>
        <item x="869"/>
        <item x="1576"/>
        <item x="1574"/>
        <item x="1571"/>
        <item x="1575"/>
        <item x="1573"/>
        <item x="1577"/>
        <item x="1572"/>
        <item x="1594"/>
        <item x="870"/>
        <item x="910"/>
        <item x="911"/>
        <item x="904"/>
        <item x="905"/>
        <item x="912"/>
        <item x="913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06"/>
        <item x="907"/>
        <item x="934"/>
        <item x="935"/>
        <item x="909"/>
        <item x="914"/>
        <item x="877"/>
        <item x="878"/>
        <item x="871"/>
        <item x="872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873"/>
        <item x="874"/>
        <item x="901"/>
        <item x="902"/>
        <item x="875"/>
        <item x="876"/>
        <item x="908"/>
        <item x="903"/>
        <item x="936"/>
        <item x="1244"/>
        <item x="324"/>
        <item x="1206"/>
        <item x="397"/>
        <item x="303"/>
        <item x="360"/>
        <item x="356"/>
        <item x="357"/>
        <item x="358"/>
        <item x="359"/>
        <item x="361"/>
        <item x="354"/>
        <item x="355"/>
        <item x="353"/>
        <item x="1007"/>
        <item x="302"/>
        <item x="311"/>
        <item x="1037"/>
        <item x="990"/>
        <item x="989"/>
        <item x="991"/>
        <item x="1557"/>
        <item x="987"/>
        <item x="986"/>
        <item x="988"/>
        <item x="1192"/>
        <item x="41"/>
        <item x="305"/>
        <item x="390"/>
        <item x="1109"/>
        <item x="1108"/>
        <item x="1259"/>
        <item x="1056"/>
        <item x="1048"/>
        <item x="1261"/>
        <item x="1298"/>
        <item x="1252"/>
        <item x="1190"/>
        <item x="63"/>
        <item x="51"/>
        <item x="1050"/>
        <item x="1049"/>
        <item x="1030"/>
        <item x="1105"/>
        <item x="1294"/>
        <item x="1546"/>
        <item x="1584"/>
        <item x="1547"/>
        <item x="1233"/>
        <item x="344"/>
        <item x="345"/>
        <item x="341"/>
        <item x="342"/>
        <item x="343"/>
        <item x="340"/>
        <item x="953"/>
        <item x="954"/>
        <item x="955"/>
        <item x="958"/>
        <item x="959"/>
        <item x="960"/>
        <item x="676"/>
        <item x="677"/>
        <item x="678"/>
        <item x="679"/>
        <item x="1607"/>
        <item x="974"/>
        <item x="52"/>
        <item x="53"/>
        <item x="1029"/>
        <item x="978"/>
        <item x="77"/>
        <item x="1066"/>
        <item x="961"/>
        <item x="965"/>
        <item x="973"/>
        <item x="314"/>
        <item x="285"/>
        <item x="286"/>
        <item x="287"/>
        <item x="84"/>
        <item x="82"/>
        <item x="83"/>
        <item x="1609"/>
        <item x="288"/>
        <item x="289"/>
        <item x="315"/>
        <item x="313"/>
        <item x="312"/>
        <item x="306"/>
        <item x="78"/>
        <item x="76"/>
        <item x="1587"/>
        <item x="646"/>
        <item x="647"/>
        <item x="1015"/>
        <item x="983"/>
        <item x="290"/>
        <item x="1616"/>
        <item x="1407"/>
        <item x="1263"/>
        <item x="1200"/>
        <item x="236"/>
        <item x="186"/>
        <item x="237"/>
        <item x="182"/>
        <item x="233"/>
        <item x="192"/>
        <item x="243"/>
        <item x="187"/>
        <item x="238"/>
        <item x="188"/>
        <item x="239"/>
        <item x="183"/>
        <item x="234"/>
        <item x="189"/>
        <item x="240"/>
        <item x="184"/>
        <item x="235"/>
        <item x="190"/>
        <item x="241"/>
        <item x="191"/>
        <item x="242"/>
        <item x="1596"/>
        <item x="185"/>
        <item x="197"/>
        <item x="248"/>
        <item x="204"/>
        <item x="255"/>
        <item x="205"/>
        <item x="256"/>
        <item x="198"/>
        <item x="249"/>
        <item x="206"/>
        <item x="257"/>
        <item x="207"/>
        <item x="258"/>
        <item x="199"/>
        <item x="250"/>
        <item x="200"/>
        <item x="251"/>
        <item x="201"/>
        <item x="252"/>
        <item x="202"/>
        <item x="253"/>
        <item x="203"/>
        <item x="254"/>
        <item x="193"/>
        <item x="244"/>
        <item x="194"/>
        <item x="245"/>
        <item x="195"/>
        <item x="246"/>
        <item x="196"/>
        <item x="247"/>
        <item x="1586"/>
        <item x="208"/>
        <item x="259"/>
        <item x="215"/>
        <item x="266"/>
        <item x="216"/>
        <item x="267"/>
        <item x="209"/>
        <item x="260"/>
        <item x="217"/>
        <item x="268"/>
        <item x="218"/>
        <item x="269"/>
        <item x="210"/>
        <item x="261"/>
        <item x="211"/>
        <item x="262"/>
        <item x="212"/>
        <item x="263"/>
        <item x="213"/>
        <item x="264"/>
        <item x="214"/>
        <item x="265"/>
        <item x="219"/>
        <item x="270"/>
        <item x="226"/>
        <item x="277"/>
        <item x="227"/>
        <item x="278"/>
        <item x="220"/>
        <item x="271"/>
        <item x="228"/>
        <item x="279"/>
        <item x="229"/>
        <item x="280"/>
        <item x="221"/>
        <item x="272"/>
        <item x="222"/>
        <item x="273"/>
        <item x="223"/>
        <item x="274"/>
        <item x="224"/>
        <item x="275"/>
        <item x="225"/>
        <item x="276"/>
        <item x="1600"/>
        <item x="230"/>
        <item x="281"/>
        <item x="231"/>
        <item x="282"/>
        <item x="175"/>
        <item x="180"/>
        <item x="164"/>
        <item x="165"/>
        <item x="171"/>
        <item x="172"/>
        <item x="173"/>
        <item x="166"/>
        <item x="174"/>
        <item x="170"/>
        <item x="167"/>
        <item x="179"/>
        <item x="168"/>
        <item x="169"/>
        <item x="176"/>
        <item x="177"/>
        <item x="178"/>
        <item x="86"/>
        <item x="87"/>
        <item x="88"/>
        <item x="89"/>
        <item x="90"/>
        <item x="91"/>
        <item x="7"/>
        <item x="6"/>
        <item x="1041"/>
        <item x="1610"/>
        <item x="1615"/>
        <item x="79"/>
        <item x="539"/>
        <item x="471"/>
        <item x="481"/>
        <item x="545"/>
        <item x="477"/>
        <item x="546"/>
        <item x="478"/>
        <item x="547"/>
        <item x="479"/>
        <item x="548"/>
        <item x="480"/>
        <item x="554"/>
        <item x="486"/>
        <item x="561"/>
        <item x="493"/>
        <item x="562"/>
        <item x="494"/>
        <item x="555"/>
        <item x="487"/>
        <item x="563"/>
        <item x="495"/>
        <item x="564"/>
        <item x="496"/>
        <item x="556"/>
        <item x="488"/>
        <item x="557"/>
        <item x="489"/>
        <item x="558"/>
        <item x="490"/>
        <item x="559"/>
        <item x="491"/>
        <item x="560"/>
        <item x="492"/>
        <item x="550"/>
        <item x="482"/>
        <item x="551"/>
        <item x="483"/>
        <item x="552"/>
        <item x="484"/>
        <item x="553"/>
        <item x="485"/>
        <item x="565"/>
        <item x="497"/>
        <item x="572"/>
        <item x="504"/>
        <item x="573"/>
        <item x="505"/>
        <item x="566"/>
        <item x="498"/>
        <item x="574"/>
        <item x="506"/>
        <item x="575"/>
        <item x="507"/>
        <item x="567"/>
        <item x="499"/>
        <item x="568"/>
        <item x="500"/>
        <item x="569"/>
        <item x="501"/>
        <item x="570"/>
        <item x="502"/>
        <item x="571"/>
        <item x="503"/>
        <item x="576"/>
        <item x="508"/>
        <item x="583"/>
        <item x="515"/>
        <item x="584"/>
        <item x="516"/>
        <item x="577"/>
        <item x="509"/>
        <item x="585"/>
        <item x="517"/>
        <item x="518"/>
        <item x="578"/>
        <item x="510"/>
        <item x="579"/>
        <item x="511"/>
        <item x="580"/>
        <item x="512"/>
        <item x="581"/>
        <item x="513"/>
        <item x="582"/>
        <item x="514"/>
        <item x="587"/>
        <item x="519"/>
        <item x="588"/>
        <item x="520"/>
        <item x="598"/>
        <item x="530"/>
        <item x="591"/>
        <item x="523"/>
        <item x="592"/>
        <item x="524"/>
        <item x="593"/>
        <item x="525"/>
        <item x="594"/>
        <item x="526"/>
        <item x="595"/>
        <item x="527"/>
        <item x="596"/>
        <item x="528"/>
        <item x="597"/>
        <item x="529"/>
        <item x="590"/>
        <item x="522"/>
        <item x="601"/>
        <item x="533"/>
        <item x="602"/>
        <item x="534"/>
        <item x="603"/>
        <item x="535"/>
        <item x="604"/>
        <item x="536"/>
        <item x="599"/>
        <item x="531"/>
        <item x="532"/>
        <item x="549"/>
        <item x="586"/>
        <item x="600"/>
        <item x="542"/>
        <item x="474"/>
        <item x="543"/>
        <item x="475"/>
        <item x="544"/>
        <item x="476"/>
        <item x="540"/>
        <item x="472"/>
        <item x="541"/>
        <item x="473"/>
        <item x="605"/>
        <item x="537"/>
        <item x="85"/>
        <item x="1215"/>
        <item x="1223"/>
        <item x="1224"/>
        <item x="1228"/>
        <item x="1229"/>
        <item x="1225"/>
        <item x="1226"/>
        <item x="1227"/>
        <item x="1216"/>
        <item x="1217"/>
        <item x="1221"/>
        <item x="1222"/>
        <item x="1218"/>
        <item x="1219"/>
        <item x="1220"/>
        <item x="38"/>
        <item x="39"/>
        <item x="1545"/>
        <item x="1421"/>
        <item x="1414"/>
        <item x="1415"/>
        <item x="1416"/>
        <item x="1411"/>
        <item x="1412"/>
        <item x="1413"/>
        <item x="1428"/>
        <item x="1404"/>
        <item x="1403"/>
        <item x="1393"/>
        <item x="1395"/>
        <item x="1417"/>
        <item x="1418"/>
        <item x="1419"/>
        <item x="1420"/>
        <item x="1405"/>
        <item x="1406"/>
        <item x="1400"/>
        <item x="1399"/>
        <item x="1401"/>
        <item x="1429"/>
        <item x="1430"/>
        <item x="1431"/>
        <item x="1436"/>
        <item x="1438"/>
        <item x="1437"/>
        <item x="1439"/>
        <item x="1408"/>
        <item x="1409"/>
        <item x="1422"/>
        <item x="1423"/>
        <item x="1424"/>
        <item x="1425"/>
        <item x="1426"/>
        <item x="1427"/>
        <item x="1435"/>
        <item x="1432"/>
        <item x="1433"/>
        <item x="1434"/>
        <item x="1392"/>
        <item x="1394"/>
        <item x="1398"/>
        <item x="1396"/>
        <item x="1397"/>
        <item x="1388"/>
        <item x="1389"/>
        <item x="1386"/>
        <item x="1387"/>
        <item x="1390"/>
        <item x="1391"/>
        <item x="1043"/>
        <item x="381"/>
        <item x="339"/>
        <item x="1238"/>
        <item x="334"/>
        <item x="335"/>
        <item x="336"/>
        <item x="337"/>
        <item x="338"/>
        <item x="330"/>
        <item x="331"/>
        <item x="332"/>
        <item x="333"/>
        <item x="325"/>
        <item x="1019"/>
        <item x="1020"/>
        <item x="1017"/>
        <item x="1016"/>
        <item x="1025"/>
        <item x="13"/>
        <item x="37"/>
        <item x="362"/>
        <item x="1285"/>
        <item x="54"/>
        <item x="1385"/>
        <item x="1198"/>
        <item x="293"/>
        <item x="1548"/>
        <item t="default"/>
      </items>
    </pivotField>
  </pivotFields>
  <rowFields count="3">
    <field x="0"/>
    <field x="1"/>
    <field x="2"/>
  </rowFields>
  <rowItems count="147">
    <i>
      <x/>
    </i>
    <i>
      <x v="1"/>
    </i>
    <i>
      <x v="2"/>
      <x v="124"/>
      <x v="244"/>
    </i>
    <i r="1">
      <x v="125"/>
      <x v="428"/>
    </i>
    <i r="1">
      <x v="126"/>
      <x v="538"/>
    </i>
    <i r="1">
      <x v="127"/>
      <x v="424"/>
    </i>
    <i r="1">
      <x v="128"/>
      <x v="563"/>
    </i>
    <i r="1">
      <x v="129"/>
      <x v="572"/>
    </i>
    <i r="1">
      <x v="130"/>
      <x v="613"/>
    </i>
    <i r="1">
      <x v="131"/>
      <x v="614"/>
    </i>
    <i r="1">
      <x v="132"/>
      <x v="615"/>
    </i>
    <i r="1">
      <x v="133"/>
      <x v="616"/>
    </i>
    <i r="1">
      <x v="134"/>
      <x v="617"/>
    </i>
    <i r="1">
      <x v="135"/>
      <x v="618"/>
    </i>
    <i r="1">
      <x v="136"/>
      <x v="619"/>
    </i>
    <i r="1">
      <x v="137"/>
      <x v="620"/>
    </i>
    <i r="1">
      <x v="138"/>
      <x v="621"/>
    </i>
    <i r="1">
      <x v="139"/>
      <x v="564"/>
    </i>
    <i r="1">
      <x v="140"/>
      <x v="622"/>
    </i>
    <i r="1">
      <x v="141"/>
      <x v="623"/>
    </i>
    <i r="1">
      <x v="142"/>
      <x v="565"/>
    </i>
    <i r="1">
      <x v="143"/>
      <x v="566"/>
    </i>
    <i r="1">
      <x v="144"/>
      <x v="567"/>
    </i>
    <i r="1">
      <x v="145"/>
      <x v="568"/>
    </i>
    <i r="1">
      <x v="146"/>
      <x v="569"/>
    </i>
    <i r="1">
      <x v="147"/>
      <x v="570"/>
    </i>
    <i r="1">
      <x v="148"/>
      <x v="571"/>
    </i>
    <i r="1">
      <x v="149"/>
      <x v="536"/>
    </i>
    <i r="1">
      <x v="150"/>
      <x v="537"/>
    </i>
    <i r="1">
      <x v="151"/>
      <x v="425"/>
    </i>
    <i r="1">
      <x v="152"/>
      <x v="624"/>
    </i>
    <i r="1">
      <x v="153"/>
      <x v="426"/>
    </i>
    <i r="1">
      <x v="154"/>
      <x v="625"/>
    </i>
    <i r="1">
      <x v="155"/>
      <x v="626"/>
    </i>
    <i r="1">
      <x v="156"/>
      <x v="427"/>
    </i>
    <i r="1">
      <x v="157"/>
      <x v="632"/>
    </i>
    <i r="1">
      <x v="158"/>
      <x v="627"/>
    </i>
    <i r="1">
      <x v="159"/>
      <x v="631"/>
    </i>
    <i r="1">
      <x v="160"/>
      <x v="628"/>
    </i>
    <i r="1">
      <x v="161"/>
      <x v="629"/>
    </i>
    <i r="1">
      <x v="162"/>
      <x v="630"/>
    </i>
    <i r="1">
      <x v="163"/>
      <x v="627"/>
    </i>
    <i r="1">
      <x v="164"/>
      <x v="738"/>
    </i>
    <i r="1">
      <x v="165"/>
      <x v="739"/>
    </i>
    <i r="1">
      <x v="166"/>
      <x v="740"/>
    </i>
    <i r="1">
      <x v="167"/>
      <x v="741"/>
    </i>
    <i r="1">
      <x v="168"/>
      <x v="1244"/>
    </i>
    <i r="1">
      <x v="169"/>
      <x v="520"/>
    </i>
    <i r="1">
      <x v="170"/>
      <x v="520"/>
    </i>
    <i r="1">
      <x v="171"/>
      <x v="521"/>
    </i>
    <i r="1">
      <x v="172"/>
      <x v="532"/>
    </i>
    <i r="1">
      <x v="173"/>
      <x v="521"/>
    </i>
    <i r="1">
      <x v="174"/>
      <x v="523"/>
    </i>
    <i r="1">
      <x v="175"/>
      <x v="526"/>
    </i>
    <i r="1">
      <x v="176"/>
      <x v="533"/>
    </i>
    <i r="1">
      <x v="177"/>
      <x v="534"/>
    </i>
    <i r="1">
      <x v="178"/>
      <x v="535"/>
    </i>
    <i r="1">
      <x v="179"/>
      <x v="522"/>
    </i>
    <i r="1">
      <x v="180"/>
      <x v="524"/>
    </i>
    <i r="1">
      <x v="181"/>
      <x v="525"/>
    </i>
    <i r="1">
      <x v="182"/>
      <x v="527"/>
    </i>
    <i r="1">
      <x v="183"/>
      <x v="528"/>
    </i>
    <i r="1">
      <x v="184"/>
      <x v="529"/>
    </i>
    <i r="1">
      <x v="185"/>
      <x v="530"/>
    </i>
    <i r="1">
      <x v="186"/>
      <x v="531"/>
    </i>
    <i r="1">
      <x v="187"/>
      <x v="1254"/>
    </i>
    <i r="1">
      <x v="188"/>
      <x v="1255"/>
    </i>
    <i r="1">
      <x v="189"/>
      <x v="418"/>
    </i>
    <i r="1">
      <x v="190"/>
      <x v="413"/>
    </i>
    <i r="1">
      <x v="191"/>
      <x v="415"/>
    </i>
    <i r="1">
      <x v="192"/>
      <x v="417"/>
    </i>
    <i r="1">
      <x v="193"/>
      <x v="550"/>
    </i>
    <i r="1">
      <x v="194"/>
      <x v="552"/>
    </i>
    <i r="1">
      <x v="195"/>
      <x v="554"/>
    </i>
    <i r="1">
      <x v="196"/>
      <x v="551"/>
    </i>
    <i r="1">
      <x v="197"/>
      <x v="553"/>
    </i>
    <i r="1">
      <x v="198"/>
      <x v="555"/>
    </i>
    <i r="1">
      <x v="199"/>
      <x v="556"/>
    </i>
    <i r="1">
      <x v="200"/>
      <x v="420"/>
    </i>
    <i r="1">
      <x v="201"/>
      <x v="422"/>
    </i>
    <i r="1">
      <x v="202"/>
      <x v="419"/>
    </i>
    <i r="1">
      <x v="203"/>
      <x v="421"/>
    </i>
    <i r="1">
      <x v="204"/>
      <x v="423"/>
    </i>
    <i r="1">
      <x v="205"/>
      <x v="412"/>
    </i>
    <i r="1">
      <x v="206"/>
      <x v="414"/>
    </i>
    <i r="1">
      <x v="207"/>
      <x v="416"/>
    </i>
    <i r="1">
      <x v="208"/>
      <x v="1060"/>
    </i>
    <i r="1">
      <x v="209"/>
      <x v="889"/>
    </i>
    <i r="1">
      <x v="210"/>
      <x v="893"/>
    </i>
    <i r="1">
      <x v="211"/>
      <x v="890"/>
    </i>
    <i r="1">
      <x v="212"/>
      <x v="891"/>
    </i>
    <i r="1">
      <x v="213"/>
      <x v="892"/>
    </i>
    <i r="1">
      <x v="214"/>
      <x v="254"/>
    </i>
    <i r="1">
      <x v="215"/>
      <x v="50"/>
    </i>
    <i r="1">
      <x v="216"/>
      <x v="53"/>
    </i>
    <i r="1">
      <x v="217"/>
      <x v="1222"/>
    </i>
    <i r="1">
      <x v="218"/>
      <x v="1223"/>
    </i>
    <i r="1">
      <x v="219"/>
      <x v="1224"/>
    </i>
    <i r="1">
      <x v="220"/>
      <x v="1225"/>
    </i>
    <i r="1">
      <x v="221"/>
      <x v="52"/>
    </i>
    <i r="1">
      <x v="222"/>
      <x v="673"/>
    </i>
    <i r="1">
      <x v="223"/>
      <x v="675"/>
    </i>
    <i r="1">
      <x v="224"/>
      <x v="677"/>
    </i>
    <i r="1">
      <x v="225"/>
      <x v="679"/>
    </i>
    <i r="1">
      <x v="226"/>
      <x v="681"/>
    </i>
    <i r="1">
      <x v="227"/>
      <x v="683"/>
    </i>
    <i r="1">
      <x v="228"/>
      <x v="51"/>
    </i>
    <i r="1">
      <x v="229"/>
      <x v="672"/>
    </i>
    <i r="1">
      <x v="230"/>
      <x v="674"/>
    </i>
    <i r="1">
      <x v="231"/>
      <x v="676"/>
    </i>
    <i r="1">
      <x v="232"/>
      <x v="678"/>
    </i>
    <i r="1">
      <x v="233"/>
      <x v="680"/>
    </i>
    <i r="1">
      <x v="234"/>
      <x v="682"/>
    </i>
    <i r="1">
      <x v="235"/>
      <x v="335"/>
    </i>
    <i r="1">
      <x v="236"/>
      <x v="335"/>
    </i>
    <i r="1">
      <x v="237"/>
      <x v="162"/>
    </i>
    <i r="1">
      <x v="238"/>
      <x v="163"/>
    </i>
    <i r="1">
      <x v="239"/>
      <x v="164"/>
    </i>
    <i r="1">
      <x v="240"/>
      <x v="336"/>
    </i>
    <i r="1">
      <x v="241"/>
      <x v="333"/>
    </i>
    <i r="1">
      <x v="242"/>
      <x v="334"/>
    </i>
    <i r="1">
      <x v="243"/>
      <x v="392"/>
    </i>
    <i r="1">
      <x v="244"/>
      <x v="390"/>
    </i>
    <i r="1">
      <x v="245"/>
      <x v="635"/>
    </i>
    <i r="1">
      <x v="246"/>
      <x v="636"/>
    </i>
    <i r="1">
      <x v="247"/>
      <x v="684"/>
    </i>
    <i r="1">
      <x v="248"/>
      <x v="685"/>
    </i>
    <i r="1">
      <x v="249"/>
      <x v="389"/>
    </i>
    <i r="1">
      <x v="250"/>
      <x v="372"/>
    </i>
    <i r="1">
      <x v="251"/>
      <x v="374"/>
    </i>
    <i r="1">
      <x v="252"/>
      <x v="373"/>
    </i>
    <i t="default"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80CC-C728-4BDE-A67D-05089859C55F}">
  <dimension ref="A1:W1751"/>
  <sheetViews>
    <sheetView topLeftCell="E1" zoomScale="70" zoomScaleNormal="70" workbookViewId="0">
      <pane ySplit="1" topLeftCell="A602" activePane="bottomLeft" state="frozen"/>
      <selection pane="bottomLeft" activeCell="G655" sqref="G655"/>
    </sheetView>
  </sheetViews>
  <sheetFormatPr defaultRowHeight="15" x14ac:dyDescent="0.25"/>
  <cols>
    <col min="1" max="1" width="5" customWidth="1"/>
    <col min="2" max="2" width="8.42578125" bestFit="1" customWidth="1"/>
    <col min="3" max="3" width="16.5703125" bestFit="1" customWidth="1"/>
    <col min="4" max="4" width="53.42578125" customWidth="1"/>
    <col min="5" max="5" width="70.7109375" bestFit="1" customWidth="1"/>
    <col min="6" max="6" width="101.5703125" customWidth="1"/>
    <col min="7" max="7" width="104.28515625" customWidth="1"/>
    <col min="8" max="8" width="93.42578125" customWidth="1"/>
    <col min="9" max="9" width="9" bestFit="1" customWidth="1"/>
    <col min="10" max="10" width="7.85546875" bestFit="1" customWidth="1"/>
    <col min="11" max="11" width="8.85546875" bestFit="1" customWidth="1"/>
    <col min="12" max="12" width="55.140625" customWidth="1"/>
    <col min="13" max="13" width="9.28515625" bestFit="1" customWidth="1"/>
    <col min="14" max="14" width="9" bestFit="1" customWidth="1"/>
    <col min="15" max="15" width="13.85546875" customWidth="1"/>
    <col min="16" max="16" width="12.85546875" bestFit="1" customWidth="1"/>
    <col min="17" max="17" width="14.7109375" customWidth="1"/>
    <col min="18" max="18" width="17.140625" customWidth="1"/>
    <col min="19" max="19" width="12.85546875" bestFit="1" customWidth="1"/>
    <col min="20" max="20" width="8.85546875" bestFit="1" customWidth="1"/>
    <col min="21" max="21" width="9" bestFit="1" customWidth="1"/>
    <col min="22" max="22" width="10.140625" bestFit="1" customWidth="1"/>
    <col min="23" max="23" width="17.7109375" bestFit="1" customWidth="1"/>
  </cols>
  <sheetData>
    <row r="1" spans="1:23" ht="102" x14ac:dyDescent="0.25">
      <c r="A1" s="1" t="s">
        <v>0</v>
      </c>
      <c r="B1" s="1" t="s">
        <v>1</v>
      </c>
      <c r="C1" s="1" t="s">
        <v>2</v>
      </c>
      <c r="D1" s="1" t="s">
        <v>3383</v>
      </c>
      <c r="E1" s="1" t="s">
        <v>3384</v>
      </c>
      <c r="F1" s="1" t="s">
        <v>3385</v>
      </c>
      <c r="G1" s="1" t="s">
        <v>3388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2" t="s">
        <v>8</v>
      </c>
      <c r="N1" s="3" t="s">
        <v>9</v>
      </c>
      <c r="O1" s="2" t="s">
        <v>10</v>
      </c>
      <c r="P1" s="4" t="s">
        <v>11</v>
      </c>
      <c r="Q1" s="2" t="s">
        <v>12</v>
      </c>
      <c r="R1" s="4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5">
        <f ca="1">CELL("строка",A2)-4</f>
        <v>-2</v>
      </c>
      <c r="B2" s="6" t="s">
        <v>19</v>
      </c>
      <c r="C2" s="6" t="s">
        <v>19</v>
      </c>
      <c r="D2" s="6"/>
      <c r="E2" s="6"/>
      <c r="F2" s="6"/>
      <c r="G2" s="6"/>
      <c r="H2" s="7" t="s">
        <v>20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8"/>
      <c r="U2" s="8"/>
      <c r="V2" s="6"/>
      <c r="W2" s="6"/>
    </row>
    <row r="3" spans="1:23" x14ac:dyDescent="0.25">
      <c r="A3" s="9">
        <f t="shared" ref="A3:A66" ca="1" si="0">CELL("строка",A3)-4</f>
        <v>-1</v>
      </c>
      <c r="B3" s="9" t="s">
        <v>19</v>
      </c>
      <c r="C3" s="9" t="s">
        <v>21</v>
      </c>
      <c r="D3" s="9"/>
      <c r="E3" s="9"/>
      <c r="F3" s="9"/>
      <c r="G3" s="9"/>
      <c r="H3" s="10" t="s">
        <v>22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1"/>
      <c r="U3" s="11"/>
      <c r="V3" s="9"/>
      <c r="W3" s="9"/>
    </row>
    <row r="4" spans="1:23" x14ac:dyDescent="0.25">
      <c r="A4" s="12">
        <f t="shared" ca="1" si="0"/>
        <v>0</v>
      </c>
      <c r="B4" s="13" t="s">
        <v>19</v>
      </c>
      <c r="C4" s="14" t="s">
        <v>23</v>
      </c>
      <c r="D4" s="14"/>
      <c r="E4" s="14"/>
      <c r="F4" s="14"/>
      <c r="G4" s="14"/>
      <c r="H4" s="15" t="s">
        <v>24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6"/>
      <c r="U4" s="16"/>
      <c r="V4" s="13"/>
      <c r="W4" s="13"/>
    </row>
    <row r="5" spans="1:23" ht="89.25" x14ac:dyDescent="0.25">
      <c r="A5" s="17">
        <f t="shared" ca="1" si="0"/>
        <v>1</v>
      </c>
      <c r="B5" s="18" t="s">
        <v>19</v>
      </c>
      <c r="C5" s="18" t="s">
        <v>25</v>
      </c>
      <c r="D5" s="18"/>
      <c r="E5" s="18"/>
      <c r="F5" s="18"/>
      <c r="G5" s="18"/>
      <c r="H5" s="19" t="s">
        <v>26</v>
      </c>
      <c r="I5" s="18" t="s">
        <v>27</v>
      </c>
      <c r="J5" s="20">
        <v>1</v>
      </c>
      <c r="K5" s="20">
        <v>1.1499999999999999</v>
      </c>
      <c r="L5" s="21" t="s">
        <v>28</v>
      </c>
      <c r="M5" s="22">
        <v>3.0005999999999999</v>
      </c>
      <c r="N5" s="22">
        <v>0.13360000000000002</v>
      </c>
      <c r="O5" s="22">
        <v>1056.2485639227937</v>
      </c>
      <c r="P5" s="22">
        <f t="shared" ref="P5:P59" si="1">O5*M5*K5</f>
        <v>3644.7863570427444</v>
      </c>
      <c r="Q5" s="22">
        <v>1775.603414585041</v>
      </c>
      <c r="R5" s="22">
        <f>N5*Q5*K5</f>
        <v>272.80370861684577</v>
      </c>
      <c r="S5" s="22">
        <f>P5+R5</f>
        <v>3917.59006565959</v>
      </c>
      <c r="T5" s="23">
        <v>0.55859868298040061</v>
      </c>
      <c r="U5" s="24">
        <v>0.1</v>
      </c>
      <c r="V5" s="25">
        <f t="shared" ref="V5:V6" si="2">S5+S5*T5+(S5+S5*T5)*U5</f>
        <v>6716.5457884735515</v>
      </c>
      <c r="W5" s="26" t="s">
        <v>29</v>
      </c>
    </row>
    <row r="6" spans="1:23" ht="89.25" x14ac:dyDescent="0.25">
      <c r="A6" s="17">
        <f t="shared" ca="1" si="0"/>
        <v>2</v>
      </c>
      <c r="B6" s="18" t="s">
        <v>19</v>
      </c>
      <c r="C6" s="18" t="s">
        <v>30</v>
      </c>
      <c r="D6" s="18"/>
      <c r="E6" s="18"/>
      <c r="F6" s="18"/>
      <c r="G6" s="18"/>
      <c r="H6" s="19" t="s">
        <v>31</v>
      </c>
      <c r="I6" s="18" t="s">
        <v>27</v>
      </c>
      <c r="J6" s="20">
        <v>1</v>
      </c>
      <c r="K6" s="20">
        <v>1.1499999999999999</v>
      </c>
      <c r="L6" s="21" t="s">
        <v>28</v>
      </c>
      <c r="M6" s="22">
        <v>0.1155404576472642</v>
      </c>
      <c r="N6" s="22">
        <v>4.1675657254947603E-2</v>
      </c>
      <c r="O6" s="22">
        <v>1056.2485639227937</v>
      </c>
      <c r="P6" s="22">
        <f t="shared" si="1"/>
        <v>140.34535883464093</v>
      </c>
      <c r="Q6" s="22">
        <v>1775.603414585041</v>
      </c>
      <c r="R6" s="22">
        <f t="shared" ref="R6:R59" si="3">N6*Q6*K6</f>
        <v>85.099355226004903</v>
      </c>
      <c r="S6" s="22">
        <f t="shared" ref="S6:S59" si="4">P6+R6</f>
        <v>225.44471406064582</v>
      </c>
      <c r="T6" s="23">
        <v>0.55859868298040061</v>
      </c>
      <c r="U6" s="24">
        <v>0.1</v>
      </c>
      <c r="V6" s="25">
        <f t="shared" si="2"/>
        <v>386.51561786179718</v>
      </c>
      <c r="W6" s="26" t="s">
        <v>29</v>
      </c>
    </row>
    <row r="7" spans="1:23" x14ac:dyDescent="0.25">
      <c r="A7" s="12">
        <f t="shared" ca="1" si="0"/>
        <v>3</v>
      </c>
      <c r="B7" s="13" t="s">
        <v>19</v>
      </c>
      <c r="C7" s="13" t="s">
        <v>32</v>
      </c>
      <c r="D7" s="13"/>
      <c r="E7" s="13"/>
      <c r="F7" s="13"/>
      <c r="G7" s="13"/>
      <c r="H7" s="15" t="s">
        <v>33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27"/>
      <c r="U7" s="16"/>
      <c r="V7" s="13"/>
      <c r="W7" s="13"/>
    </row>
    <row r="8" spans="1:23" ht="89.25" x14ac:dyDescent="0.25">
      <c r="A8" s="17">
        <f t="shared" ca="1" si="0"/>
        <v>4</v>
      </c>
      <c r="B8" s="18" t="s">
        <v>19</v>
      </c>
      <c r="C8" s="18" t="s">
        <v>34</v>
      </c>
      <c r="D8" s="18"/>
      <c r="E8" s="18"/>
      <c r="F8" s="18"/>
      <c r="G8" s="18"/>
      <c r="H8" s="19" t="s">
        <v>35</v>
      </c>
      <c r="I8" s="18" t="s">
        <v>27</v>
      </c>
      <c r="J8" s="20">
        <v>1</v>
      </c>
      <c r="K8" s="20">
        <v>1.1499999999999999</v>
      </c>
      <c r="L8" s="21" t="s">
        <v>28</v>
      </c>
      <c r="M8" s="22">
        <v>0.38159999999999999</v>
      </c>
      <c r="N8" s="22">
        <v>0.26400000000000001</v>
      </c>
      <c r="O8" s="22">
        <v>1056.2485639227937</v>
      </c>
      <c r="P8" s="22">
        <f t="shared" si="1"/>
        <v>463.52411979187877</v>
      </c>
      <c r="Q8" s="22">
        <v>1775.603414585041</v>
      </c>
      <c r="R8" s="22">
        <f t="shared" si="3"/>
        <v>539.07319666801845</v>
      </c>
      <c r="S8" s="22">
        <f t="shared" si="4"/>
        <v>1002.5973164598972</v>
      </c>
      <c r="T8" s="23">
        <v>0.55859868298040061</v>
      </c>
      <c r="U8" s="24">
        <v>0.1</v>
      </c>
      <c r="V8" s="25">
        <f t="shared" ref="V8:V10" si="5">S8+S8*T8+(S8+S8*T8)*U8</f>
        <v>1718.9115426934877</v>
      </c>
      <c r="W8" s="26" t="s">
        <v>29</v>
      </c>
    </row>
    <row r="9" spans="1:23" ht="89.25" x14ac:dyDescent="0.25">
      <c r="A9" s="17">
        <f t="shared" ca="1" si="0"/>
        <v>5</v>
      </c>
      <c r="B9" s="18" t="s">
        <v>19</v>
      </c>
      <c r="C9" s="18" t="s">
        <v>36</v>
      </c>
      <c r="D9" s="18"/>
      <c r="E9" s="18"/>
      <c r="F9" s="18"/>
      <c r="G9" s="18"/>
      <c r="H9" s="19" t="s">
        <v>37</v>
      </c>
      <c r="I9" s="18" t="s">
        <v>27</v>
      </c>
      <c r="J9" s="20">
        <v>1</v>
      </c>
      <c r="K9" s="20">
        <v>1.1499999999999999</v>
      </c>
      <c r="L9" s="21" t="s">
        <v>28</v>
      </c>
      <c r="M9" s="22">
        <v>0.14760000000000001</v>
      </c>
      <c r="N9" s="22">
        <v>0.12960000000000002</v>
      </c>
      <c r="O9" s="22">
        <v>1056.2485639227937</v>
      </c>
      <c r="P9" s="22">
        <f t="shared" si="1"/>
        <v>179.287631240255</v>
      </c>
      <c r="Q9" s="22">
        <v>1775.603414585041</v>
      </c>
      <c r="R9" s="22">
        <f t="shared" si="3"/>
        <v>264.63593290975456</v>
      </c>
      <c r="S9" s="22">
        <f t="shared" si="4"/>
        <v>443.92356415000955</v>
      </c>
      <c r="T9" s="23">
        <v>0.55859868298040061</v>
      </c>
      <c r="U9" s="24">
        <v>0.1</v>
      </c>
      <c r="V9" s="25">
        <f t="shared" si="5"/>
        <v>761.08855067098739</v>
      </c>
      <c r="W9" s="26" t="s">
        <v>29</v>
      </c>
    </row>
    <row r="10" spans="1:23" ht="89.25" x14ac:dyDescent="0.25">
      <c r="A10" s="17">
        <f t="shared" ca="1" si="0"/>
        <v>6</v>
      </c>
      <c r="B10" s="18" t="s">
        <v>19</v>
      </c>
      <c r="C10" s="18" t="s">
        <v>38</v>
      </c>
      <c r="D10" s="18"/>
      <c r="E10" s="18"/>
      <c r="F10" s="18"/>
      <c r="G10" s="18"/>
      <c r="H10" s="19" t="s">
        <v>39</v>
      </c>
      <c r="I10" s="18" t="s">
        <v>27</v>
      </c>
      <c r="J10" s="20">
        <v>1</v>
      </c>
      <c r="K10" s="20">
        <v>1.1499999999999999</v>
      </c>
      <c r="L10" s="21" t="s">
        <v>28</v>
      </c>
      <c r="M10" s="22">
        <v>4.5</v>
      </c>
      <c r="N10" s="22">
        <v>0.33520000000000005</v>
      </c>
      <c r="O10" s="22">
        <v>1056.2485639227937</v>
      </c>
      <c r="P10" s="22">
        <f t="shared" si="1"/>
        <v>5466.0863183004576</v>
      </c>
      <c r="Q10" s="22">
        <v>1775.603414585041</v>
      </c>
      <c r="R10" s="22">
        <f t="shared" si="3"/>
        <v>684.45960425424175</v>
      </c>
      <c r="S10" s="22">
        <f t="shared" si="4"/>
        <v>6150.5459225546992</v>
      </c>
      <c r="T10" s="23">
        <v>0.55859868298040061</v>
      </c>
      <c r="U10" s="24">
        <v>0.1</v>
      </c>
      <c r="V10" s="25">
        <f t="shared" si="5"/>
        <v>10544.85605195465</v>
      </c>
      <c r="W10" s="26" t="s">
        <v>29</v>
      </c>
    </row>
    <row r="11" spans="1:23" x14ac:dyDescent="0.25">
      <c r="A11" s="28">
        <f t="shared" ca="1" si="0"/>
        <v>7</v>
      </c>
      <c r="B11" s="9" t="s">
        <v>19</v>
      </c>
      <c r="C11" s="9" t="s">
        <v>40</v>
      </c>
      <c r="D11" s="9"/>
      <c r="E11" s="9"/>
      <c r="F11" s="9"/>
      <c r="G11" s="9"/>
      <c r="H11" s="10" t="s">
        <v>41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29"/>
      <c r="U11" s="11"/>
      <c r="V11" s="9"/>
      <c r="W11" s="9"/>
    </row>
    <row r="12" spans="1:23" x14ac:dyDescent="0.25">
      <c r="A12" s="12">
        <f t="shared" ca="1" si="0"/>
        <v>8</v>
      </c>
      <c r="B12" s="13" t="s">
        <v>19</v>
      </c>
      <c r="C12" s="13" t="s">
        <v>42</v>
      </c>
      <c r="D12" s="13"/>
      <c r="E12" s="13"/>
      <c r="F12" s="13"/>
      <c r="G12" s="13"/>
      <c r="H12" s="15" t="s">
        <v>43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27"/>
      <c r="U12" s="16"/>
      <c r="V12" s="13"/>
      <c r="W12" s="13"/>
    </row>
    <row r="13" spans="1:23" ht="89.25" x14ac:dyDescent="0.25">
      <c r="A13" s="17">
        <f t="shared" ca="1" si="0"/>
        <v>9</v>
      </c>
      <c r="B13" s="18" t="s">
        <v>19</v>
      </c>
      <c r="C13" s="18" t="s">
        <v>44</v>
      </c>
      <c r="D13" s="18"/>
      <c r="E13" s="18"/>
      <c r="F13" s="18"/>
      <c r="G13" s="18"/>
      <c r="H13" s="19" t="s">
        <v>45</v>
      </c>
      <c r="I13" s="18" t="s">
        <v>27</v>
      </c>
      <c r="J13" s="20">
        <v>1</v>
      </c>
      <c r="K13" s="20">
        <v>1.1499999999999999</v>
      </c>
      <c r="L13" s="21" t="s">
        <v>28</v>
      </c>
      <c r="M13" s="22">
        <v>2.7037</v>
      </c>
      <c r="N13" s="22">
        <v>0.18359999999999999</v>
      </c>
      <c r="O13" s="22">
        <v>1056.2485639227937</v>
      </c>
      <c r="P13" s="22">
        <f t="shared" si="1"/>
        <v>3284.1461286197655</v>
      </c>
      <c r="Q13" s="22">
        <v>1775.603414585041</v>
      </c>
      <c r="R13" s="22">
        <f t="shared" si="3"/>
        <v>374.90090495548549</v>
      </c>
      <c r="S13" s="22">
        <f t="shared" si="4"/>
        <v>3659.0470335752511</v>
      </c>
      <c r="T13" s="23">
        <v>0.55859868298040061</v>
      </c>
      <c r="U13" s="24">
        <v>0.1</v>
      </c>
      <c r="V13" s="25">
        <f t="shared" ref="V13" si="6">S13+S13*T13+(S13+S13*T13)*U13</f>
        <v>6273.2844762431014</v>
      </c>
      <c r="W13" s="26" t="s">
        <v>29</v>
      </c>
    </row>
    <row r="14" spans="1:23" x14ac:dyDescent="0.25">
      <c r="A14" s="12">
        <f t="shared" ca="1" si="0"/>
        <v>10</v>
      </c>
      <c r="B14" s="13" t="s">
        <v>19</v>
      </c>
      <c r="C14" s="13" t="s">
        <v>46</v>
      </c>
      <c r="D14" s="13"/>
      <c r="E14" s="13"/>
      <c r="F14" s="13"/>
      <c r="G14" s="13"/>
      <c r="H14" s="15" t="s">
        <v>47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27"/>
      <c r="U14" s="16"/>
      <c r="V14" s="13"/>
      <c r="W14" s="13"/>
    </row>
    <row r="15" spans="1:23" ht="89.25" x14ac:dyDescent="0.25">
      <c r="A15" s="17">
        <f t="shared" ca="1" si="0"/>
        <v>11</v>
      </c>
      <c r="B15" s="18" t="s">
        <v>19</v>
      </c>
      <c r="C15" s="18" t="s">
        <v>48</v>
      </c>
      <c r="D15" s="18"/>
      <c r="E15" s="18"/>
      <c r="F15" s="18"/>
      <c r="G15" s="18"/>
      <c r="H15" s="19" t="s">
        <v>47</v>
      </c>
      <c r="I15" s="18" t="s">
        <v>49</v>
      </c>
      <c r="J15" s="20">
        <v>1</v>
      </c>
      <c r="K15" s="20">
        <v>1.1499999999999999</v>
      </c>
      <c r="L15" s="21" t="s">
        <v>28</v>
      </c>
      <c r="M15" s="22">
        <v>0.27739999999999998</v>
      </c>
      <c r="N15" s="22">
        <v>3.9949999999999999E-2</v>
      </c>
      <c r="O15" s="22">
        <v>1056.2485639227937</v>
      </c>
      <c r="P15" s="22">
        <f t="shared" si="1"/>
        <v>336.95385437701037</v>
      </c>
      <c r="Q15" s="22">
        <v>1775.603414585041</v>
      </c>
      <c r="R15" s="22">
        <f t="shared" si="3"/>
        <v>81.575659874573248</v>
      </c>
      <c r="S15" s="22">
        <f t="shared" si="4"/>
        <v>418.52951425158363</v>
      </c>
      <c r="T15" s="23">
        <v>0.55859868298040061</v>
      </c>
      <c r="U15" s="24">
        <v>0.1</v>
      </c>
      <c r="V15" s="25">
        <f t="shared" ref="V15" si="7">S15+S15*T15+(S15+S15*T15)*U15</f>
        <v>717.55150467103965</v>
      </c>
      <c r="W15" s="26" t="s">
        <v>29</v>
      </c>
    </row>
    <row r="16" spans="1:23" x14ac:dyDescent="0.25">
      <c r="A16" s="28">
        <f t="shared" ca="1" si="0"/>
        <v>12</v>
      </c>
      <c r="B16" s="9" t="s">
        <v>50</v>
      </c>
      <c r="C16" s="9" t="s">
        <v>51</v>
      </c>
      <c r="D16" s="9"/>
      <c r="E16" s="9"/>
      <c r="F16" s="9"/>
      <c r="G16" s="9"/>
      <c r="H16" s="10" t="s">
        <v>52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29"/>
      <c r="U16" s="11"/>
      <c r="V16" s="9"/>
      <c r="W16" s="9"/>
    </row>
    <row r="17" spans="1:23" x14ac:dyDescent="0.25">
      <c r="A17" s="12">
        <f t="shared" ca="1" si="0"/>
        <v>13</v>
      </c>
      <c r="B17" s="13" t="s">
        <v>50</v>
      </c>
      <c r="C17" s="13" t="s">
        <v>53</v>
      </c>
      <c r="D17" s="13"/>
      <c r="E17" s="13"/>
      <c r="F17" s="13"/>
      <c r="G17" s="13"/>
      <c r="H17" s="15" t="s">
        <v>54</v>
      </c>
      <c r="I17" s="15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27"/>
      <c r="U17" s="16"/>
      <c r="V17" s="13"/>
      <c r="W17" s="13"/>
    </row>
    <row r="18" spans="1:23" ht="89.25" x14ac:dyDescent="0.25">
      <c r="A18" s="17">
        <f t="shared" ca="1" si="0"/>
        <v>14</v>
      </c>
      <c r="B18" s="18" t="s">
        <v>50</v>
      </c>
      <c r="C18" s="18" t="s">
        <v>55</v>
      </c>
      <c r="D18" s="18"/>
      <c r="E18" s="18"/>
      <c r="F18" s="18"/>
      <c r="G18" s="18"/>
      <c r="H18" s="19" t="s">
        <v>56</v>
      </c>
      <c r="I18" s="18" t="s">
        <v>57</v>
      </c>
      <c r="J18" s="20">
        <v>1</v>
      </c>
      <c r="K18" s="20">
        <v>1.1499999999999999</v>
      </c>
      <c r="L18" s="21" t="s">
        <v>28</v>
      </c>
      <c r="M18" s="22">
        <v>1.8000000000000002E-2</v>
      </c>
      <c r="N18" s="22">
        <v>8.0000000000000004E-4</v>
      </c>
      <c r="O18" s="22">
        <v>1056.2485639227937</v>
      </c>
      <c r="P18" s="22">
        <f t="shared" si="1"/>
        <v>21.864345273201831</v>
      </c>
      <c r="Q18" s="22">
        <v>1775.603414585041</v>
      </c>
      <c r="R18" s="22">
        <f t="shared" si="3"/>
        <v>1.6335551414182377</v>
      </c>
      <c r="S18" s="22">
        <f t="shared" si="4"/>
        <v>23.497900414620069</v>
      </c>
      <c r="T18" s="23">
        <v>0.55859868298040061</v>
      </c>
      <c r="U18" s="24">
        <v>0.1</v>
      </c>
      <c r="V18" s="25">
        <f t="shared" ref="V18:V39" si="8">S18+S18*T18+(S18+S18*T18)*U18</f>
        <v>40.286176302934592</v>
      </c>
      <c r="W18" s="26" t="s">
        <v>29</v>
      </c>
    </row>
    <row r="19" spans="1:23" ht="89.25" x14ac:dyDescent="0.25">
      <c r="A19" s="17">
        <f t="shared" ca="1" si="0"/>
        <v>15</v>
      </c>
      <c r="B19" s="18" t="s">
        <v>50</v>
      </c>
      <c r="C19" s="18" t="s">
        <v>58</v>
      </c>
      <c r="D19" s="18"/>
      <c r="E19" s="18"/>
      <c r="F19" s="18"/>
      <c r="G19" s="18"/>
      <c r="H19" s="19" t="s">
        <v>59</v>
      </c>
      <c r="I19" s="18" t="s">
        <v>57</v>
      </c>
      <c r="J19" s="20">
        <v>1</v>
      </c>
      <c r="K19" s="20">
        <v>1.1499999999999999</v>
      </c>
      <c r="L19" s="21" t="s">
        <v>28</v>
      </c>
      <c r="M19" s="22">
        <v>1.89E-2</v>
      </c>
      <c r="N19" s="22">
        <v>8.0000000000000004E-4</v>
      </c>
      <c r="O19" s="22">
        <v>1056.2485639227937</v>
      </c>
      <c r="P19" s="22">
        <f t="shared" si="1"/>
        <v>22.957562536861918</v>
      </c>
      <c r="Q19" s="22">
        <v>1775.603414585041</v>
      </c>
      <c r="R19" s="22">
        <f t="shared" si="3"/>
        <v>1.6335551414182377</v>
      </c>
      <c r="S19" s="22">
        <f t="shared" si="4"/>
        <v>24.591117678280156</v>
      </c>
      <c r="T19" s="23">
        <v>0.55859868298040061</v>
      </c>
      <c r="U19" s="24">
        <v>0.1</v>
      </c>
      <c r="V19" s="25">
        <f t="shared" si="8"/>
        <v>42.160451989021844</v>
      </c>
      <c r="W19" s="26" t="s">
        <v>29</v>
      </c>
    </row>
    <row r="20" spans="1:23" ht="89.25" x14ac:dyDescent="0.25">
      <c r="A20" s="17">
        <f t="shared" ca="1" si="0"/>
        <v>16</v>
      </c>
      <c r="B20" s="18" t="s">
        <v>50</v>
      </c>
      <c r="C20" s="18" t="s">
        <v>60</v>
      </c>
      <c r="D20" s="18"/>
      <c r="E20" s="18"/>
      <c r="F20" s="18"/>
      <c r="G20" s="18"/>
      <c r="H20" s="19" t="s">
        <v>61</v>
      </c>
      <c r="I20" s="18" t="s">
        <v>57</v>
      </c>
      <c r="J20" s="20">
        <v>1</v>
      </c>
      <c r="K20" s="20">
        <v>1.1499999999999999</v>
      </c>
      <c r="L20" s="21" t="s">
        <v>28</v>
      </c>
      <c r="M20" s="22">
        <v>2.07E-2</v>
      </c>
      <c r="N20" s="22">
        <v>8.0000000000000004E-4</v>
      </c>
      <c r="O20" s="22">
        <v>1056.2485639227937</v>
      </c>
      <c r="P20" s="22">
        <f t="shared" si="1"/>
        <v>25.143997064182098</v>
      </c>
      <c r="Q20" s="22">
        <v>1775.603414585041</v>
      </c>
      <c r="R20" s="22">
        <f t="shared" si="3"/>
        <v>1.6335551414182377</v>
      </c>
      <c r="S20" s="22">
        <f t="shared" si="4"/>
        <v>26.777552205600337</v>
      </c>
      <c r="T20" s="23">
        <v>0.55859868298040061</v>
      </c>
      <c r="U20" s="24">
        <v>0.1</v>
      </c>
      <c r="V20" s="25">
        <f t="shared" si="8"/>
        <v>45.909003361196362</v>
      </c>
      <c r="W20" s="26" t="s">
        <v>29</v>
      </c>
    </row>
    <row r="21" spans="1:23" ht="89.25" x14ac:dyDescent="0.25">
      <c r="A21" s="17">
        <f t="shared" ca="1" si="0"/>
        <v>17</v>
      </c>
      <c r="B21" s="18" t="s">
        <v>50</v>
      </c>
      <c r="C21" s="18" t="s">
        <v>62</v>
      </c>
      <c r="D21" s="18"/>
      <c r="E21" s="18"/>
      <c r="F21" s="18"/>
      <c r="G21" s="18"/>
      <c r="H21" s="19" t="s">
        <v>63</v>
      </c>
      <c r="I21" s="18" t="s">
        <v>57</v>
      </c>
      <c r="J21" s="20">
        <v>1</v>
      </c>
      <c r="K21" s="20">
        <v>1.1499999999999999</v>
      </c>
      <c r="L21" s="21" t="s">
        <v>28</v>
      </c>
      <c r="M21" s="22">
        <v>2.1600000000000001E-2</v>
      </c>
      <c r="N21" s="22">
        <v>8.0000000000000004E-4</v>
      </c>
      <c r="O21" s="22">
        <v>1056.2485639227937</v>
      </c>
      <c r="P21" s="22">
        <f t="shared" si="1"/>
        <v>26.237214327842196</v>
      </c>
      <c r="Q21" s="22">
        <v>1775.603414585041</v>
      </c>
      <c r="R21" s="22">
        <f t="shared" si="3"/>
        <v>1.6335551414182377</v>
      </c>
      <c r="S21" s="22">
        <f t="shared" si="4"/>
        <v>27.870769469260434</v>
      </c>
      <c r="T21" s="23">
        <v>0.55859868298040061</v>
      </c>
      <c r="U21" s="24">
        <v>0.1</v>
      </c>
      <c r="V21" s="25">
        <f t="shared" si="8"/>
        <v>47.783279047283642</v>
      </c>
      <c r="W21" s="26" t="s">
        <v>29</v>
      </c>
    </row>
    <row r="22" spans="1:23" ht="89.25" x14ac:dyDescent="0.25">
      <c r="A22" s="17">
        <f t="shared" ca="1" si="0"/>
        <v>18</v>
      </c>
      <c r="B22" s="18" t="s">
        <v>50</v>
      </c>
      <c r="C22" s="18" t="s">
        <v>64</v>
      </c>
      <c r="D22" s="18"/>
      <c r="E22" s="18"/>
      <c r="F22" s="18"/>
      <c r="G22" s="18"/>
      <c r="H22" s="19" t="s">
        <v>65</v>
      </c>
      <c r="I22" s="18" t="s">
        <v>57</v>
      </c>
      <c r="J22" s="20">
        <v>1</v>
      </c>
      <c r="K22" s="20">
        <v>1.1499999999999999</v>
      </c>
      <c r="L22" s="21" t="s">
        <v>28</v>
      </c>
      <c r="M22" s="22">
        <v>2.7000000000000003E-2</v>
      </c>
      <c r="N22" s="22">
        <v>8.0000000000000004E-4</v>
      </c>
      <c r="O22" s="22">
        <v>1056.2485639227937</v>
      </c>
      <c r="P22" s="22">
        <f t="shared" si="1"/>
        <v>32.796517909802745</v>
      </c>
      <c r="Q22" s="22">
        <v>1775.603414585041</v>
      </c>
      <c r="R22" s="22">
        <f t="shared" si="3"/>
        <v>1.6335551414182377</v>
      </c>
      <c r="S22" s="22">
        <f t="shared" si="4"/>
        <v>34.43007305122098</v>
      </c>
      <c r="T22" s="23">
        <v>0.55859868298040061</v>
      </c>
      <c r="U22" s="24">
        <v>0.1</v>
      </c>
      <c r="V22" s="25">
        <f t="shared" si="8"/>
        <v>59.028933163807203</v>
      </c>
      <c r="W22" s="26" t="s">
        <v>29</v>
      </c>
    </row>
    <row r="23" spans="1:23" ht="89.25" x14ac:dyDescent="0.25">
      <c r="A23" s="17">
        <f t="shared" ca="1" si="0"/>
        <v>19</v>
      </c>
      <c r="B23" s="18" t="s">
        <v>50</v>
      </c>
      <c r="C23" s="18" t="s">
        <v>66</v>
      </c>
      <c r="D23" s="18"/>
      <c r="E23" s="18"/>
      <c r="F23" s="18"/>
      <c r="G23" s="18"/>
      <c r="H23" s="19" t="s">
        <v>67</v>
      </c>
      <c r="I23" s="18" t="s">
        <v>57</v>
      </c>
      <c r="J23" s="20">
        <v>1</v>
      </c>
      <c r="K23" s="20">
        <v>1.1499999999999999</v>
      </c>
      <c r="L23" s="21" t="s">
        <v>28</v>
      </c>
      <c r="M23" s="22">
        <v>5.5800000000000002E-2</v>
      </c>
      <c r="N23" s="22">
        <v>8.0000000000000004E-4</v>
      </c>
      <c r="O23" s="22">
        <v>1056.2485639227937</v>
      </c>
      <c r="P23" s="22">
        <f t="shared" si="1"/>
        <v>67.779470346925677</v>
      </c>
      <c r="Q23" s="22">
        <v>1775.603414585041</v>
      </c>
      <c r="R23" s="22">
        <f t="shared" si="3"/>
        <v>1.6335551414182377</v>
      </c>
      <c r="S23" s="22">
        <f t="shared" si="4"/>
        <v>69.413025488343919</v>
      </c>
      <c r="T23" s="23">
        <v>0.55859868298040061</v>
      </c>
      <c r="U23" s="24">
        <v>0.1</v>
      </c>
      <c r="V23" s="25">
        <f t="shared" si="8"/>
        <v>119.00575511859959</v>
      </c>
      <c r="W23" s="26" t="s">
        <v>29</v>
      </c>
    </row>
    <row r="24" spans="1:23" ht="89.25" x14ac:dyDescent="0.25">
      <c r="A24" s="17">
        <f t="shared" ca="1" si="0"/>
        <v>20</v>
      </c>
      <c r="B24" s="18" t="s">
        <v>50</v>
      </c>
      <c r="C24" s="18" t="s">
        <v>68</v>
      </c>
      <c r="D24" s="18"/>
      <c r="E24" s="18"/>
      <c r="F24" s="18"/>
      <c r="G24" s="18"/>
      <c r="H24" s="19" t="s">
        <v>69</v>
      </c>
      <c r="I24" s="18" t="s">
        <v>57</v>
      </c>
      <c r="J24" s="20">
        <v>1</v>
      </c>
      <c r="K24" s="20">
        <v>1.1499999999999999</v>
      </c>
      <c r="L24" s="21" t="s">
        <v>28</v>
      </c>
      <c r="M24" s="22">
        <v>5.8500000000000003E-2</v>
      </c>
      <c r="N24" s="22">
        <v>8.0000000000000004E-4</v>
      </c>
      <c r="O24" s="22">
        <v>1056.2485639227937</v>
      </c>
      <c r="P24" s="22">
        <f t="shared" si="1"/>
        <v>71.059122137905945</v>
      </c>
      <c r="Q24" s="22">
        <v>1775.603414585041</v>
      </c>
      <c r="R24" s="22">
        <f t="shared" si="3"/>
        <v>1.6335551414182377</v>
      </c>
      <c r="S24" s="22">
        <f t="shared" si="4"/>
        <v>72.692677279324187</v>
      </c>
      <c r="T24" s="23">
        <v>0.55859868298040061</v>
      </c>
      <c r="U24" s="24">
        <v>0.1</v>
      </c>
      <c r="V24" s="25">
        <f t="shared" si="8"/>
        <v>124.62858217686137</v>
      </c>
      <c r="W24" s="26" t="s">
        <v>29</v>
      </c>
    </row>
    <row r="25" spans="1:23" ht="89.25" x14ac:dyDescent="0.25">
      <c r="A25" s="17">
        <f t="shared" ca="1" si="0"/>
        <v>21</v>
      </c>
      <c r="B25" s="18" t="s">
        <v>50</v>
      </c>
      <c r="C25" s="18" t="s">
        <v>70</v>
      </c>
      <c r="D25" s="18"/>
      <c r="E25" s="18"/>
      <c r="F25" s="18"/>
      <c r="G25" s="18"/>
      <c r="H25" s="19" t="s">
        <v>71</v>
      </c>
      <c r="I25" s="18" t="s">
        <v>57</v>
      </c>
      <c r="J25" s="20">
        <v>1</v>
      </c>
      <c r="K25" s="20">
        <v>1.1499999999999999</v>
      </c>
      <c r="L25" s="21" t="s">
        <v>28</v>
      </c>
      <c r="M25" s="22">
        <v>7.3800000000000004E-2</v>
      </c>
      <c r="N25" s="22">
        <v>8.0000000000000004E-4</v>
      </c>
      <c r="O25" s="22">
        <v>1056.2485639227937</v>
      </c>
      <c r="P25" s="22">
        <f t="shared" si="1"/>
        <v>89.643815620127498</v>
      </c>
      <c r="Q25" s="22">
        <v>1775.603414585041</v>
      </c>
      <c r="R25" s="22">
        <f t="shared" si="3"/>
        <v>1.6335551414182377</v>
      </c>
      <c r="S25" s="22">
        <f t="shared" si="4"/>
        <v>91.27737076154574</v>
      </c>
      <c r="T25" s="23">
        <v>0.55859868298040061</v>
      </c>
      <c r="U25" s="24">
        <v>0.1</v>
      </c>
      <c r="V25" s="25">
        <f t="shared" si="8"/>
        <v>156.49126884034482</v>
      </c>
      <c r="W25" s="26" t="s">
        <v>29</v>
      </c>
    </row>
    <row r="26" spans="1:23" ht="89.25" x14ac:dyDescent="0.25">
      <c r="A26" s="17">
        <f t="shared" ca="1" si="0"/>
        <v>22</v>
      </c>
      <c r="B26" s="18" t="s">
        <v>50</v>
      </c>
      <c r="C26" s="18" t="s">
        <v>72</v>
      </c>
      <c r="D26" s="18"/>
      <c r="E26" s="18"/>
      <c r="F26" s="18"/>
      <c r="G26" s="18"/>
      <c r="H26" s="19" t="s">
        <v>73</v>
      </c>
      <c r="I26" s="18" t="s">
        <v>57</v>
      </c>
      <c r="J26" s="20">
        <v>1</v>
      </c>
      <c r="K26" s="20">
        <v>1.1499999999999999</v>
      </c>
      <c r="L26" s="21" t="s">
        <v>28</v>
      </c>
      <c r="M26" s="22">
        <v>7.740000000000001E-2</v>
      </c>
      <c r="N26" s="22">
        <v>8.0000000000000004E-4</v>
      </c>
      <c r="O26" s="22">
        <v>1056.2485639227937</v>
      </c>
      <c r="P26" s="22">
        <f t="shared" si="1"/>
        <v>94.016684674767873</v>
      </c>
      <c r="Q26" s="22">
        <v>1775.603414585041</v>
      </c>
      <c r="R26" s="22">
        <f t="shared" si="3"/>
        <v>1.6335551414182377</v>
      </c>
      <c r="S26" s="22">
        <f t="shared" si="4"/>
        <v>95.650239816186115</v>
      </c>
      <c r="T26" s="23">
        <v>0.55859868298040061</v>
      </c>
      <c r="U26" s="24">
        <v>0.1</v>
      </c>
      <c r="V26" s="25">
        <f t="shared" si="8"/>
        <v>163.98837158469385</v>
      </c>
      <c r="W26" s="26" t="s">
        <v>29</v>
      </c>
    </row>
    <row r="27" spans="1:23" ht="89.25" x14ac:dyDescent="0.25">
      <c r="A27" s="17">
        <f t="shared" ca="1" si="0"/>
        <v>23</v>
      </c>
      <c r="B27" s="18" t="s">
        <v>50</v>
      </c>
      <c r="C27" s="18" t="s">
        <v>74</v>
      </c>
      <c r="D27" s="18"/>
      <c r="E27" s="18"/>
      <c r="F27" s="18"/>
      <c r="G27" s="18"/>
      <c r="H27" s="19" t="s">
        <v>75</v>
      </c>
      <c r="I27" s="18" t="s">
        <v>57</v>
      </c>
      <c r="J27" s="20">
        <v>1</v>
      </c>
      <c r="K27" s="20">
        <v>1.1499999999999999</v>
      </c>
      <c r="L27" s="21" t="s">
        <v>28</v>
      </c>
      <c r="M27" s="22">
        <v>8.1000000000000003E-2</v>
      </c>
      <c r="N27" s="22">
        <v>8.0000000000000004E-4</v>
      </c>
      <c r="O27" s="22">
        <v>1056.2485639227937</v>
      </c>
      <c r="P27" s="22">
        <f t="shared" si="1"/>
        <v>98.38955372940822</v>
      </c>
      <c r="Q27" s="22">
        <v>1775.603414585041</v>
      </c>
      <c r="R27" s="22">
        <f t="shared" si="3"/>
        <v>1.6335551414182377</v>
      </c>
      <c r="S27" s="22">
        <f t="shared" si="4"/>
        <v>100.02310887082646</v>
      </c>
      <c r="T27" s="23">
        <v>0.55859868298040061</v>
      </c>
      <c r="U27" s="24">
        <v>0.1</v>
      </c>
      <c r="V27" s="25">
        <f t="shared" si="8"/>
        <v>171.48547432904289</v>
      </c>
      <c r="W27" s="26" t="s">
        <v>29</v>
      </c>
    </row>
    <row r="28" spans="1:23" ht="89.25" x14ac:dyDescent="0.25">
      <c r="A28" s="17">
        <f t="shared" ca="1" si="0"/>
        <v>24</v>
      </c>
      <c r="B28" s="18" t="s">
        <v>50</v>
      </c>
      <c r="C28" s="18" t="s">
        <v>76</v>
      </c>
      <c r="D28" s="18"/>
      <c r="E28" s="18"/>
      <c r="F28" s="18"/>
      <c r="G28" s="18"/>
      <c r="H28" s="19" t="s">
        <v>77</v>
      </c>
      <c r="I28" s="18" t="s">
        <v>57</v>
      </c>
      <c r="J28" s="20">
        <v>1</v>
      </c>
      <c r="K28" s="20">
        <v>1.1499999999999999</v>
      </c>
      <c r="L28" s="21" t="s">
        <v>28</v>
      </c>
      <c r="M28" s="22">
        <v>8.4600000000000009E-2</v>
      </c>
      <c r="N28" s="22">
        <v>8.0000000000000004E-4</v>
      </c>
      <c r="O28" s="22">
        <v>1056.2485639227937</v>
      </c>
      <c r="P28" s="22">
        <f t="shared" si="1"/>
        <v>102.7624227840486</v>
      </c>
      <c r="Q28" s="22">
        <v>1775.603414585041</v>
      </c>
      <c r="R28" s="22">
        <f t="shared" si="3"/>
        <v>1.6335551414182377</v>
      </c>
      <c r="S28" s="22">
        <f t="shared" si="4"/>
        <v>104.39597792546684</v>
      </c>
      <c r="T28" s="23">
        <v>0.55859868298040061</v>
      </c>
      <c r="U28" s="24">
        <v>0.1</v>
      </c>
      <c r="V28" s="25">
        <f t="shared" si="8"/>
        <v>178.98257707339192</v>
      </c>
      <c r="W28" s="26" t="s">
        <v>29</v>
      </c>
    </row>
    <row r="29" spans="1:23" ht="89.25" x14ac:dyDescent="0.25">
      <c r="A29" s="17">
        <f t="shared" ca="1" si="0"/>
        <v>25</v>
      </c>
      <c r="B29" s="18" t="s">
        <v>50</v>
      </c>
      <c r="C29" s="18" t="s">
        <v>78</v>
      </c>
      <c r="D29" s="18"/>
      <c r="E29" s="18"/>
      <c r="F29" s="18"/>
      <c r="G29" s="18"/>
      <c r="H29" s="19" t="s">
        <v>79</v>
      </c>
      <c r="I29" s="18" t="s">
        <v>57</v>
      </c>
      <c r="J29" s="20">
        <v>1</v>
      </c>
      <c r="K29" s="20">
        <v>1.1499999999999999</v>
      </c>
      <c r="L29" s="21" t="s">
        <v>28</v>
      </c>
      <c r="M29" s="22">
        <v>2.8800000000000003E-2</v>
      </c>
      <c r="N29" s="22">
        <v>8.0000000000000004E-4</v>
      </c>
      <c r="O29" s="22">
        <v>1056.2485639227937</v>
      </c>
      <c r="P29" s="22">
        <f t="shared" si="1"/>
        <v>34.982952437122925</v>
      </c>
      <c r="Q29" s="22">
        <v>1775.603414585041</v>
      </c>
      <c r="R29" s="22">
        <f t="shared" si="3"/>
        <v>1.6335551414182377</v>
      </c>
      <c r="S29" s="22">
        <f t="shared" si="4"/>
        <v>36.61650757854116</v>
      </c>
      <c r="T29" s="23">
        <v>0.55859868298040061</v>
      </c>
      <c r="U29" s="24">
        <v>0.1</v>
      </c>
      <c r="V29" s="25">
        <f t="shared" si="8"/>
        <v>62.777484535981721</v>
      </c>
      <c r="W29" s="26" t="s">
        <v>29</v>
      </c>
    </row>
    <row r="30" spans="1:23" ht="89.25" x14ac:dyDescent="0.25">
      <c r="A30" s="17">
        <f t="shared" ca="1" si="0"/>
        <v>26</v>
      </c>
      <c r="B30" s="18" t="s">
        <v>50</v>
      </c>
      <c r="C30" s="18" t="s">
        <v>80</v>
      </c>
      <c r="D30" s="18"/>
      <c r="E30" s="18"/>
      <c r="F30" s="18"/>
      <c r="G30" s="18"/>
      <c r="H30" s="19" t="s">
        <v>81</v>
      </c>
      <c r="I30" s="18" t="s">
        <v>57</v>
      </c>
      <c r="J30" s="20">
        <v>1</v>
      </c>
      <c r="K30" s="20">
        <v>1.1499999999999999</v>
      </c>
      <c r="L30" s="21" t="s">
        <v>28</v>
      </c>
      <c r="M30" s="22">
        <v>3.5099999999999999E-2</v>
      </c>
      <c r="N30" s="22">
        <v>8.0000000000000004E-4</v>
      </c>
      <c r="O30" s="22">
        <v>1056.2485639227937</v>
      </c>
      <c r="P30" s="22">
        <f t="shared" si="1"/>
        <v>42.635473282743561</v>
      </c>
      <c r="Q30" s="22">
        <v>1775.603414585041</v>
      </c>
      <c r="R30" s="22">
        <f t="shared" si="3"/>
        <v>1.6335551414182377</v>
      </c>
      <c r="S30" s="22">
        <f t="shared" si="4"/>
        <v>44.269028424161796</v>
      </c>
      <c r="T30" s="23">
        <v>0.55859868298040061</v>
      </c>
      <c r="U30" s="24">
        <v>0.1</v>
      </c>
      <c r="V30" s="25">
        <f t="shared" si="8"/>
        <v>75.89741433859254</v>
      </c>
      <c r="W30" s="26" t="s">
        <v>29</v>
      </c>
    </row>
    <row r="31" spans="1:23" ht="89.25" x14ac:dyDescent="0.25">
      <c r="A31" s="17">
        <f t="shared" ca="1" si="0"/>
        <v>27</v>
      </c>
      <c r="B31" s="18" t="s">
        <v>50</v>
      </c>
      <c r="C31" s="18" t="s">
        <v>82</v>
      </c>
      <c r="D31" s="18"/>
      <c r="E31" s="18"/>
      <c r="F31" s="18"/>
      <c r="G31" s="18"/>
      <c r="H31" s="19" t="s">
        <v>83</v>
      </c>
      <c r="I31" s="18" t="s">
        <v>57</v>
      </c>
      <c r="J31" s="20">
        <v>1</v>
      </c>
      <c r="K31" s="20">
        <v>1.1499999999999999</v>
      </c>
      <c r="L31" s="21" t="s">
        <v>28</v>
      </c>
      <c r="M31" s="22">
        <v>4.2300000000000004E-2</v>
      </c>
      <c r="N31" s="22">
        <v>8.0000000000000004E-4</v>
      </c>
      <c r="O31" s="22">
        <v>1056.2485639227937</v>
      </c>
      <c r="P31" s="22">
        <f t="shared" si="1"/>
        <v>51.381211392024298</v>
      </c>
      <c r="Q31" s="22">
        <v>1775.603414585041</v>
      </c>
      <c r="R31" s="22">
        <f t="shared" si="3"/>
        <v>1.6335551414182377</v>
      </c>
      <c r="S31" s="22">
        <f t="shared" si="4"/>
        <v>53.014766533442533</v>
      </c>
      <c r="T31" s="23">
        <v>0.55859868298040061</v>
      </c>
      <c r="U31" s="24">
        <v>0.1</v>
      </c>
      <c r="V31" s="25">
        <f t="shared" si="8"/>
        <v>90.89161982729064</v>
      </c>
      <c r="W31" s="26" t="s">
        <v>29</v>
      </c>
    </row>
    <row r="32" spans="1:23" ht="89.25" x14ac:dyDescent="0.25">
      <c r="A32" s="17">
        <f t="shared" ca="1" si="0"/>
        <v>28</v>
      </c>
      <c r="B32" s="18" t="s">
        <v>50</v>
      </c>
      <c r="C32" s="18" t="s">
        <v>84</v>
      </c>
      <c r="D32" s="18"/>
      <c r="E32" s="18"/>
      <c r="F32" s="18"/>
      <c r="G32" s="18"/>
      <c r="H32" s="19" t="s">
        <v>85</v>
      </c>
      <c r="I32" s="18" t="s">
        <v>57</v>
      </c>
      <c r="J32" s="20">
        <v>1</v>
      </c>
      <c r="K32" s="20">
        <v>1.1499999999999999</v>
      </c>
      <c r="L32" s="21" t="s">
        <v>28</v>
      </c>
      <c r="M32" s="22">
        <v>4.9500000000000002E-2</v>
      </c>
      <c r="N32" s="22">
        <v>8.0000000000000004E-4</v>
      </c>
      <c r="O32" s="22">
        <v>1056.2485639227937</v>
      </c>
      <c r="P32" s="22">
        <f t="shared" si="1"/>
        <v>60.126949501305027</v>
      </c>
      <c r="Q32" s="22">
        <v>1775.603414585041</v>
      </c>
      <c r="R32" s="22">
        <f t="shared" si="3"/>
        <v>1.6335551414182377</v>
      </c>
      <c r="S32" s="22">
        <f t="shared" si="4"/>
        <v>61.760504642723262</v>
      </c>
      <c r="T32" s="23">
        <v>0.55859868298040061</v>
      </c>
      <c r="U32" s="24">
        <v>0.1</v>
      </c>
      <c r="V32" s="25">
        <f t="shared" si="8"/>
        <v>105.88582531598874</v>
      </c>
      <c r="W32" s="26" t="s">
        <v>29</v>
      </c>
    </row>
    <row r="33" spans="1:23" ht="89.25" x14ac:dyDescent="0.25">
      <c r="A33" s="17">
        <f t="shared" ca="1" si="0"/>
        <v>29</v>
      </c>
      <c r="B33" s="18" t="s">
        <v>50</v>
      </c>
      <c r="C33" s="18" t="s">
        <v>86</v>
      </c>
      <c r="D33" s="18"/>
      <c r="E33" s="18"/>
      <c r="F33" s="18"/>
      <c r="G33" s="18"/>
      <c r="H33" s="19" t="s">
        <v>87</v>
      </c>
      <c r="I33" s="18" t="s">
        <v>57</v>
      </c>
      <c r="J33" s="20">
        <v>1</v>
      </c>
      <c r="K33" s="20">
        <v>1.1499999999999999</v>
      </c>
      <c r="L33" s="21" t="s">
        <v>28</v>
      </c>
      <c r="M33" s="22">
        <v>6.2100000000000009E-2</v>
      </c>
      <c r="N33" s="22">
        <v>8.0000000000000004E-4</v>
      </c>
      <c r="O33" s="22">
        <v>1056.2485639227937</v>
      </c>
      <c r="P33" s="22">
        <f t="shared" si="1"/>
        <v>75.431991192546306</v>
      </c>
      <c r="Q33" s="22">
        <v>1775.603414585041</v>
      </c>
      <c r="R33" s="22">
        <f t="shared" si="3"/>
        <v>1.6335551414182377</v>
      </c>
      <c r="S33" s="22">
        <f t="shared" si="4"/>
        <v>77.065546333964548</v>
      </c>
      <c r="T33" s="23">
        <v>0.55859868298040061</v>
      </c>
      <c r="U33" s="24">
        <v>0.1</v>
      </c>
      <c r="V33" s="25">
        <f t="shared" si="8"/>
        <v>132.12568492121039</v>
      </c>
      <c r="W33" s="26" t="s">
        <v>29</v>
      </c>
    </row>
    <row r="34" spans="1:23" ht="89.25" x14ac:dyDescent="0.25">
      <c r="A34" s="17">
        <f t="shared" ca="1" si="0"/>
        <v>30</v>
      </c>
      <c r="B34" s="18" t="s">
        <v>50</v>
      </c>
      <c r="C34" s="18" t="s">
        <v>88</v>
      </c>
      <c r="D34" s="18"/>
      <c r="E34" s="18"/>
      <c r="F34" s="18"/>
      <c r="G34" s="18"/>
      <c r="H34" s="19" t="s">
        <v>89</v>
      </c>
      <c r="I34" s="18" t="s">
        <v>57</v>
      </c>
      <c r="J34" s="20">
        <v>1</v>
      </c>
      <c r="K34" s="20">
        <v>1.1499999999999999</v>
      </c>
      <c r="L34" s="21" t="s">
        <v>28</v>
      </c>
      <c r="M34" s="22">
        <v>0.14130000000000001</v>
      </c>
      <c r="N34" s="22">
        <v>8.0000000000000004E-4</v>
      </c>
      <c r="O34" s="22">
        <v>1056.2485639227937</v>
      </c>
      <c r="P34" s="22">
        <f t="shared" si="1"/>
        <v>171.63511039463435</v>
      </c>
      <c r="Q34" s="22">
        <v>1775.603414585041</v>
      </c>
      <c r="R34" s="22">
        <f t="shared" si="3"/>
        <v>1.6335551414182377</v>
      </c>
      <c r="S34" s="22">
        <f t="shared" si="4"/>
        <v>173.26866553605259</v>
      </c>
      <c r="T34" s="23">
        <v>0.55859868298040061</v>
      </c>
      <c r="U34" s="24">
        <v>0.1</v>
      </c>
      <c r="V34" s="25">
        <f t="shared" si="8"/>
        <v>297.06194529688941</v>
      </c>
      <c r="W34" s="26" t="s">
        <v>29</v>
      </c>
    </row>
    <row r="35" spans="1:23" ht="89.25" x14ac:dyDescent="0.25">
      <c r="A35" s="17">
        <f t="shared" ca="1" si="0"/>
        <v>31</v>
      </c>
      <c r="B35" s="18" t="s">
        <v>50</v>
      </c>
      <c r="C35" s="18" t="s">
        <v>90</v>
      </c>
      <c r="D35" s="18"/>
      <c r="E35" s="18"/>
      <c r="F35" s="18"/>
      <c r="G35" s="18"/>
      <c r="H35" s="19" t="s">
        <v>91</v>
      </c>
      <c r="I35" s="18" t="s">
        <v>57</v>
      </c>
      <c r="J35" s="20">
        <v>1</v>
      </c>
      <c r="K35" s="20">
        <v>1.1499999999999999</v>
      </c>
      <c r="L35" s="21" t="s">
        <v>28</v>
      </c>
      <c r="M35" s="22">
        <v>0.16020000000000001</v>
      </c>
      <c r="N35" s="22">
        <v>8.0000000000000004E-4</v>
      </c>
      <c r="O35" s="22">
        <v>1056.2485639227937</v>
      </c>
      <c r="P35" s="22">
        <f t="shared" si="1"/>
        <v>194.59267293149628</v>
      </c>
      <c r="Q35" s="22">
        <v>1775.603414585041</v>
      </c>
      <c r="R35" s="22">
        <f t="shared" si="3"/>
        <v>1.6335551414182377</v>
      </c>
      <c r="S35" s="22">
        <f t="shared" si="4"/>
        <v>196.22622807291452</v>
      </c>
      <c r="T35" s="23">
        <v>0.55859868298040061</v>
      </c>
      <c r="U35" s="24">
        <v>0.1</v>
      </c>
      <c r="V35" s="25">
        <f t="shared" si="8"/>
        <v>336.42173470472187</v>
      </c>
      <c r="W35" s="26" t="s">
        <v>29</v>
      </c>
    </row>
    <row r="36" spans="1:23" ht="89.25" x14ac:dyDescent="0.25">
      <c r="A36" s="17">
        <f t="shared" ca="1" si="0"/>
        <v>32</v>
      </c>
      <c r="B36" s="18" t="s">
        <v>50</v>
      </c>
      <c r="C36" s="18" t="s">
        <v>92</v>
      </c>
      <c r="D36" s="18"/>
      <c r="E36" s="18"/>
      <c r="F36" s="18"/>
      <c r="G36" s="18"/>
      <c r="H36" s="19" t="s">
        <v>93</v>
      </c>
      <c r="I36" s="18" t="s">
        <v>57</v>
      </c>
      <c r="J36" s="20">
        <v>1</v>
      </c>
      <c r="K36" s="20">
        <v>1.1499999999999999</v>
      </c>
      <c r="L36" s="21" t="s">
        <v>28</v>
      </c>
      <c r="M36" s="22">
        <v>0.19439999999999999</v>
      </c>
      <c r="N36" s="22">
        <v>8.0000000000000004E-4</v>
      </c>
      <c r="O36" s="22">
        <v>1056.2485639227937</v>
      </c>
      <c r="P36" s="22">
        <f t="shared" si="1"/>
        <v>236.13492895057973</v>
      </c>
      <c r="Q36" s="22">
        <v>1775.603414585041</v>
      </c>
      <c r="R36" s="22">
        <f t="shared" si="3"/>
        <v>1.6335551414182377</v>
      </c>
      <c r="S36" s="22">
        <f t="shared" si="4"/>
        <v>237.76848409199798</v>
      </c>
      <c r="T36" s="23">
        <v>0.55859868298040061</v>
      </c>
      <c r="U36" s="24">
        <v>0.1</v>
      </c>
      <c r="V36" s="25">
        <f t="shared" si="8"/>
        <v>407.64421077603777</v>
      </c>
      <c r="W36" s="26" t="s">
        <v>29</v>
      </c>
    </row>
    <row r="37" spans="1:23" ht="89.25" x14ac:dyDescent="0.25">
      <c r="A37" s="17">
        <f t="shared" ca="1" si="0"/>
        <v>33</v>
      </c>
      <c r="B37" s="18" t="s">
        <v>50</v>
      </c>
      <c r="C37" s="18" t="s">
        <v>94</v>
      </c>
      <c r="D37" s="18"/>
      <c r="E37" s="18"/>
      <c r="F37" s="18"/>
      <c r="G37" s="18"/>
      <c r="H37" s="19" t="s">
        <v>95</v>
      </c>
      <c r="I37" s="18" t="s">
        <v>57</v>
      </c>
      <c r="J37" s="20">
        <v>1</v>
      </c>
      <c r="K37" s="20">
        <v>1.1499999999999999</v>
      </c>
      <c r="L37" s="21" t="s">
        <v>28</v>
      </c>
      <c r="M37" s="22">
        <v>0.216</v>
      </c>
      <c r="N37" s="22">
        <v>8.0000000000000004E-4</v>
      </c>
      <c r="O37" s="22">
        <v>1056.2485639227937</v>
      </c>
      <c r="P37" s="22">
        <f t="shared" si="1"/>
        <v>262.3721432784219</v>
      </c>
      <c r="Q37" s="22">
        <v>1775.603414585041</v>
      </c>
      <c r="R37" s="22">
        <f t="shared" si="3"/>
        <v>1.6335551414182377</v>
      </c>
      <c r="S37" s="22">
        <f t="shared" si="4"/>
        <v>264.00569841984014</v>
      </c>
      <c r="T37" s="23">
        <v>0.55859868298040061</v>
      </c>
      <c r="U37" s="24">
        <v>0.1</v>
      </c>
      <c r="V37" s="25">
        <f t="shared" si="8"/>
        <v>452.62682724213204</v>
      </c>
      <c r="W37" s="26" t="s">
        <v>29</v>
      </c>
    </row>
    <row r="38" spans="1:23" ht="89.25" x14ac:dyDescent="0.25">
      <c r="A38" s="17">
        <f t="shared" ca="1" si="0"/>
        <v>34</v>
      </c>
      <c r="B38" s="18" t="s">
        <v>50</v>
      </c>
      <c r="C38" s="18" t="s">
        <v>96</v>
      </c>
      <c r="D38" s="18"/>
      <c r="E38" s="18"/>
      <c r="F38" s="18"/>
      <c r="G38" s="18"/>
      <c r="H38" s="19" t="s">
        <v>97</v>
      </c>
      <c r="I38" s="18" t="s">
        <v>57</v>
      </c>
      <c r="J38" s="20">
        <v>1</v>
      </c>
      <c r="K38" s="20">
        <v>1.1499999999999999</v>
      </c>
      <c r="L38" s="21" t="s">
        <v>28</v>
      </c>
      <c r="M38" s="22">
        <v>0.23940000000000003</v>
      </c>
      <c r="N38" s="22">
        <v>8.0000000000000004E-4</v>
      </c>
      <c r="O38" s="22">
        <v>1056.2485639227937</v>
      </c>
      <c r="P38" s="22">
        <f t="shared" si="1"/>
        <v>290.79579213358431</v>
      </c>
      <c r="Q38" s="22">
        <v>1775.603414585041</v>
      </c>
      <c r="R38" s="22">
        <f t="shared" si="3"/>
        <v>1.6335551414182377</v>
      </c>
      <c r="S38" s="22">
        <f t="shared" si="4"/>
        <v>292.42934727500256</v>
      </c>
      <c r="T38" s="23">
        <v>0.55859868298040061</v>
      </c>
      <c r="U38" s="24">
        <v>0.1</v>
      </c>
      <c r="V38" s="25">
        <f t="shared" si="8"/>
        <v>501.35799508040094</v>
      </c>
      <c r="W38" s="26" t="s">
        <v>29</v>
      </c>
    </row>
    <row r="39" spans="1:23" ht="89.25" x14ac:dyDescent="0.25">
      <c r="A39" s="17">
        <f t="shared" ca="1" si="0"/>
        <v>35</v>
      </c>
      <c r="B39" s="18" t="s">
        <v>50</v>
      </c>
      <c r="C39" s="18" t="s">
        <v>98</v>
      </c>
      <c r="D39" s="18"/>
      <c r="E39" s="18"/>
      <c r="F39" s="18"/>
      <c r="G39" s="18"/>
      <c r="H39" s="19" t="s">
        <v>99</v>
      </c>
      <c r="I39" s="18" t="s">
        <v>57</v>
      </c>
      <c r="J39" s="20">
        <v>1</v>
      </c>
      <c r="K39" s="20">
        <v>1.1499999999999999</v>
      </c>
      <c r="L39" s="21" t="s">
        <v>28</v>
      </c>
      <c r="M39" s="22">
        <v>0.2646</v>
      </c>
      <c r="N39" s="22">
        <v>8.0000000000000004E-4</v>
      </c>
      <c r="O39" s="22">
        <v>1056.2485639227937</v>
      </c>
      <c r="P39" s="22">
        <f t="shared" si="1"/>
        <v>321.40587551606683</v>
      </c>
      <c r="Q39" s="22">
        <v>1775.603414585041</v>
      </c>
      <c r="R39" s="22">
        <f t="shared" si="3"/>
        <v>1.6335551414182377</v>
      </c>
      <c r="S39" s="22">
        <f t="shared" si="4"/>
        <v>323.03943065748507</v>
      </c>
      <c r="T39" s="23">
        <v>0.55859868298040061</v>
      </c>
      <c r="U39" s="24">
        <v>0.1</v>
      </c>
      <c r="V39" s="25">
        <f t="shared" si="8"/>
        <v>553.83771429084413</v>
      </c>
      <c r="W39" s="26" t="s">
        <v>29</v>
      </c>
    </row>
    <row r="40" spans="1:23" x14ac:dyDescent="0.25">
      <c r="A40" s="12">
        <f t="shared" ca="1" si="0"/>
        <v>36</v>
      </c>
      <c r="B40" s="13" t="s">
        <v>50</v>
      </c>
      <c r="C40" s="13" t="s">
        <v>100</v>
      </c>
      <c r="D40" s="13"/>
      <c r="E40" s="13"/>
      <c r="F40" s="13"/>
      <c r="G40" s="13"/>
      <c r="H40" s="15" t="s">
        <v>101</v>
      </c>
      <c r="I40" s="15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27"/>
      <c r="U40" s="16"/>
      <c r="V40" s="13"/>
      <c r="W40" s="13"/>
    </row>
    <row r="41" spans="1:23" ht="89.25" x14ac:dyDescent="0.25">
      <c r="A41" s="17">
        <f t="shared" ca="1" si="0"/>
        <v>37</v>
      </c>
      <c r="B41" s="18" t="s">
        <v>50</v>
      </c>
      <c r="C41" s="18" t="s">
        <v>102</v>
      </c>
      <c r="D41" s="18"/>
      <c r="E41" s="18"/>
      <c r="F41" s="18"/>
      <c r="G41" s="18"/>
      <c r="H41" s="19" t="s">
        <v>103</v>
      </c>
      <c r="I41" s="18" t="s">
        <v>104</v>
      </c>
      <c r="J41" s="20">
        <v>1</v>
      </c>
      <c r="K41" s="20">
        <v>1.1499999999999999</v>
      </c>
      <c r="L41" s="21" t="s">
        <v>28</v>
      </c>
      <c r="M41" s="22">
        <v>0.6048</v>
      </c>
      <c r="N41" s="22">
        <v>1.7600000000000001E-2</v>
      </c>
      <c r="O41" s="22">
        <v>1056.2485639227937</v>
      </c>
      <c r="P41" s="22">
        <f t="shared" si="1"/>
        <v>734.64200117958137</v>
      </c>
      <c r="Q41" s="22">
        <v>1775.603414585041</v>
      </c>
      <c r="R41" s="22">
        <f t="shared" si="3"/>
        <v>35.938213111201229</v>
      </c>
      <c r="S41" s="22">
        <f t="shared" si="4"/>
        <v>770.58021429078258</v>
      </c>
      <c r="T41" s="23">
        <v>0.55859868298040061</v>
      </c>
      <c r="U41" s="24">
        <v>0.1</v>
      </c>
      <c r="V41" s="25">
        <f t="shared" ref="V41:V42" si="9">S41+S41*T41+(S41+S41*T41)*U41</f>
        <v>1321.1278378368056</v>
      </c>
      <c r="W41" s="26" t="s">
        <v>29</v>
      </c>
    </row>
    <row r="42" spans="1:23" ht="89.25" x14ac:dyDescent="0.25">
      <c r="A42" s="17">
        <f t="shared" ca="1" si="0"/>
        <v>38</v>
      </c>
      <c r="B42" s="18" t="s">
        <v>50</v>
      </c>
      <c r="C42" s="18" t="s">
        <v>105</v>
      </c>
      <c r="D42" s="18"/>
      <c r="E42" s="18"/>
      <c r="F42" s="18"/>
      <c r="G42" s="18"/>
      <c r="H42" s="19" t="s">
        <v>106</v>
      </c>
      <c r="I42" s="18" t="s">
        <v>104</v>
      </c>
      <c r="J42" s="20">
        <v>1</v>
      </c>
      <c r="K42" s="20">
        <v>1.1499999999999999</v>
      </c>
      <c r="L42" s="21" t="s">
        <v>28</v>
      </c>
      <c r="M42" s="22">
        <v>0.46530000000000005</v>
      </c>
      <c r="N42" s="22">
        <v>3.8400000000000004E-2</v>
      </c>
      <c r="O42" s="22">
        <v>1056.2485639227937</v>
      </c>
      <c r="P42" s="22">
        <f t="shared" si="1"/>
        <v>565.19332531226735</v>
      </c>
      <c r="Q42" s="22">
        <v>1775.603414585041</v>
      </c>
      <c r="R42" s="22">
        <f t="shared" si="3"/>
        <v>78.410646788075411</v>
      </c>
      <c r="S42" s="22">
        <f t="shared" si="4"/>
        <v>643.60397210034273</v>
      </c>
      <c r="T42" s="23">
        <v>0.55859868298040061</v>
      </c>
      <c r="U42" s="24">
        <v>0.1</v>
      </c>
      <c r="V42" s="25">
        <f t="shared" si="9"/>
        <v>1103.4323336042034</v>
      </c>
      <c r="W42" s="26" t="s">
        <v>29</v>
      </c>
    </row>
    <row r="43" spans="1:23" x14ac:dyDescent="0.25">
      <c r="A43" s="5">
        <f t="shared" ca="1" si="0"/>
        <v>39</v>
      </c>
      <c r="B43" s="6" t="s">
        <v>107</v>
      </c>
      <c r="C43" s="6" t="s">
        <v>107</v>
      </c>
      <c r="D43" s="6"/>
      <c r="E43" s="6"/>
      <c r="F43" s="6"/>
      <c r="G43" s="6"/>
      <c r="H43" s="7" t="s">
        <v>108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30"/>
      <c r="U43" s="8"/>
      <c r="V43" s="6"/>
      <c r="W43" s="6"/>
    </row>
    <row r="44" spans="1:23" x14ac:dyDescent="0.25">
      <c r="A44" s="28">
        <f t="shared" ca="1" si="0"/>
        <v>40</v>
      </c>
      <c r="B44" s="9" t="s">
        <v>107</v>
      </c>
      <c r="C44" s="9" t="s">
        <v>109</v>
      </c>
      <c r="D44" s="9"/>
      <c r="E44" s="9"/>
      <c r="F44" s="9"/>
      <c r="G44" s="9"/>
      <c r="H44" s="10" t="s">
        <v>110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29"/>
      <c r="U44" s="11"/>
      <c r="V44" s="9"/>
      <c r="W44" s="9"/>
    </row>
    <row r="45" spans="1:23" x14ac:dyDescent="0.25">
      <c r="A45" s="12">
        <f t="shared" ca="1" si="0"/>
        <v>41</v>
      </c>
      <c r="B45" s="13" t="s">
        <v>107</v>
      </c>
      <c r="C45" s="13" t="s">
        <v>111</v>
      </c>
      <c r="D45" s="13"/>
      <c r="E45" s="13"/>
      <c r="F45" s="13"/>
      <c r="G45" s="13"/>
      <c r="H45" s="15" t="s">
        <v>112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27"/>
      <c r="U45" s="16"/>
      <c r="V45" s="13"/>
      <c r="W45" s="13"/>
    </row>
    <row r="46" spans="1:23" ht="89.25" x14ac:dyDescent="0.25">
      <c r="A46" s="17">
        <f t="shared" ca="1" si="0"/>
        <v>42</v>
      </c>
      <c r="B46" s="18" t="s">
        <v>107</v>
      </c>
      <c r="C46" s="18" t="s">
        <v>113</v>
      </c>
      <c r="D46" s="18"/>
      <c r="E46" s="18"/>
      <c r="F46" s="18"/>
      <c r="G46" s="18"/>
      <c r="H46" s="19" t="s">
        <v>114</v>
      </c>
      <c r="I46" s="18" t="s">
        <v>115</v>
      </c>
      <c r="J46" s="20">
        <v>1</v>
      </c>
      <c r="K46" s="20">
        <v>1.1499999999999999</v>
      </c>
      <c r="L46" s="21" t="s">
        <v>28</v>
      </c>
      <c r="M46" s="22">
        <v>27.936000000000003</v>
      </c>
      <c r="N46" s="22">
        <v>7.9547999999999996</v>
      </c>
      <c r="O46" s="22">
        <v>1096.1654578411919</v>
      </c>
      <c r="P46" s="22">
        <f t="shared" si="1"/>
        <v>35215.849964789268</v>
      </c>
      <c r="Q46" s="22">
        <v>2738.5209567173424</v>
      </c>
      <c r="R46" s="22">
        <f t="shared" si="3"/>
        <v>25052.044482469377</v>
      </c>
      <c r="S46" s="22">
        <f t="shared" si="4"/>
        <v>60267.894447258645</v>
      </c>
      <c r="T46" s="23">
        <v>0.55859868298040061</v>
      </c>
      <c r="U46" s="24">
        <v>0.1</v>
      </c>
      <c r="V46" s="25">
        <f t="shared" ref="V46:V47" si="10">S46+S46*T46+(S46+S46*T46)*U46</f>
        <v>103326.80700264905</v>
      </c>
      <c r="W46" s="26" t="s">
        <v>29</v>
      </c>
    </row>
    <row r="47" spans="1:23" ht="89.25" x14ac:dyDescent="0.25">
      <c r="A47" s="17">
        <f t="shared" ca="1" si="0"/>
        <v>43</v>
      </c>
      <c r="B47" s="18" t="s">
        <v>107</v>
      </c>
      <c r="C47" s="18" t="s">
        <v>116</v>
      </c>
      <c r="D47" s="18"/>
      <c r="E47" s="18"/>
      <c r="F47" s="18"/>
      <c r="G47" s="18"/>
      <c r="H47" s="19" t="s">
        <v>117</v>
      </c>
      <c r="I47" s="18" t="s">
        <v>115</v>
      </c>
      <c r="J47" s="20">
        <v>1</v>
      </c>
      <c r="K47" s="20">
        <v>1.1499999999999999</v>
      </c>
      <c r="L47" s="21" t="s">
        <v>28</v>
      </c>
      <c r="M47" s="22">
        <v>59.527200000000008</v>
      </c>
      <c r="N47" s="22">
        <v>10.8262</v>
      </c>
      <c r="O47" s="22">
        <v>1096.1654578411919</v>
      </c>
      <c r="P47" s="22">
        <f t="shared" si="1"/>
        <v>75039.409508304831</v>
      </c>
      <c r="Q47" s="22">
        <v>2738.5209567173424</v>
      </c>
      <c r="R47" s="22">
        <f t="shared" si="3"/>
        <v>34094.941918855286</v>
      </c>
      <c r="S47" s="22">
        <f t="shared" si="4"/>
        <v>109134.35142716012</v>
      </c>
      <c r="T47" s="23">
        <v>0.55859868298040061</v>
      </c>
      <c r="U47" s="24">
        <v>0.1</v>
      </c>
      <c r="V47" s="25">
        <f t="shared" si="10"/>
        <v>187106.32204252115</v>
      </c>
      <c r="W47" s="26" t="s">
        <v>29</v>
      </c>
    </row>
    <row r="48" spans="1:23" x14ac:dyDescent="0.25">
      <c r="A48" s="12">
        <f t="shared" ca="1" si="0"/>
        <v>44</v>
      </c>
      <c r="B48" s="13" t="s">
        <v>107</v>
      </c>
      <c r="C48" s="13" t="s">
        <v>118</v>
      </c>
      <c r="D48" s="13"/>
      <c r="E48" s="13"/>
      <c r="F48" s="13"/>
      <c r="G48" s="13"/>
      <c r="H48" s="15" t="s">
        <v>119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27"/>
      <c r="U48" s="16"/>
      <c r="V48" s="13"/>
      <c r="W48" s="13"/>
    </row>
    <row r="49" spans="1:23" ht="89.25" x14ac:dyDescent="0.25">
      <c r="A49" s="17">
        <f t="shared" ca="1" si="0"/>
        <v>45</v>
      </c>
      <c r="B49" s="18" t="s">
        <v>107</v>
      </c>
      <c r="C49" s="18" t="s">
        <v>120</v>
      </c>
      <c r="D49" s="18"/>
      <c r="E49" s="18"/>
      <c r="F49" s="18"/>
      <c r="G49" s="18"/>
      <c r="H49" s="19" t="s">
        <v>114</v>
      </c>
      <c r="I49" s="18" t="s">
        <v>115</v>
      </c>
      <c r="J49" s="20">
        <v>1</v>
      </c>
      <c r="K49" s="20">
        <v>1.1499999999999999</v>
      </c>
      <c r="L49" s="21" t="s">
        <v>28</v>
      </c>
      <c r="M49" s="22">
        <v>24.023200000000003</v>
      </c>
      <c r="N49" s="22">
        <v>6.4826999999999995</v>
      </c>
      <c r="O49" s="22">
        <v>1096.1654578411919</v>
      </c>
      <c r="P49" s="22">
        <f t="shared" si="1"/>
        <v>30283.412330832103</v>
      </c>
      <c r="Q49" s="22">
        <v>2738.5209567173424</v>
      </c>
      <c r="R49" s="22">
        <f t="shared" si="3"/>
        <v>20415.96127702824</v>
      </c>
      <c r="S49" s="22">
        <f t="shared" si="4"/>
        <v>50699.37360786034</v>
      </c>
      <c r="T49" s="23">
        <v>0.55859868298040061</v>
      </c>
      <c r="U49" s="24">
        <v>0.1</v>
      </c>
      <c r="V49" s="25">
        <f t="shared" ref="V49:V50" si="11">S49+S49*T49+(S49+S49*T49)*U49</f>
        <v>86921.974626456649</v>
      </c>
      <c r="W49" s="26" t="s">
        <v>29</v>
      </c>
    </row>
    <row r="50" spans="1:23" ht="89.25" x14ac:dyDescent="0.25">
      <c r="A50" s="17">
        <f t="shared" ca="1" si="0"/>
        <v>46</v>
      </c>
      <c r="B50" s="18" t="s">
        <v>107</v>
      </c>
      <c r="C50" s="18" t="s">
        <v>121</v>
      </c>
      <c r="D50" s="18"/>
      <c r="E50" s="18"/>
      <c r="F50" s="18"/>
      <c r="G50" s="18"/>
      <c r="H50" s="19" t="s">
        <v>117</v>
      </c>
      <c r="I50" s="18" t="s">
        <v>115</v>
      </c>
      <c r="J50" s="20">
        <v>1</v>
      </c>
      <c r="K50" s="20">
        <v>1.1499999999999999</v>
      </c>
      <c r="L50" s="21" t="s">
        <v>28</v>
      </c>
      <c r="M50" s="22">
        <v>68.756</v>
      </c>
      <c r="N50" s="22">
        <v>10.718399999999999</v>
      </c>
      <c r="O50" s="22">
        <v>1096.1654578411919</v>
      </c>
      <c r="P50" s="22">
        <f t="shared" si="1"/>
        <v>86673.145052228327</v>
      </c>
      <c r="Q50" s="22">
        <v>2738.5209567173424</v>
      </c>
      <c r="R50" s="22">
        <f t="shared" si="3"/>
        <v>33755.447475851033</v>
      </c>
      <c r="S50" s="22">
        <f t="shared" si="4"/>
        <v>120428.59252807936</v>
      </c>
      <c r="T50" s="23">
        <v>0.55859868298040061</v>
      </c>
      <c r="U50" s="24">
        <v>0.1</v>
      </c>
      <c r="V50" s="25">
        <f t="shared" si="11"/>
        <v>206469.83027819256</v>
      </c>
      <c r="W50" s="26" t="s">
        <v>29</v>
      </c>
    </row>
    <row r="51" spans="1:23" x14ac:dyDescent="0.25">
      <c r="A51" s="12">
        <f t="shared" ca="1" si="0"/>
        <v>47</v>
      </c>
      <c r="B51" s="13" t="s">
        <v>107</v>
      </c>
      <c r="C51" s="13" t="s">
        <v>122</v>
      </c>
      <c r="D51" s="13"/>
      <c r="E51" s="13"/>
      <c r="F51" s="13"/>
      <c r="G51" s="13"/>
      <c r="H51" s="15" t="s">
        <v>123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27"/>
      <c r="U51" s="16"/>
      <c r="V51" s="13"/>
      <c r="W51" s="13"/>
    </row>
    <row r="52" spans="1:23" ht="89.25" x14ac:dyDescent="0.25">
      <c r="A52" s="17">
        <f t="shared" ca="1" si="0"/>
        <v>48</v>
      </c>
      <c r="B52" s="18" t="s">
        <v>107</v>
      </c>
      <c r="C52" s="18" t="s">
        <v>124</v>
      </c>
      <c r="D52" s="18"/>
      <c r="E52" s="18"/>
      <c r="F52" s="18"/>
      <c r="G52" s="18"/>
      <c r="H52" s="19" t="s">
        <v>114</v>
      </c>
      <c r="I52" s="18" t="s">
        <v>115</v>
      </c>
      <c r="J52" s="20">
        <v>1</v>
      </c>
      <c r="K52" s="20">
        <v>1.1499999999999999</v>
      </c>
      <c r="L52" s="21" t="s">
        <v>28</v>
      </c>
      <c r="M52" s="22">
        <v>22.860000000000003</v>
      </c>
      <c r="N52" s="22">
        <v>5.5019999999999989</v>
      </c>
      <c r="O52" s="22">
        <v>1096.1654578411919</v>
      </c>
      <c r="P52" s="22">
        <f t="shared" si="1"/>
        <v>28817.093721187095</v>
      </c>
      <c r="Q52" s="22">
        <v>2738.5209567173424</v>
      </c>
      <c r="R52" s="22">
        <f t="shared" si="3"/>
        <v>17327.443649437635</v>
      </c>
      <c r="S52" s="22">
        <f t="shared" si="4"/>
        <v>46144.537370624734</v>
      </c>
      <c r="T52" s="23">
        <v>0.55859868298040061</v>
      </c>
      <c r="U52" s="24">
        <v>0.1</v>
      </c>
      <c r="V52" s="25">
        <f t="shared" ref="V52:V53" si="12">S52+S52*T52+(S52+S52*T52)*U52</f>
        <v>79112.896689855144</v>
      </c>
      <c r="W52" s="26" t="s">
        <v>29</v>
      </c>
    </row>
    <row r="53" spans="1:23" ht="89.25" x14ac:dyDescent="0.25">
      <c r="A53" s="17">
        <f t="shared" ca="1" si="0"/>
        <v>49</v>
      </c>
      <c r="B53" s="18" t="s">
        <v>107</v>
      </c>
      <c r="C53" s="18" t="s">
        <v>125</v>
      </c>
      <c r="D53" s="18"/>
      <c r="E53" s="18"/>
      <c r="F53" s="18"/>
      <c r="G53" s="18"/>
      <c r="H53" s="19" t="s">
        <v>126</v>
      </c>
      <c r="I53" s="18" t="s">
        <v>115</v>
      </c>
      <c r="J53" s="20">
        <v>1</v>
      </c>
      <c r="K53" s="20">
        <v>1.1499999999999999</v>
      </c>
      <c r="L53" s="21" t="s">
        <v>28</v>
      </c>
      <c r="M53" s="22">
        <v>63.8232</v>
      </c>
      <c r="N53" s="22">
        <v>10.898300000000001</v>
      </c>
      <c r="O53" s="22">
        <v>1096.1654578411919</v>
      </c>
      <c r="P53" s="22">
        <f t="shared" si="1"/>
        <v>80454.905336223441</v>
      </c>
      <c r="Q53" s="22">
        <v>2738.5209567173424</v>
      </c>
      <c r="R53" s="22">
        <f t="shared" si="3"/>
        <v>34322.006383981505</v>
      </c>
      <c r="S53" s="22">
        <f t="shared" si="4"/>
        <v>114776.91172020495</v>
      </c>
      <c r="T53" s="23">
        <v>0.55859868298040061</v>
      </c>
      <c r="U53" s="24">
        <v>0.1</v>
      </c>
      <c r="V53" s="25">
        <f t="shared" si="12"/>
        <v>196780.25778803605</v>
      </c>
      <c r="W53" s="26" t="s">
        <v>29</v>
      </c>
    </row>
    <row r="54" spans="1:23" x14ac:dyDescent="0.25">
      <c r="A54" s="28">
        <f t="shared" ca="1" si="0"/>
        <v>50</v>
      </c>
      <c r="B54" s="9" t="s">
        <v>107</v>
      </c>
      <c r="C54" s="9" t="s">
        <v>127</v>
      </c>
      <c r="D54" s="9"/>
      <c r="E54" s="9"/>
      <c r="F54" s="9"/>
      <c r="G54" s="9"/>
      <c r="H54" s="10" t="s">
        <v>128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29"/>
      <c r="U54" s="11"/>
      <c r="V54" s="9"/>
      <c r="W54" s="9"/>
    </row>
    <row r="55" spans="1:23" x14ac:dyDescent="0.25">
      <c r="A55" s="12">
        <f t="shared" ca="1" si="0"/>
        <v>51</v>
      </c>
      <c r="B55" s="13" t="s">
        <v>107</v>
      </c>
      <c r="C55" s="13" t="s">
        <v>129</v>
      </c>
      <c r="D55" s="13"/>
      <c r="E55" s="13"/>
      <c r="F55" s="13"/>
      <c r="G55" s="13"/>
      <c r="H55" s="15" t="s">
        <v>130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27"/>
      <c r="U55" s="16"/>
      <c r="V55" s="13"/>
      <c r="W55" s="13"/>
    </row>
    <row r="56" spans="1:23" ht="89.25" x14ac:dyDescent="0.25">
      <c r="A56" s="17">
        <f t="shared" ca="1" si="0"/>
        <v>52</v>
      </c>
      <c r="B56" s="18" t="s">
        <v>107</v>
      </c>
      <c r="C56" s="18" t="s">
        <v>131</v>
      </c>
      <c r="D56" s="18"/>
      <c r="E56" s="18"/>
      <c r="F56" s="18"/>
      <c r="G56" s="18"/>
      <c r="H56" s="19" t="s">
        <v>132</v>
      </c>
      <c r="I56" s="18" t="s">
        <v>115</v>
      </c>
      <c r="J56" s="20">
        <v>1</v>
      </c>
      <c r="K56" s="20">
        <v>1.1499999999999999</v>
      </c>
      <c r="L56" s="21" t="s">
        <v>28</v>
      </c>
      <c r="M56" s="22">
        <v>49.92</v>
      </c>
      <c r="N56" s="22">
        <v>10.639999999999999</v>
      </c>
      <c r="O56" s="22">
        <v>1096.1654578411919</v>
      </c>
      <c r="P56" s="22">
        <f t="shared" si="1"/>
        <v>62928.666603747144</v>
      </c>
      <c r="Q56" s="22">
        <v>2738.5209567173424</v>
      </c>
      <c r="R56" s="22">
        <f t="shared" si="3"/>
        <v>33508.542426393396</v>
      </c>
      <c r="S56" s="22">
        <f t="shared" si="4"/>
        <v>96437.209030140541</v>
      </c>
      <c r="T56" s="23">
        <v>0.55859868298040061</v>
      </c>
      <c r="U56" s="24">
        <v>0.1</v>
      </c>
      <c r="V56" s="25">
        <f t="shared" ref="V56" si="13">S56+S56*T56+(S56+S56*T56)*U56</f>
        <v>165337.59768315093</v>
      </c>
      <c r="W56" s="26" t="s">
        <v>29</v>
      </c>
    </row>
    <row r="57" spans="1:23" x14ac:dyDescent="0.25">
      <c r="A57" s="28">
        <f t="shared" ca="1" si="0"/>
        <v>53</v>
      </c>
      <c r="B57" s="9" t="s">
        <v>107</v>
      </c>
      <c r="C57" s="9" t="s">
        <v>133</v>
      </c>
      <c r="D57" s="9"/>
      <c r="E57" s="9"/>
      <c r="F57" s="9"/>
      <c r="G57" s="9"/>
      <c r="H57" s="10" t="s">
        <v>134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29"/>
      <c r="U57" s="11"/>
      <c r="V57" s="9"/>
      <c r="W57" s="9"/>
    </row>
    <row r="58" spans="1:23" x14ac:dyDescent="0.25">
      <c r="A58" s="12">
        <f t="shared" ca="1" si="0"/>
        <v>54</v>
      </c>
      <c r="B58" s="13" t="s">
        <v>107</v>
      </c>
      <c r="C58" s="13" t="s">
        <v>135</v>
      </c>
      <c r="D58" s="13"/>
      <c r="E58" s="13"/>
      <c r="F58" s="13"/>
      <c r="G58" s="13"/>
      <c r="H58" s="31" t="s">
        <v>136</v>
      </c>
      <c r="I58" s="32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27"/>
      <c r="U58" s="16"/>
      <c r="V58" s="13"/>
      <c r="W58" s="13"/>
    </row>
    <row r="59" spans="1:23" ht="89.25" x14ac:dyDescent="0.25">
      <c r="A59" s="17">
        <f t="shared" ca="1" si="0"/>
        <v>55</v>
      </c>
      <c r="B59" s="18" t="s">
        <v>107</v>
      </c>
      <c r="C59" s="18" t="s">
        <v>137</v>
      </c>
      <c r="D59" s="18"/>
      <c r="E59" s="18"/>
      <c r="F59" s="18"/>
      <c r="G59" s="18"/>
      <c r="H59" s="19" t="s">
        <v>138</v>
      </c>
      <c r="I59" s="18" t="s">
        <v>115</v>
      </c>
      <c r="J59" s="20">
        <v>1</v>
      </c>
      <c r="K59" s="20">
        <v>1.1499999999999999</v>
      </c>
      <c r="L59" s="21" t="s">
        <v>28</v>
      </c>
      <c r="M59" s="22">
        <v>210.4</v>
      </c>
      <c r="N59" s="22">
        <v>17.849999999999998</v>
      </c>
      <c r="O59" s="22">
        <v>1096.1654578411919</v>
      </c>
      <c r="P59" s="22">
        <f t="shared" si="1"/>
        <v>265228.19417925482</v>
      </c>
      <c r="Q59" s="22">
        <v>2738.5209567173424</v>
      </c>
      <c r="R59" s="22">
        <f t="shared" si="3"/>
        <v>56214.988939015238</v>
      </c>
      <c r="S59" s="22">
        <f t="shared" si="4"/>
        <v>321443.18311827007</v>
      </c>
      <c r="T59" s="23">
        <v>0.55859868298040061</v>
      </c>
      <c r="U59" s="24">
        <v>0.1</v>
      </c>
      <c r="V59" s="25">
        <f t="shared" ref="V59" si="14">S59+S59*T59+(S59+S59*T59)*U59</f>
        <v>551101.01404727984</v>
      </c>
      <c r="W59" s="26" t="s">
        <v>29</v>
      </c>
    </row>
    <row r="60" spans="1:23" x14ac:dyDescent="0.25">
      <c r="A60" s="5">
        <f t="shared" ca="1" si="0"/>
        <v>56</v>
      </c>
      <c r="B60" s="6" t="s">
        <v>139</v>
      </c>
      <c r="C60" s="6" t="s">
        <v>139</v>
      </c>
      <c r="D60" s="6"/>
      <c r="E60" s="6"/>
      <c r="F60" s="6"/>
      <c r="G60" s="6"/>
      <c r="H60" s="7" t="s">
        <v>140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30"/>
      <c r="U60" s="8"/>
      <c r="V60" s="6"/>
      <c r="W60" s="6"/>
    </row>
    <row r="61" spans="1:23" x14ac:dyDescent="0.25">
      <c r="A61" s="28">
        <f t="shared" ca="1" si="0"/>
        <v>57</v>
      </c>
      <c r="B61" s="9" t="s">
        <v>139</v>
      </c>
      <c r="C61" s="9" t="s">
        <v>141</v>
      </c>
      <c r="D61" s="9"/>
      <c r="E61" s="9"/>
      <c r="F61" s="9"/>
      <c r="G61" s="9"/>
      <c r="H61" s="10" t="s">
        <v>142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29"/>
      <c r="U61" s="11"/>
      <c r="V61" s="9"/>
      <c r="W61" s="9"/>
    </row>
    <row r="62" spans="1:23" x14ac:dyDescent="0.25">
      <c r="A62" s="12">
        <f t="shared" ca="1" si="0"/>
        <v>58</v>
      </c>
      <c r="B62" s="13" t="s">
        <v>139</v>
      </c>
      <c r="C62" s="13" t="s">
        <v>143</v>
      </c>
      <c r="D62" s="13"/>
      <c r="E62" s="13"/>
      <c r="F62" s="13"/>
      <c r="G62" s="13"/>
      <c r="H62" s="15" t="s">
        <v>144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27"/>
      <c r="U62" s="16"/>
      <c r="V62" s="13"/>
      <c r="W62" s="13"/>
    </row>
    <row r="63" spans="1:23" ht="89.25" x14ac:dyDescent="0.25">
      <c r="A63" s="17">
        <f t="shared" ca="1" si="0"/>
        <v>59</v>
      </c>
      <c r="B63" s="18" t="s">
        <v>139</v>
      </c>
      <c r="C63" s="18" t="s">
        <v>145</v>
      </c>
      <c r="D63" s="18"/>
      <c r="E63" s="18"/>
      <c r="F63" s="18"/>
      <c r="G63" s="18"/>
      <c r="H63" s="19" t="s">
        <v>146</v>
      </c>
      <c r="I63" s="18" t="s">
        <v>104</v>
      </c>
      <c r="J63" s="20">
        <v>1</v>
      </c>
      <c r="K63" s="20">
        <v>1.1499999999999999</v>
      </c>
      <c r="L63" s="21" t="s">
        <v>28</v>
      </c>
      <c r="M63" s="22">
        <v>0.10919999999999999</v>
      </c>
      <c r="N63" s="22">
        <v>8.9999999999999993E-3</v>
      </c>
      <c r="O63" s="22">
        <v>1017.1985435894751</v>
      </c>
      <c r="P63" s="22">
        <f t="shared" ref="P63:P126" si="15">O63*M63*K63</f>
        <v>127.73979310396626</v>
      </c>
      <c r="Q63" s="22">
        <v>2777.0693256854333</v>
      </c>
      <c r="R63" s="22">
        <f t="shared" ref="R63:R126" si="16">N63*Q63*K63</f>
        <v>28.742667520844229</v>
      </c>
      <c r="S63" s="22">
        <f t="shared" ref="S63:S126" si="17">P63+R63</f>
        <v>156.4824606248105</v>
      </c>
      <c r="T63" s="23">
        <v>0.55859868298040061</v>
      </c>
      <c r="U63" s="24">
        <v>0.1</v>
      </c>
      <c r="V63" s="25">
        <f t="shared" ref="V63:V68" si="18">S63+S63*T63+(S63+S63*T63)*U63</f>
        <v>268.28269274329824</v>
      </c>
      <c r="W63" s="26" t="s">
        <v>29</v>
      </c>
    </row>
    <row r="64" spans="1:23" ht="89.25" x14ac:dyDescent="0.25">
      <c r="A64" s="17">
        <f t="shared" ca="1" si="0"/>
        <v>60</v>
      </c>
      <c r="B64" s="18" t="s">
        <v>139</v>
      </c>
      <c r="C64" s="18" t="s">
        <v>147</v>
      </c>
      <c r="D64" s="18"/>
      <c r="E64" s="18"/>
      <c r="F64" s="18"/>
      <c r="G64" s="18"/>
      <c r="H64" s="19" t="s">
        <v>148</v>
      </c>
      <c r="I64" s="18" t="s">
        <v>104</v>
      </c>
      <c r="J64" s="20">
        <v>1</v>
      </c>
      <c r="K64" s="20">
        <v>1.1499999999999999</v>
      </c>
      <c r="L64" s="21" t="s">
        <v>28</v>
      </c>
      <c r="M64" s="22">
        <v>0.12669999999999998</v>
      </c>
      <c r="N64" s="22">
        <v>8.9999999999999993E-3</v>
      </c>
      <c r="O64" s="22">
        <v>1017.1985435894751</v>
      </c>
      <c r="P64" s="22">
        <f t="shared" si="15"/>
        <v>148.21091379370441</v>
      </c>
      <c r="Q64" s="22">
        <v>2777.0693256854333</v>
      </c>
      <c r="R64" s="22">
        <f t="shared" si="16"/>
        <v>28.742667520844229</v>
      </c>
      <c r="S64" s="22">
        <f t="shared" si="17"/>
        <v>176.95358131454864</v>
      </c>
      <c r="T64" s="23">
        <v>0.55859868298040061</v>
      </c>
      <c r="U64" s="24">
        <v>0.1</v>
      </c>
      <c r="V64" s="25">
        <f t="shared" si="18"/>
        <v>303.37958066407282</v>
      </c>
      <c r="W64" s="26" t="s">
        <v>29</v>
      </c>
    </row>
    <row r="65" spans="1:23" ht="89.25" x14ac:dyDescent="0.25">
      <c r="A65" s="17">
        <f t="shared" ca="1" si="0"/>
        <v>61</v>
      </c>
      <c r="B65" s="18" t="s">
        <v>139</v>
      </c>
      <c r="C65" s="18" t="s">
        <v>149</v>
      </c>
      <c r="D65" s="18"/>
      <c r="E65" s="18"/>
      <c r="F65" s="18"/>
      <c r="G65" s="18"/>
      <c r="H65" s="19" t="s">
        <v>150</v>
      </c>
      <c r="I65" s="18" t="s">
        <v>104</v>
      </c>
      <c r="J65" s="20">
        <v>1</v>
      </c>
      <c r="K65" s="20">
        <v>1.1499999999999999</v>
      </c>
      <c r="L65" s="21" t="s">
        <v>28</v>
      </c>
      <c r="M65" s="22">
        <v>0.18129999999999999</v>
      </c>
      <c r="N65" s="22">
        <v>8.9999999999999993E-3</v>
      </c>
      <c r="O65" s="22">
        <v>1017.1985435894751</v>
      </c>
      <c r="P65" s="22">
        <f t="shared" si="15"/>
        <v>212.08081034568758</v>
      </c>
      <c r="Q65" s="22">
        <v>2777.0693256854333</v>
      </c>
      <c r="R65" s="22">
        <f t="shared" si="16"/>
        <v>28.742667520844229</v>
      </c>
      <c r="S65" s="22">
        <f t="shared" si="17"/>
        <v>240.82347786653182</v>
      </c>
      <c r="T65" s="23">
        <v>0.55859868298040061</v>
      </c>
      <c r="U65" s="24">
        <v>0.1</v>
      </c>
      <c r="V65" s="25">
        <f t="shared" si="18"/>
        <v>412.88187097688979</v>
      </c>
      <c r="W65" s="26" t="s">
        <v>29</v>
      </c>
    </row>
    <row r="66" spans="1:23" ht="89.25" x14ac:dyDescent="0.25">
      <c r="A66" s="17">
        <f t="shared" ca="1" si="0"/>
        <v>62</v>
      </c>
      <c r="B66" s="18" t="s">
        <v>139</v>
      </c>
      <c r="C66" s="18" t="s">
        <v>151</v>
      </c>
      <c r="D66" s="18"/>
      <c r="E66" s="18"/>
      <c r="F66" s="18"/>
      <c r="G66" s="18"/>
      <c r="H66" s="19" t="s">
        <v>152</v>
      </c>
      <c r="I66" s="18" t="s">
        <v>104</v>
      </c>
      <c r="J66" s="20">
        <v>1</v>
      </c>
      <c r="K66" s="20">
        <v>1.1499999999999999</v>
      </c>
      <c r="L66" s="21" t="s">
        <v>28</v>
      </c>
      <c r="M66" s="22">
        <v>0.2611</v>
      </c>
      <c r="N66" s="22">
        <v>1.0200000000000001E-2</v>
      </c>
      <c r="O66" s="22">
        <v>1017.1985435894751</v>
      </c>
      <c r="P66" s="22">
        <f t="shared" si="15"/>
        <v>305.42912069089374</v>
      </c>
      <c r="Q66" s="22">
        <v>2777.0693256854333</v>
      </c>
      <c r="R66" s="22">
        <f t="shared" si="16"/>
        <v>32.575023190290132</v>
      </c>
      <c r="S66" s="22">
        <f t="shared" si="17"/>
        <v>338.00414388118389</v>
      </c>
      <c r="T66" s="23">
        <v>0.55859868298040061</v>
      </c>
      <c r="U66" s="24">
        <v>0.1</v>
      </c>
      <c r="V66" s="25">
        <f t="shared" si="18"/>
        <v>579.49409484464422</v>
      </c>
      <c r="W66" s="26" t="s">
        <v>29</v>
      </c>
    </row>
    <row r="67" spans="1:23" ht="89.25" x14ac:dyDescent="0.25">
      <c r="A67" s="17">
        <f t="shared" ref="A67:A130" ca="1" si="19">CELL("строка",A67)-4</f>
        <v>63</v>
      </c>
      <c r="B67" s="18" t="s">
        <v>139</v>
      </c>
      <c r="C67" s="18" t="s">
        <v>153</v>
      </c>
      <c r="D67" s="18"/>
      <c r="E67" s="18"/>
      <c r="F67" s="18"/>
      <c r="G67" s="18"/>
      <c r="H67" s="19" t="s">
        <v>154</v>
      </c>
      <c r="I67" s="18" t="s">
        <v>104</v>
      </c>
      <c r="J67" s="20">
        <v>1</v>
      </c>
      <c r="K67" s="20">
        <v>1.1499999999999999</v>
      </c>
      <c r="L67" s="21" t="s">
        <v>28</v>
      </c>
      <c r="M67" s="22">
        <v>0.20019999999999996</v>
      </c>
      <c r="N67" s="22">
        <v>1.0200000000000001E-2</v>
      </c>
      <c r="O67" s="22">
        <v>1017.1985435894751</v>
      </c>
      <c r="P67" s="22">
        <f t="shared" si="15"/>
        <v>234.18962069060478</v>
      </c>
      <c r="Q67" s="22">
        <v>2777.0693256854333</v>
      </c>
      <c r="R67" s="22">
        <f t="shared" si="16"/>
        <v>32.575023190290132</v>
      </c>
      <c r="S67" s="22">
        <f t="shared" si="17"/>
        <v>266.76464388089494</v>
      </c>
      <c r="T67" s="23">
        <v>0.55859868298040061</v>
      </c>
      <c r="U67" s="24">
        <v>0.1</v>
      </c>
      <c r="V67" s="25">
        <f t="shared" si="18"/>
        <v>457.35692488034823</v>
      </c>
      <c r="W67" s="26" t="s">
        <v>29</v>
      </c>
    </row>
    <row r="68" spans="1:23" ht="89.25" x14ac:dyDescent="0.25">
      <c r="A68" s="17">
        <f t="shared" ca="1" si="19"/>
        <v>64</v>
      </c>
      <c r="B68" s="18" t="s">
        <v>139</v>
      </c>
      <c r="C68" s="18" t="s">
        <v>155</v>
      </c>
      <c r="D68" s="18"/>
      <c r="E68" s="18"/>
      <c r="F68" s="18"/>
      <c r="G68" s="18"/>
      <c r="H68" s="19" t="s">
        <v>156</v>
      </c>
      <c r="I68" s="18" t="s">
        <v>104</v>
      </c>
      <c r="J68" s="20">
        <v>1</v>
      </c>
      <c r="K68" s="20">
        <v>1.1499999999999999</v>
      </c>
      <c r="L68" s="21" t="s">
        <v>28</v>
      </c>
      <c r="M68" s="22">
        <v>0.16799999999999998</v>
      </c>
      <c r="N68" s="22">
        <v>8.9999999999999993E-3</v>
      </c>
      <c r="O68" s="22">
        <v>1017.1985435894751</v>
      </c>
      <c r="P68" s="22">
        <f t="shared" si="15"/>
        <v>196.52275862148656</v>
      </c>
      <c r="Q68" s="22">
        <v>2777.0693256854333</v>
      </c>
      <c r="R68" s="22">
        <f t="shared" si="16"/>
        <v>28.742667520844229</v>
      </c>
      <c r="S68" s="22">
        <f t="shared" si="17"/>
        <v>225.2654261423308</v>
      </c>
      <c r="T68" s="23">
        <v>0.55859868298040061</v>
      </c>
      <c r="U68" s="24">
        <v>0.1</v>
      </c>
      <c r="V68" s="25">
        <f t="shared" si="18"/>
        <v>386.20823615710106</v>
      </c>
      <c r="W68" s="26" t="s">
        <v>29</v>
      </c>
    </row>
    <row r="69" spans="1:23" x14ac:dyDescent="0.25">
      <c r="A69" s="12">
        <f t="shared" ca="1" si="19"/>
        <v>65</v>
      </c>
      <c r="B69" s="13" t="s">
        <v>139</v>
      </c>
      <c r="C69" s="13" t="s">
        <v>157</v>
      </c>
      <c r="D69" s="13"/>
      <c r="E69" s="13"/>
      <c r="F69" s="13"/>
      <c r="G69" s="13"/>
      <c r="H69" s="15" t="s">
        <v>158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27"/>
      <c r="U69" s="16"/>
      <c r="V69" s="13"/>
      <c r="W69" s="13"/>
    </row>
    <row r="70" spans="1:23" ht="89.25" x14ac:dyDescent="0.25">
      <c r="A70" s="17">
        <f t="shared" ca="1" si="19"/>
        <v>66</v>
      </c>
      <c r="B70" s="18" t="s">
        <v>139</v>
      </c>
      <c r="C70" s="18" t="s">
        <v>159</v>
      </c>
      <c r="D70" s="18"/>
      <c r="E70" s="18"/>
      <c r="F70" s="18"/>
      <c r="G70" s="18"/>
      <c r="H70" s="19" t="s">
        <v>160</v>
      </c>
      <c r="I70" s="18" t="s">
        <v>161</v>
      </c>
      <c r="J70" s="20">
        <v>1</v>
      </c>
      <c r="K70" s="20">
        <v>1.1499999999999999</v>
      </c>
      <c r="L70" s="21" t="s">
        <v>28</v>
      </c>
      <c r="M70" s="22">
        <v>0.315</v>
      </c>
      <c r="N70" s="22">
        <v>4.4999999999999998E-2</v>
      </c>
      <c r="O70" s="22">
        <v>1017.1985435894751</v>
      </c>
      <c r="P70" s="22">
        <f t="shared" si="15"/>
        <v>368.48017241528731</v>
      </c>
      <c r="Q70" s="22">
        <v>2777.0693256854333</v>
      </c>
      <c r="R70" s="22">
        <f t="shared" si="16"/>
        <v>143.71333760422115</v>
      </c>
      <c r="S70" s="22">
        <f t="shared" si="17"/>
        <v>512.19351001950849</v>
      </c>
      <c r="T70" s="23">
        <v>0.55859868298040061</v>
      </c>
      <c r="U70" s="24">
        <v>0.1</v>
      </c>
      <c r="V70" s="25">
        <f t="shared" ref="V70:V75" si="20">S70+S70*T70+(S70+S70*T70)*U70</f>
        <v>878.13454316226603</v>
      </c>
      <c r="W70" s="26" t="s">
        <v>29</v>
      </c>
    </row>
    <row r="71" spans="1:23" ht="89.25" x14ac:dyDescent="0.25">
      <c r="A71" s="17">
        <f t="shared" ca="1" si="19"/>
        <v>67</v>
      </c>
      <c r="B71" s="18" t="s">
        <v>139</v>
      </c>
      <c r="C71" s="18" t="s">
        <v>162</v>
      </c>
      <c r="D71" s="18"/>
      <c r="E71" s="18"/>
      <c r="F71" s="18"/>
      <c r="G71" s="18"/>
      <c r="H71" s="19" t="s">
        <v>163</v>
      </c>
      <c r="I71" s="18" t="s">
        <v>161</v>
      </c>
      <c r="J71" s="20">
        <v>1</v>
      </c>
      <c r="K71" s="20">
        <v>1.1499999999999999</v>
      </c>
      <c r="L71" s="21" t="s">
        <v>28</v>
      </c>
      <c r="M71" s="22">
        <v>0.371</v>
      </c>
      <c r="N71" s="22">
        <v>4.4999999999999998E-2</v>
      </c>
      <c r="O71" s="22">
        <v>1017.1985435894751</v>
      </c>
      <c r="P71" s="22">
        <f t="shared" si="15"/>
        <v>433.98775862244952</v>
      </c>
      <c r="Q71" s="22">
        <v>2777.0693256854333</v>
      </c>
      <c r="R71" s="22">
        <f t="shared" si="16"/>
        <v>143.71333760422115</v>
      </c>
      <c r="S71" s="22">
        <f t="shared" si="17"/>
        <v>577.70109622667064</v>
      </c>
      <c r="T71" s="23">
        <v>0.55859868298040061</v>
      </c>
      <c r="U71" s="24">
        <v>0.1</v>
      </c>
      <c r="V71" s="25">
        <f t="shared" si="20"/>
        <v>990.4445845087447</v>
      </c>
      <c r="W71" s="26" t="s">
        <v>29</v>
      </c>
    </row>
    <row r="72" spans="1:23" ht="89.25" x14ac:dyDescent="0.25">
      <c r="A72" s="17">
        <f t="shared" ca="1" si="19"/>
        <v>68</v>
      </c>
      <c r="B72" s="18" t="s">
        <v>139</v>
      </c>
      <c r="C72" s="18" t="s">
        <v>164</v>
      </c>
      <c r="D72" s="18"/>
      <c r="E72" s="18"/>
      <c r="F72" s="18"/>
      <c r="G72" s="18"/>
      <c r="H72" s="19" t="s">
        <v>165</v>
      </c>
      <c r="I72" s="18" t="s">
        <v>161</v>
      </c>
      <c r="J72" s="20">
        <v>1</v>
      </c>
      <c r="K72" s="20">
        <v>1.1499999999999999</v>
      </c>
      <c r="L72" s="21" t="s">
        <v>28</v>
      </c>
      <c r="M72" s="22">
        <v>0.96505454545454528</v>
      </c>
      <c r="N72" s="22">
        <v>0.06</v>
      </c>
      <c r="O72" s="22">
        <v>1017.1985435894751</v>
      </c>
      <c r="P72" s="22">
        <f t="shared" si="15"/>
        <v>1128.8998898388811</v>
      </c>
      <c r="Q72" s="22">
        <v>2777.0693256854333</v>
      </c>
      <c r="R72" s="22">
        <f t="shared" si="16"/>
        <v>191.61778347229489</v>
      </c>
      <c r="S72" s="22">
        <f t="shared" si="17"/>
        <v>1320.5176733111759</v>
      </c>
      <c r="T72" s="23">
        <v>0.55859868298040061</v>
      </c>
      <c r="U72" s="24">
        <v>0.1</v>
      </c>
      <c r="V72" s="25">
        <f t="shared" si="20"/>
        <v>2263.9728171226557</v>
      </c>
      <c r="W72" s="26" t="s">
        <v>29</v>
      </c>
    </row>
    <row r="73" spans="1:23" ht="89.25" x14ac:dyDescent="0.25">
      <c r="A73" s="17">
        <f t="shared" ca="1" si="19"/>
        <v>69</v>
      </c>
      <c r="B73" s="18" t="s">
        <v>139</v>
      </c>
      <c r="C73" s="18" t="s">
        <v>166</v>
      </c>
      <c r="D73" s="18"/>
      <c r="E73" s="18"/>
      <c r="F73" s="18"/>
      <c r="G73" s="18"/>
      <c r="H73" s="19" t="s">
        <v>167</v>
      </c>
      <c r="I73" s="18" t="s">
        <v>161</v>
      </c>
      <c r="J73" s="20">
        <v>1</v>
      </c>
      <c r="K73" s="20">
        <v>1.1499999999999999</v>
      </c>
      <c r="L73" s="21" t="s">
        <v>28</v>
      </c>
      <c r="M73" s="22">
        <v>1.0128999999999999</v>
      </c>
      <c r="N73" s="22">
        <v>6.4799999999999996E-2</v>
      </c>
      <c r="O73" s="22">
        <v>1017.1985435894751</v>
      </c>
      <c r="P73" s="22">
        <f t="shared" si="15"/>
        <v>1184.8684655220459</v>
      </c>
      <c r="Q73" s="22">
        <v>2777.0693256854333</v>
      </c>
      <c r="R73" s="22">
        <f t="shared" si="16"/>
        <v>206.94720615007847</v>
      </c>
      <c r="S73" s="22">
        <f t="shared" si="17"/>
        <v>1391.8156716721244</v>
      </c>
      <c r="T73" s="23">
        <v>0.55859868298040061</v>
      </c>
      <c r="U73" s="24">
        <v>0.1</v>
      </c>
      <c r="V73" s="25">
        <f t="shared" si="20"/>
        <v>2386.2102801016204</v>
      </c>
      <c r="W73" s="26" t="s">
        <v>29</v>
      </c>
    </row>
    <row r="74" spans="1:23" ht="89.25" x14ac:dyDescent="0.25">
      <c r="A74" s="17">
        <f t="shared" ca="1" si="19"/>
        <v>70</v>
      </c>
      <c r="B74" s="18" t="s">
        <v>139</v>
      </c>
      <c r="C74" s="18" t="s">
        <v>168</v>
      </c>
      <c r="D74" s="18"/>
      <c r="E74" s="18"/>
      <c r="F74" s="18"/>
      <c r="G74" s="18"/>
      <c r="H74" s="19" t="s">
        <v>169</v>
      </c>
      <c r="I74" s="18" t="s">
        <v>161</v>
      </c>
      <c r="J74" s="20">
        <v>1</v>
      </c>
      <c r="K74" s="20">
        <v>1.1499999999999999</v>
      </c>
      <c r="L74" s="21" t="s">
        <v>28</v>
      </c>
      <c r="M74" s="22">
        <v>1.1094999999999999</v>
      </c>
      <c r="N74" s="22">
        <v>0.09</v>
      </c>
      <c r="O74" s="22">
        <v>1017.1985435894751</v>
      </c>
      <c r="P74" s="22">
        <f t="shared" si="15"/>
        <v>1297.869051729401</v>
      </c>
      <c r="Q74" s="22">
        <v>2777.0693256854333</v>
      </c>
      <c r="R74" s="22">
        <f t="shared" si="16"/>
        <v>287.4266752084423</v>
      </c>
      <c r="S74" s="22">
        <f t="shared" si="17"/>
        <v>1585.2957269378433</v>
      </c>
      <c r="T74" s="23">
        <v>0.55859868298040061</v>
      </c>
      <c r="U74" s="24">
        <v>0.1</v>
      </c>
      <c r="V74" s="25">
        <f t="shared" si="20"/>
        <v>2717.9238153537572</v>
      </c>
      <c r="W74" s="26" t="s">
        <v>29</v>
      </c>
    </row>
    <row r="75" spans="1:23" ht="89.25" x14ac:dyDescent="0.25">
      <c r="A75" s="17">
        <f t="shared" ca="1" si="19"/>
        <v>71</v>
      </c>
      <c r="B75" s="18" t="s">
        <v>139</v>
      </c>
      <c r="C75" s="18" t="s">
        <v>170</v>
      </c>
      <c r="D75" s="18"/>
      <c r="E75" s="18"/>
      <c r="F75" s="18"/>
      <c r="G75" s="18"/>
      <c r="H75" s="19" t="s">
        <v>171</v>
      </c>
      <c r="I75" s="18" t="s">
        <v>161</v>
      </c>
      <c r="J75" s="20">
        <v>1</v>
      </c>
      <c r="K75" s="20">
        <v>1.1499999999999999</v>
      </c>
      <c r="L75" s="21" t="s">
        <v>28</v>
      </c>
      <c r="M75" s="22">
        <v>1.2214999999999998</v>
      </c>
      <c r="N75" s="22">
        <v>0.09</v>
      </c>
      <c r="O75" s="22">
        <v>1017.1985435894751</v>
      </c>
      <c r="P75" s="22">
        <f t="shared" si="15"/>
        <v>1428.8842241437251</v>
      </c>
      <c r="Q75" s="22">
        <v>2777.0693256854333</v>
      </c>
      <c r="R75" s="22">
        <f t="shared" si="16"/>
        <v>287.4266752084423</v>
      </c>
      <c r="S75" s="22">
        <f t="shared" si="17"/>
        <v>1716.3108993521673</v>
      </c>
      <c r="T75" s="23">
        <v>0.55859868298040061</v>
      </c>
      <c r="U75" s="24">
        <v>0.1</v>
      </c>
      <c r="V75" s="25">
        <f t="shared" si="20"/>
        <v>2942.5438980467143</v>
      </c>
      <c r="W75" s="26" t="s">
        <v>29</v>
      </c>
    </row>
    <row r="76" spans="1:23" x14ac:dyDescent="0.25">
      <c r="A76" s="12">
        <f t="shared" ca="1" si="19"/>
        <v>72</v>
      </c>
      <c r="B76" s="13" t="s">
        <v>139</v>
      </c>
      <c r="C76" s="13" t="s">
        <v>172</v>
      </c>
      <c r="D76" s="13"/>
      <c r="E76" s="13"/>
      <c r="F76" s="13"/>
      <c r="G76" s="13"/>
      <c r="H76" s="15" t="s">
        <v>173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27"/>
      <c r="U76" s="16"/>
      <c r="V76" s="13"/>
      <c r="W76" s="13"/>
    </row>
    <row r="77" spans="1:23" ht="89.25" x14ac:dyDescent="0.25">
      <c r="A77" s="17">
        <f t="shared" ca="1" si="19"/>
        <v>73</v>
      </c>
      <c r="B77" s="18" t="s">
        <v>139</v>
      </c>
      <c r="C77" s="18" t="s">
        <v>174</v>
      </c>
      <c r="D77" s="18"/>
      <c r="E77" s="18"/>
      <c r="F77" s="18"/>
      <c r="G77" s="18"/>
      <c r="H77" s="19" t="s">
        <v>175</v>
      </c>
      <c r="I77" s="18" t="s">
        <v>161</v>
      </c>
      <c r="J77" s="20">
        <v>1</v>
      </c>
      <c r="K77" s="20">
        <v>1.1499999999999999</v>
      </c>
      <c r="L77" s="21" t="s">
        <v>28</v>
      </c>
      <c r="M77" s="22">
        <v>1.5603</v>
      </c>
      <c r="N77" s="22">
        <v>9.2999999999999999E-2</v>
      </c>
      <c r="O77" s="22">
        <v>1017.1985435894751</v>
      </c>
      <c r="P77" s="22">
        <f t="shared" si="15"/>
        <v>1825.2051206970564</v>
      </c>
      <c r="Q77" s="22">
        <v>2777.0693256854333</v>
      </c>
      <c r="R77" s="22">
        <f t="shared" si="16"/>
        <v>297.00756438205707</v>
      </c>
      <c r="S77" s="22">
        <f t="shared" si="17"/>
        <v>2122.2126850791133</v>
      </c>
      <c r="T77" s="23">
        <v>0.55859868298040061</v>
      </c>
      <c r="U77" s="24">
        <v>0.1</v>
      </c>
      <c r="V77" s="25">
        <f t="shared" ref="V77" si="21">S77+S77*T77+(S77+S77*T77)*U77</f>
        <v>3638.4456855654657</v>
      </c>
      <c r="W77" s="26" t="s">
        <v>29</v>
      </c>
    </row>
    <row r="78" spans="1:23" x14ac:dyDescent="0.25">
      <c r="A78" s="12">
        <f t="shared" ca="1" si="19"/>
        <v>74</v>
      </c>
      <c r="B78" s="13" t="s">
        <v>139</v>
      </c>
      <c r="C78" s="13" t="s">
        <v>176</v>
      </c>
      <c r="D78" s="13"/>
      <c r="E78" s="13"/>
      <c r="F78" s="13"/>
      <c r="G78" s="13"/>
      <c r="H78" s="15" t="s">
        <v>177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27"/>
      <c r="U78" s="16"/>
      <c r="V78" s="13"/>
      <c r="W78" s="13"/>
    </row>
    <row r="79" spans="1:23" ht="89.25" x14ac:dyDescent="0.25">
      <c r="A79" s="17">
        <f t="shared" ca="1" si="19"/>
        <v>75</v>
      </c>
      <c r="B79" s="18" t="s">
        <v>139</v>
      </c>
      <c r="C79" s="18" t="s">
        <v>178</v>
      </c>
      <c r="D79" s="18"/>
      <c r="E79" s="18"/>
      <c r="F79" s="18"/>
      <c r="G79" s="18"/>
      <c r="H79" s="19" t="s">
        <v>179</v>
      </c>
      <c r="I79" s="18" t="s">
        <v>104</v>
      </c>
      <c r="J79" s="20">
        <v>1</v>
      </c>
      <c r="K79" s="20">
        <v>1.1499999999999999</v>
      </c>
      <c r="L79" s="21" t="s">
        <v>28</v>
      </c>
      <c r="M79" s="22">
        <v>0.21909999999999999</v>
      </c>
      <c r="N79" s="22">
        <v>1.6199999999999999E-2</v>
      </c>
      <c r="O79" s="22">
        <v>1017.1985435894751</v>
      </c>
      <c r="P79" s="22">
        <f t="shared" si="15"/>
        <v>256.29843103552207</v>
      </c>
      <c r="Q79" s="22">
        <v>2777.0693256854333</v>
      </c>
      <c r="R79" s="22">
        <f t="shared" si="16"/>
        <v>51.736801537519618</v>
      </c>
      <c r="S79" s="22">
        <f t="shared" si="17"/>
        <v>308.0352325730417</v>
      </c>
      <c r="T79" s="23">
        <v>0.55859868298040061</v>
      </c>
      <c r="U79" s="24">
        <v>0.1</v>
      </c>
      <c r="V79" s="25">
        <f t="shared" ref="V79" si="22">S79+S79*T79+(S79+S79*T79)*U79</f>
        <v>528.11363857989465</v>
      </c>
      <c r="W79" s="26" t="s">
        <v>29</v>
      </c>
    </row>
    <row r="80" spans="1:23" x14ac:dyDescent="0.25">
      <c r="A80" s="28">
        <f t="shared" ca="1" si="19"/>
        <v>76</v>
      </c>
      <c r="B80" s="9" t="s">
        <v>139</v>
      </c>
      <c r="C80" s="9" t="s">
        <v>180</v>
      </c>
      <c r="D80" s="9"/>
      <c r="E80" s="9"/>
      <c r="F80" s="9"/>
      <c r="G80" s="9"/>
      <c r="H80" s="10" t="s">
        <v>181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29"/>
      <c r="U80" s="11"/>
      <c r="V80" s="9"/>
      <c r="W80" s="9"/>
    </row>
    <row r="81" spans="1:23" x14ac:dyDescent="0.25">
      <c r="A81" s="12">
        <f t="shared" ca="1" si="19"/>
        <v>77</v>
      </c>
      <c r="B81" s="13" t="s">
        <v>139</v>
      </c>
      <c r="C81" s="13" t="s">
        <v>182</v>
      </c>
      <c r="D81" s="13"/>
      <c r="E81" s="13"/>
      <c r="F81" s="13"/>
      <c r="G81" s="13"/>
      <c r="H81" s="15" t="s">
        <v>183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27"/>
      <c r="U81" s="16"/>
      <c r="V81" s="13"/>
      <c r="W81" s="13"/>
    </row>
    <row r="82" spans="1:23" ht="89.25" x14ac:dyDescent="0.25">
      <c r="A82" s="17">
        <f t="shared" ca="1" si="19"/>
        <v>78</v>
      </c>
      <c r="B82" s="18" t="s">
        <v>139</v>
      </c>
      <c r="C82" s="18" t="s">
        <v>184</v>
      </c>
      <c r="D82" s="18"/>
      <c r="E82" s="18"/>
      <c r="F82" s="18"/>
      <c r="G82" s="18"/>
      <c r="H82" s="19" t="s">
        <v>185</v>
      </c>
      <c r="I82" s="18" t="s">
        <v>104</v>
      </c>
      <c r="J82" s="20">
        <v>1</v>
      </c>
      <c r="K82" s="20">
        <v>1.1499999999999999</v>
      </c>
      <c r="L82" s="21" t="s">
        <v>28</v>
      </c>
      <c r="M82" s="22">
        <v>0.17219999999999999</v>
      </c>
      <c r="N82" s="22">
        <v>1.44E-2</v>
      </c>
      <c r="O82" s="22">
        <v>1017.1985435894751</v>
      </c>
      <c r="P82" s="22">
        <f t="shared" si="15"/>
        <v>201.43582758702374</v>
      </c>
      <c r="Q82" s="22">
        <v>2777.0693256854333</v>
      </c>
      <c r="R82" s="22">
        <f t="shared" si="16"/>
        <v>45.988268033350771</v>
      </c>
      <c r="S82" s="22">
        <f t="shared" si="17"/>
        <v>247.42409562037452</v>
      </c>
      <c r="T82" s="23">
        <v>0.55859868298040061</v>
      </c>
      <c r="U82" s="24">
        <v>0.1</v>
      </c>
      <c r="V82" s="25">
        <f t="shared" ref="V82" si="23">S82+S82*T82+(S82+S82*T82)*U82</f>
        <v>424.19835652868568</v>
      </c>
      <c r="W82" s="26" t="s">
        <v>29</v>
      </c>
    </row>
    <row r="83" spans="1:23" x14ac:dyDescent="0.25">
      <c r="A83" s="12">
        <f t="shared" ca="1" si="19"/>
        <v>79</v>
      </c>
      <c r="B83" s="13" t="s">
        <v>139</v>
      </c>
      <c r="C83" s="13" t="s">
        <v>186</v>
      </c>
      <c r="D83" s="13"/>
      <c r="E83" s="13"/>
      <c r="F83" s="13"/>
      <c r="G83" s="13"/>
      <c r="H83" s="15" t="s">
        <v>187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27"/>
      <c r="U83" s="16"/>
      <c r="V83" s="13"/>
      <c r="W83" s="13"/>
    </row>
    <row r="84" spans="1:23" ht="89.25" x14ac:dyDescent="0.25">
      <c r="A84" s="17">
        <f t="shared" ca="1" si="19"/>
        <v>80</v>
      </c>
      <c r="B84" s="18" t="s">
        <v>139</v>
      </c>
      <c r="C84" s="18" t="s">
        <v>188</v>
      </c>
      <c r="D84" s="18"/>
      <c r="E84" s="18"/>
      <c r="F84" s="18"/>
      <c r="G84" s="18"/>
      <c r="H84" s="19" t="s">
        <v>189</v>
      </c>
      <c r="I84" s="18" t="s">
        <v>104</v>
      </c>
      <c r="J84" s="20">
        <v>1</v>
      </c>
      <c r="K84" s="20">
        <v>1.1499999999999999</v>
      </c>
      <c r="L84" s="21" t="s">
        <v>28</v>
      </c>
      <c r="M84" s="22">
        <v>0.22259999999999999</v>
      </c>
      <c r="N84" s="22">
        <v>1.44E-2</v>
      </c>
      <c r="O84" s="22">
        <v>1017.1985435894751</v>
      </c>
      <c r="P84" s="22">
        <f t="shared" si="15"/>
        <v>260.39265517346968</v>
      </c>
      <c r="Q84" s="22">
        <v>2777.0693256854333</v>
      </c>
      <c r="R84" s="22">
        <f t="shared" si="16"/>
        <v>45.988268033350771</v>
      </c>
      <c r="S84" s="22">
        <f t="shared" si="17"/>
        <v>306.38092320682046</v>
      </c>
      <c r="T84" s="23">
        <v>0.55859868298040061</v>
      </c>
      <c r="U84" s="24">
        <v>0.1</v>
      </c>
      <c r="V84" s="25">
        <f t="shared" ref="V84" si="24">S84+S84*T84+(S84+S84*T84)*U84</f>
        <v>525.27739374051657</v>
      </c>
      <c r="W84" s="26" t="s">
        <v>29</v>
      </c>
    </row>
    <row r="85" spans="1:23" x14ac:dyDescent="0.25">
      <c r="A85" s="28">
        <f t="shared" ca="1" si="19"/>
        <v>81</v>
      </c>
      <c r="B85" s="9" t="s">
        <v>139</v>
      </c>
      <c r="C85" s="9" t="s">
        <v>190</v>
      </c>
      <c r="D85" s="9"/>
      <c r="E85" s="9"/>
      <c r="F85" s="9"/>
      <c r="G85" s="9"/>
      <c r="H85" s="10" t="s">
        <v>191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29"/>
      <c r="U85" s="11"/>
      <c r="V85" s="9"/>
      <c r="W85" s="9"/>
    </row>
    <row r="86" spans="1:23" x14ac:dyDescent="0.25">
      <c r="A86" s="12">
        <f t="shared" ca="1" si="19"/>
        <v>82</v>
      </c>
      <c r="B86" s="13" t="s">
        <v>139</v>
      </c>
      <c r="C86" s="13" t="s">
        <v>192</v>
      </c>
      <c r="D86" s="13"/>
      <c r="E86" s="13"/>
      <c r="F86" s="13"/>
      <c r="G86" s="13"/>
      <c r="H86" s="15" t="s">
        <v>193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27"/>
      <c r="U86" s="16"/>
      <c r="V86" s="13"/>
      <c r="W86" s="13"/>
    </row>
    <row r="87" spans="1:23" ht="89.25" x14ac:dyDescent="0.25">
      <c r="A87" s="17">
        <f t="shared" ca="1" si="19"/>
        <v>83</v>
      </c>
      <c r="B87" s="18" t="s">
        <v>139</v>
      </c>
      <c r="C87" s="18" t="s">
        <v>194</v>
      </c>
      <c r="D87" s="18"/>
      <c r="E87" s="18"/>
      <c r="F87" s="18"/>
      <c r="G87" s="18"/>
      <c r="H87" s="19" t="s">
        <v>195</v>
      </c>
      <c r="I87" s="18" t="s">
        <v>104</v>
      </c>
      <c r="J87" s="20">
        <v>1</v>
      </c>
      <c r="K87" s="20">
        <v>1.1499999999999999</v>
      </c>
      <c r="L87" s="21" t="s">
        <v>28</v>
      </c>
      <c r="M87" s="22">
        <v>0.25479999999999997</v>
      </c>
      <c r="N87" s="22">
        <v>3.2399999999999998E-2</v>
      </c>
      <c r="O87" s="22">
        <v>1017.1985435894751</v>
      </c>
      <c r="P87" s="22">
        <f t="shared" si="15"/>
        <v>298.05951724258796</v>
      </c>
      <c r="Q87" s="22">
        <v>2777.0693256854333</v>
      </c>
      <c r="R87" s="22">
        <f t="shared" si="16"/>
        <v>103.47360307503924</v>
      </c>
      <c r="S87" s="22">
        <f t="shared" si="17"/>
        <v>401.53312031762721</v>
      </c>
      <c r="T87" s="23">
        <v>0.55859868298040061</v>
      </c>
      <c r="U87" s="24">
        <v>0.1</v>
      </c>
      <c r="V87" s="25">
        <f t="shared" ref="V87:V88" si="25">S87+S87*T87+(S87+S87*T87)*U87</f>
        <v>688.41189175007094</v>
      </c>
      <c r="W87" s="26" t="s">
        <v>29</v>
      </c>
    </row>
    <row r="88" spans="1:23" ht="89.25" x14ac:dyDescent="0.25">
      <c r="A88" s="17">
        <f t="shared" ca="1" si="19"/>
        <v>84</v>
      </c>
      <c r="B88" s="18" t="s">
        <v>139</v>
      </c>
      <c r="C88" s="18" t="s">
        <v>196</v>
      </c>
      <c r="D88" s="18"/>
      <c r="E88" s="18"/>
      <c r="F88" s="18"/>
      <c r="G88" s="18"/>
      <c r="H88" s="19" t="s">
        <v>197</v>
      </c>
      <c r="I88" s="18" t="s">
        <v>104</v>
      </c>
      <c r="J88" s="20">
        <v>1</v>
      </c>
      <c r="K88" s="20">
        <v>1.1499999999999999</v>
      </c>
      <c r="L88" s="21" t="s">
        <v>28</v>
      </c>
      <c r="M88" s="22">
        <v>0.25129999999999997</v>
      </c>
      <c r="N88" s="22">
        <v>6.4799999999999996E-2</v>
      </c>
      <c r="O88" s="22">
        <v>1017.1985435894751</v>
      </c>
      <c r="P88" s="22">
        <f t="shared" si="15"/>
        <v>293.9652931046403</v>
      </c>
      <c r="Q88" s="22">
        <v>2777.0693256854333</v>
      </c>
      <c r="R88" s="22">
        <f t="shared" si="16"/>
        <v>206.94720615007847</v>
      </c>
      <c r="S88" s="22">
        <f t="shared" si="17"/>
        <v>500.9124992547188</v>
      </c>
      <c r="T88" s="23">
        <v>0.55859868298040061</v>
      </c>
      <c r="U88" s="24">
        <v>0.1</v>
      </c>
      <c r="V88" s="25">
        <f t="shared" si="25"/>
        <v>858.79371778950826</v>
      </c>
      <c r="W88" s="26" t="s">
        <v>29</v>
      </c>
    </row>
    <row r="89" spans="1:23" x14ac:dyDescent="0.25">
      <c r="A89" s="12">
        <f t="shared" ca="1" si="19"/>
        <v>85</v>
      </c>
      <c r="B89" s="13" t="s">
        <v>139</v>
      </c>
      <c r="C89" s="13" t="s">
        <v>198</v>
      </c>
      <c r="D89" s="13"/>
      <c r="E89" s="13"/>
      <c r="F89" s="13"/>
      <c r="G89" s="13"/>
      <c r="H89" s="15" t="s">
        <v>199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27"/>
      <c r="U89" s="16"/>
      <c r="V89" s="13"/>
      <c r="W89" s="13"/>
    </row>
    <row r="90" spans="1:23" ht="89.25" x14ac:dyDescent="0.25">
      <c r="A90" s="17">
        <f t="shared" ca="1" si="19"/>
        <v>86</v>
      </c>
      <c r="B90" s="18" t="s">
        <v>139</v>
      </c>
      <c r="C90" s="18" t="s">
        <v>200</v>
      </c>
      <c r="D90" s="18"/>
      <c r="E90" s="18"/>
      <c r="F90" s="18"/>
      <c r="G90" s="18"/>
      <c r="H90" s="19" t="s">
        <v>201</v>
      </c>
      <c r="I90" s="18" t="s">
        <v>161</v>
      </c>
      <c r="J90" s="20">
        <v>1</v>
      </c>
      <c r="K90" s="20">
        <v>1.1499999999999999</v>
      </c>
      <c r="L90" s="21" t="s">
        <v>28</v>
      </c>
      <c r="M90" s="22">
        <v>1.1066999999999998</v>
      </c>
      <c r="N90" s="22">
        <v>0.12719999999999998</v>
      </c>
      <c r="O90" s="22">
        <v>1017.1985435894751</v>
      </c>
      <c r="P90" s="22">
        <f t="shared" si="15"/>
        <v>1294.5936724190424</v>
      </c>
      <c r="Q90" s="22">
        <v>2777.0693256854333</v>
      </c>
      <c r="R90" s="22">
        <f t="shared" si="16"/>
        <v>406.22970096126511</v>
      </c>
      <c r="S90" s="22">
        <f t="shared" si="17"/>
        <v>1700.8233733803074</v>
      </c>
      <c r="T90" s="23">
        <v>0.55859868298040061</v>
      </c>
      <c r="U90" s="24">
        <v>0.1</v>
      </c>
      <c r="V90" s="25">
        <f t="shared" ref="V90:V91" si="26">S90+S90*T90+(S90+S90*T90)*U90</f>
        <v>2915.9911767061126</v>
      </c>
      <c r="W90" s="26" t="s">
        <v>29</v>
      </c>
    </row>
    <row r="91" spans="1:23" ht="89.25" x14ac:dyDescent="0.25">
      <c r="A91" s="17">
        <f t="shared" ca="1" si="19"/>
        <v>87</v>
      </c>
      <c r="B91" s="18" t="s">
        <v>139</v>
      </c>
      <c r="C91" s="18" t="s">
        <v>202</v>
      </c>
      <c r="D91" s="18"/>
      <c r="E91" s="18"/>
      <c r="F91" s="18"/>
      <c r="G91" s="18"/>
      <c r="H91" s="19" t="s">
        <v>203</v>
      </c>
      <c r="I91" s="18" t="s">
        <v>161</v>
      </c>
      <c r="J91" s="20">
        <v>1</v>
      </c>
      <c r="K91" s="20">
        <v>1.1499999999999999</v>
      </c>
      <c r="L91" s="21" t="s">
        <v>28</v>
      </c>
      <c r="M91" s="22">
        <v>1.456</v>
      </c>
      <c r="N91" s="22">
        <v>0.1164</v>
      </c>
      <c r="O91" s="22">
        <v>1017.1985435894751</v>
      </c>
      <c r="P91" s="22">
        <f t="shared" si="15"/>
        <v>1703.197241386217</v>
      </c>
      <c r="Q91" s="22">
        <v>2777.0693256854333</v>
      </c>
      <c r="R91" s="22">
        <f t="shared" si="16"/>
        <v>371.73849993625208</v>
      </c>
      <c r="S91" s="22">
        <f t="shared" si="17"/>
        <v>2074.9357413224689</v>
      </c>
      <c r="T91" s="23">
        <v>0.55859868298040061</v>
      </c>
      <c r="U91" s="24">
        <v>0.1</v>
      </c>
      <c r="V91" s="25">
        <f t="shared" si="26"/>
        <v>3557.3913250635774</v>
      </c>
      <c r="W91" s="26" t="s">
        <v>29</v>
      </c>
    </row>
    <row r="92" spans="1:23" x14ac:dyDescent="0.25">
      <c r="A92" s="12">
        <f t="shared" ca="1" si="19"/>
        <v>88</v>
      </c>
      <c r="B92" s="13" t="s">
        <v>139</v>
      </c>
      <c r="C92" s="13" t="s">
        <v>204</v>
      </c>
      <c r="D92" s="13"/>
      <c r="E92" s="13"/>
      <c r="F92" s="13"/>
      <c r="G92" s="13"/>
      <c r="H92" s="15" t="s">
        <v>205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27"/>
      <c r="U92" s="16"/>
      <c r="V92" s="13"/>
      <c r="W92" s="13"/>
    </row>
    <row r="93" spans="1:23" ht="89.25" x14ac:dyDescent="0.25">
      <c r="A93" s="17">
        <f t="shared" ca="1" si="19"/>
        <v>89</v>
      </c>
      <c r="B93" s="18" t="s">
        <v>139</v>
      </c>
      <c r="C93" s="18" t="s">
        <v>206</v>
      </c>
      <c r="D93" s="18"/>
      <c r="E93" s="18"/>
      <c r="F93" s="18"/>
      <c r="G93" s="18"/>
      <c r="H93" s="19" t="s">
        <v>207</v>
      </c>
      <c r="I93" s="18" t="s">
        <v>161</v>
      </c>
      <c r="J93" s="20">
        <v>1</v>
      </c>
      <c r="K93" s="20">
        <v>1.1499999999999999</v>
      </c>
      <c r="L93" s="21" t="s">
        <v>28</v>
      </c>
      <c r="M93" s="22">
        <v>4.4715999999999996</v>
      </c>
      <c r="N93" s="22">
        <v>1.8299999999999998</v>
      </c>
      <c r="O93" s="22">
        <v>1017.1985435894751</v>
      </c>
      <c r="P93" s="22">
        <f t="shared" si="15"/>
        <v>5230.7807586419003</v>
      </c>
      <c r="Q93" s="22">
        <v>2777.0693256854333</v>
      </c>
      <c r="R93" s="22">
        <f t="shared" si="16"/>
        <v>5844.3423959049933</v>
      </c>
      <c r="S93" s="22">
        <f t="shared" si="17"/>
        <v>11075.123154546895</v>
      </c>
      <c r="T93" s="23">
        <v>0.55859868298040061</v>
      </c>
      <c r="U93" s="24">
        <v>0.1</v>
      </c>
      <c r="V93" s="25">
        <f t="shared" ref="V93:V97" si="27">S93+S93*T93+(S93+S93*T93)*U93</f>
        <v>18987.839598774779</v>
      </c>
      <c r="W93" s="26" t="s">
        <v>29</v>
      </c>
    </row>
    <row r="94" spans="1:23" ht="89.25" x14ac:dyDescent="0.25">
      <c r="A94" s="17">
        <f t="shared" ca="1" si="19"/>
        <v>90</v>
      </c>
      <c r="B94" s="18" t="s">
        <v>139</v>
      </c>
      <c r="C94" s="18" t="s">
        <v>208</v>
      </c>
      <c r="D94" s="18"/>
      <c r="E94" s="18"/>
      <c r="F94" s="18"/>
      <c r="G94" s="18"/>
      <c r="H94" s="19" t="s">
        <v>209</v>
      </c>
      <c r="I94" s="18" t="s">
        <v>161</v>
      </c>
      <c r="J94" s="20">
        <v>1</v>
      </c>
      <c r="K94" s="20">
        <v>1.1499999999999999</v>
      </c>
      <c r="L94" s="21" t="s">
        <v>28</v>
      </c>
      <c r="M94" s="22">
        <v>5.4109999999999996</v>
      </c>
      <c r="N94" s="22">
        <v>2.2655999999999996</v>
      </c>
      <c r="O94" s="22">
        <v>1017.1985435894751</v>
      </c>
      <c r="P94" s="22">
        <f t="shared" si="15"/>
        <v>6329.6705172670463</v>
      </c>
      <c r="Q94" s="22">
        <v>2777.0693256854333</v>
      </c>
      <c r="R94" s="22">
        <f t="shared" si="16"/>
        <v>7235.4875039138542</v>
      </c>
      <c r="S94" s="22">
        <f t="shared" si="17"/>
        <v>13565.158021180901</v>
      </c>
      <c r="T94" s="23">
        <v>0.55859868298040061</v>
      </c>
      <c r="U94" s="24">
        <v>0.1</v>
      </c>
      <c r="V94" s="25">
        <f t="shared" si="27"/>
        <v>23256.901168856926</v>
      </c>
      <c r="W94" s="26" t="s">
        <v>29</v>
      </c>
    </row>
    <row r="95" spans="1:23" ht="89.25" x14ac:dyDescent="0.25">
      <c r="A95" s="17">
        <f t="shared" ca="1" si="19"/>
        <v>91</v>
      </c>
      <c r="B95" s="18" t="s">
        <v>139</v>
      </c>
      <c r="C95" s="18" t="s">
        <v>210</v>
      </c>
      <c r="D95" s="18"/>
      <c r="E95" s="18"/>
      <c r="F95" s="18"/>
      <c r="G95" s="18"/>
      <c r="H95" s="19" t="s">
        <v>211</v>
      </c>
      <c r="I95" s="18" t="s">
        <v>161</v>
      </c>
      <c r="J95" s="20">
        <v>1</v>
      </c>
      <c r="K95" s="20">
        <v>1.1499999999999999</v>
      </c>
      <c r="L95" s="21" t="s">
        <v>28</v>
      </c>
      <c r="M95" s="22">
        <v>9.7754999999999992</v>
      </c>
      <c r="N95" s="22">
        <v>5.5247999999999999</v>
      </c>
      <c r="O95" s="22">
        <v>1017.1985435894751</v>
      </c>
      <c r="P95" s="22">
        <f t="shared" si="15"/>
        <v>11435.16801728775</v>
      </c>
      <c r="Q95" s="22">
        <v>2777.0693256854333</v>
      </c>
      <c r="R95" s="22">
        <f t="shared" si="16"/>
        <v>17644.165502128912</v>
      </c>
      <c r="S95" s="22">
        <f t="shared" si="17"/>
        <v>29079.333519416661</v>
      </c>
      <c r="T95" s="23">
        <v>0.55859868298040061</v>
      </c>
      <c r="U95" s="24">
        <v>0.1</v>
      </c>
      <c r="V95" s="25">
        <f t="shared" si="27"/>
        <v>49855.312017841687</v>
      </c>
      <c r="W95" s="26" t="s">
        <v>29</v>
      </c>
    </row>
    <row r="96" spans="1:23" ht="89.25" x14ac:dyDescent="0.25">
      <c r="A96" s="17">
        <f t="shared" ca="1" si="19"/>
        <v>92</v>
      </c>
      <c r="B96" s="18" t="s">
        <v>139</v>
      </c>
      <c r="C96" s="18" t="s">
        <v>212</v>
      </c>
      <c r="D96" s="18"/>
      <c r="E96" s="18"/>
      <c r="F96" s="18"/>
      <c r="G96" s="18"/>
      <c r="H96" s="19" t="s">
        <v>213</v>
      </c>
      <c r="I96" s="18" t="s">
        <v>161</v>
      </c>
      <c r="J96" s="20">
        <v>1</v>
      </c>
      <c r="K96" s="20">
        <v>1.1499999999999999</v>
      </c>
      <c r="L96" s="21" t="s">
        <v>28</v>
      </c>
      <c r="M96" s="22">
        <v>15.179499999999997</v>
      </c>
      <c r="N96" s="22">
        <v>7.9409999999999989</v>
      </c>
      <c r="O96" s="22">
        <v>1017.1985435894751</v>
      </c>
      <c r="P96" s="22">
        <f t="shared" si="15"/>
        <v>17756.6500862789</v>
      </c>
      <c r="Q96" s="22">
        <v>2777.0693256854333</v>
      </c>
      <c r="R96" s="22">
        <f t="shared" si="16"/>
        <v>25360.613642558223</v>
      </c>
      <c r="S96" s="22">
        <f t="shared" si="17"/>
        <v>43117.263728837119</v>
      </c>
      <c r="T96" s="23">
        <v>0.55859868298040061</v>
      </c>
      <c r="U96" s="24">
        <v>0.1</v>
      </c>
      <c r="V96" s="25">
        <f t="shared" si="27"/>
        <v>73922.761507632531</v>
      </c>
      <c r="W96" s="26" t="s">
        <v>29</v>
      </c>
    </row>
    <row r="97" spans="1:23" ht="89.25" x14ac:dyDescent="0.25">
      <c r="A97" s="17">
        <f t="shared" ca="1" si="19"/>
        <v>93</v>
      </c>
      <c r="B97" s="18" t="s">
        <v>139</v>
      </c>
      <c r="C97" s="18" t="s">
        <v>214</v>
      </c>
      <c r="D97" s="18"/>
      <c r="E97" s="18"/>
      <c r="F97" s="18"/>
      <c r="G97" s="18"/>
      <c r="H97" s="19" t="s">
        <v>215</v>
      </c>
      <c r="I97" s="18" t="s">
        <v>115</v>
      </c>
      <c r="J97" s="20">
        <v>1</v>
      </c>
      <c r="K97" s="20">
        <v>1.1499999999999999</v>
      </c>
      <c r="L97" s="21" t="s">
        <v>28</v>
      </c>
      <c r="M97" s="22">
        <v>20.498100000000001</v>
      </c>
      <c r="N97" s="22">
        <v>6.2885999999999997</v>
      </c>
      <c r="O97" s="22">
        <v>1017.1985435894751</v>
      </c>
      <c r="P97" s="22">
        <f t="shared" si="15"/>
        <v>23978.233086304132</v>
      </c>
      <c r="Q97" s="22">
        <v>2777.0693256854333</v>
      </c>
      <c r="R97" s="22">
        <f t="shared" si="16"/>
        <v>20083.459885731223</v>
      </c>
      <c r="S97" s="22">
        <f t="shared" si="17"/>
        <v>44061.692972035351</v>
      </c>
      <c r="T97" s="23">
        <v>0.55859868298040061</v>
      </c>
      <c r="U97" s="24">
        <v>0.1</v>
      </c>
      <c r="V97" s="25">
        <f t="shared" si="27"/>
        <v>75541.946299711184</v>
      </c>
      <c r="W97" s="26" t="s">
        <v>29</v>
      </c>
    </row>
    <row r="98" spans="1:23" x14ac:dyDescent="0.25">
      <c r="A98" s="28">
        <f t="shared" ca="1" si="19"/>
        <v>94</v>
      </c>
      <c r="B98" s="9" t="s">
        <v>139</v>
      </c>
      <c r="C98" s="9" t="s">
        <v>216</v>
      </c>
      <c r="D98" s="9"/>
      <c r="E98" s="9"/>
      <c r="F98" s="9"/>
      <c r="G98" s="9"/>
      <c r="H98" s="10" t="s">
        <v>217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29"/>
      <c r="U98" s="11"/>
      <c r="V98" s="9"/>
      <c r="W98" s="9"/>
    </row>
    <row r="99" spans="1:23" x14ac:dyDescent="0.25">
      <c r="A99" s="12">
        <f t="shared" ca="1" si="19"/>
        <v>95</v>
      </c>
      <c r="B99" s="13" t="s">
        <v>139</v>
      </c>
      <c r="C99" s="13" t="s">
        <v>218</v>
      </c>
      <c r="D99" s="13"/>
      <c r="E99" s="13"/>
      <c r="F99" s="13"/>
      <c r="G99" s="13"/>
      <c r="H99" s="15" t="s">
        <v>219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27"/>
      <c r="U99" s="16"/>
      <c r="V99" s="13"/>
      <c r="W99" s="13"/>
    </row>
    <row r="100" spans="1:23" ht="89.25" x14ac:dyDescent="0.25">
      <c r="A100" s="17">
        <f t="shared" ca="1" si="19"/>
        <v>96</v>
      </c>
      <c r="B100" s="18" t="s">
        <v>139</v>
      </c>
      <c r="C100" s="18" t="s">
        <v>220</v>
      </c>
      <c r="D100" s="18"/>
      <c r="E100" s="18"/>
      <c r="F100" s="18"/>
      <c r="G100" s="18"/>
      <c r="H100" s="19" t="s">
        <v>221</v>
      </c>
      <c r="I100" s="18" t="s">
        <v>104</v>
      </c>
      <c r="J100" s="20">
        <v>1</v>
      </c>
      <c r="K100" s="20">
        <v>1.1499999999999999</v>
      </c>
      <c r="L100" s="21" t="s">
        <v>28</v>
      </c>
      <c r="M100" s="22">
        <v>0.21489999999999998</v>
      </c>
      <c r="N100" s="22">
        <v>2.2200000000000001E-2</v>
      </c>
      <c r="O100" s="22">
        <v>1017.1985435894751</v>
      </c>
      <c r="P100" s="22">
        <f t="shared" si="15"/>
        <v>251.38536206998486</v>
      </c>
      <c r="Q100" s="22">
        <v>2777.0693256854333</v>
      </c>
      <c r="R100" s="22">
        <f t="shared" si="16"/>
        <v>70.898579884749111</v>
      </c>
      <c r="S100" s="22">
        <f t="shared" si="17"/>
        <v>322.28394195473396</v>
      </c>
      <c r="T100" s="23">
        <v>0.55859868298040061</v>
      </c>
      <c r="U100" s="24">
        <v>0.1</v>
      </c>
      <c r="V100" s="25">
        <f t="shared" ref="V100:V116" si="28">S100+S100*T100+(S100+S100*T100)*U100</f>
        <v>552.54246022401833</v>
      </c>
      <c r="W100" s="26" t="s">
        <v>29</v>
      </c>
    </row>
    <row r="101" spans="1:23" ht="89.25" x14ac:dyDescent="0.25">
      <c r="A101" s="17">
        <f t="shared" ca="1" si="19"/>
        <v>97</v>
      </c>
      <c r="B101" s="18" t="s">
        <v>139</v>
      </c>
      <c r="C101" s="18" t="s">
        <v>222</v>
      </c>
      <c r="D101" s="18"/>
      <c r="E101" s="18"/>
      <c r="F101" s="18"/>
      <c r="G101" s="18"/>
      <c r="H101" s="19" t="s">
        <v>223</v>
      </c>
      <c r="I101" s="18" t="s">
        <v>104</v>
      </c>
      <c r="J101" s="20">
        <v>1</v>
      </c>
      <c r="K101" s="20">
        <v>1.1499999999999999</v>
      </c>
      <c r="L101" s="21" t="s">
        <v>28</v>
      </c>
      <c r="M101" s="22">
        <v>0.3115</v>
      </c>
      <c r="N101" s="22">
        <v>3.1799999999999995E-2</v>
      </c>
      <c r="O101" s="22">
        <v>1017.1985435894751</v>
      </c>
      <c r="P101" s="22">
        <f t="shared" si="15"/>
        <v>364.38594827733965</v>
      </c>
      <c r="Q101" s="22">
        <v>2777.0693256854333</v>
      </c>
      <c r="R101" s="22">
        <f t="shared" si="16"/>
        <v>101.55742524031628</v>
      </c>
      <c r="S101" s="22">
        <f t="shared" si="17"/>
        <v>465.94337351765591</v>
      </c>
      <c r="T101" s="23">
        <v>0.55859868298040061</v>
      </c>
      <c r="U101" s="24">
        <v>0.1</v>
      </c>
      <c r="V101" s="25">
        <f t="shared" si="28"/>
        <v>798.84060113886972</v>
      </c>
      <c r="W101" s="26" t="s">
        <v>29</v>
      </c>
    </row>
    <row r="102" spans="1:23" ht="89.25" x14ac:dyDescent="0.25">
      <c r="A102" s="17">
        <f t="shared" ca="1" si="19"/>
        <v>98</v>
      </c>
      <c r="B102" s="18" t="s">
        <v>139</v>
      </c>
      <c r="C102" s="18" t="s">
        <v>224</v>
      </c>
      <c r="D102" s="18"/>
      <c r="E102" s="18"/>
      <c r="F102" s="18"/>
      <c r="G102" s="18"/>
      <c r="H102" s="19" t="s">
        <v>225</v>
      </c>
      <c r="I102" s="18" t="s">
        <v>104</v>
      </c>
      <c r="J102" s="20">
        <v>1</v>
      </c>
      <c r="K102" s="20">
        <v>1.1499999999999999</v>
      </c>
      <c r="L102" s="21" t="s">
        <v>28</v>
      </c>
      <c r="M102" s="22">
        <v>0.25829999999999997</v>
      </c>
      <c r="N102" s="22">
        <v>2.7E-2</v>
      </c>
      <c r="O102" s="22">
        <v>1017.1985435894751</v>
      </c>
      <c r="P102" s="22">
        <f t="shared" si="15"/>
        <v>302.15374138053556</v>
      </c>
      <c r="Q102" s="22">
        <v>2777.0693256854333</v>
      </c>
      <c r="R102" s="22">
        <f t="shared" si="16"/>
        <v>86.228002562532694</v>
      </c>
      <c r="S102" s="22">
        <f t="shared" si="17"/>
        <v>388.38174394306827</v>
      </c>
      <c r="T102" s="23">
        <v>0.55859868298040061</v>
      </c>
      <c r="U102" s="24">
        <v>0.1</v>
      </c>
      <c r="V102" s="25">
        <f t="shared" si="28"/>
        <v>665.86440206362715</v>
      </c>
      <c r="W102" s="26" t="s">
        <v>29</v>
      </c>
    </row>
    <row r="103" spans="1:23" ht="89.25" x14ac:dyDescent="0.25">
      <c r="A103" s="17">
        <f t="shared" ca="1" si="19"/>
        <v>99</v>
      </c>
      <c r="B103" s="18" t="s">
        <v>139</v>
      </c>
      <c r="C103" s="18" t="s">
        <v>226</v>
      </c>
      <c r="D103" s="18"/>
      <c r="E103" s="18"/>
      <c r="F103" s="18"/>
      <c r="G103" s="18"/>
      <c r="H103" s="19" t="s">
        <v>227</v>
      </c>
      <c r="I103" s="18" t="s">
        <v>104</v>
      </c>
      <c r="J103" s="20">
        <v>1</v>
      </c>
      <c r="K103" s="20">
        <v>1.1499999999999999</v>
      </c>
      <c r="L103" s="21" t="s">
        <v>28</v>
      </c>
      <c r="M103" s="22">
        <v>0.2863</v>
      </c>
      <c r="N103" s="22">
        <v>3.2399999999999998E-2</v>
      </c>
      <c r="O103" s="22">
        <v>1017.1985435894751</v>
      </c>
      <c r="P103" s="22">
        <f t="shared" si="15"/>
        <v>334.9075344841167</v>
      </c>
      <c r="Q103" s="22">
        <v>2777.0693256854333</v>
      </c>
      <c r="R103" s="22">
        <f t="shared" si="16"/>
        <v>103.47360307503924</v>
      </c>
      <c r="S103" s="22">
        <f t="shared" si="17"/>
        <v>438.38113755915595</v>
      </c>
      <c r="T103" s="23">
        <v>0.55859868298040061</v>
      </c>
      <c r="U103" s="24">
        <v>0.1</v>
      </c>
      <c r="V103" s="25">
        <f t="shared" si="28"/>
        <v>751.58629000746532</v>
      </c>
      <c r="W103" s="26" t="s">
        <v>29</v>
      </c>
    </row>
    <row r="104" spans="1:23" ht="89.25" x14ac:dyDescent="0.25">
      <c r="A104" s="17">
        <f t="shared" ca="1" si="19"/>
        <v>100</v>
      </c>
      <c r="B104" s="18" t="s">
        <v>139</v>
      </c>
      <c r="C104" s="18" t="s">
        <v>228</v>
      </c>
      <c r="D104" s="18"/>
      <c r="E104" s="18"/>
      <c r="F104" s="18"/>
      <c r="G104" s="18"/>
      <c r="H104" s="19" t="s">
        <v>229</v>
      </c>
      <c r="I104" s="18" t="s">
        <v>104</v>
      </c>
      <c r="J104" s="20">
        <v>1</v>
      </c>
      <c r="K104" s="20">
        <v>1.1499999999999999</v>
      </c>
      <c r="L104" s="21" t="s">
        <v>28</v>
      </c>
      <c r="M104" s="22">
        <v>0.2954</v>
      </c>
      <c r="N104" s="22">
        <v>3.3000000000000002E-2</v>
      </c>
      <c r="O104" s="22">
        <v>1017.1985435894751</v>
      </c>
      <c r="P104" s="22">
        <f t="shared" si="15"/>
        <v>345.55251724278054</v>
      </c>
      <c r="Q104" s="22">
        <v>2777.0693256854333</v>
      </c>
      <c r="R104" s="22">
        <f t="shared" si="16"/>
        <v>105.38978090976219</v>
      </c>
      <c r="S104" s="22">
        <f t="shared" si="17"/>
        <v>450.94229815254272</v>
      </c>
      <c r="T104" s="23">
        <v>0.55859868298040061</v>
      </c>
      <c r="U104" s="24">
        <v>0.1</v>
      </c>
      <c r="V104" s="25">
        <f t="shared" si="28"/>
        <v>773.12187920077906</v>
      </c>
      <c r="W104" s="26" t="s">
        <v>29</v>
      </c>
    </row>
    <row r="105" spans="1:23" ht="89.25" x14ac:dyDescent="0.25">
      <c r="A105" s="17">
        <f t="shared" ca="1" si="19"/>
        <v>101</v>
      </c>
      <c r="B105" s="18" t="s">
        <v>139</v>
      </c>
      <c r="C105" s="18" t="s">
        <v>230</v>
      </c>
      <c r="D105" s="18"/>
      <c r="E105" s="18"/>
      <c r="F105" s="18"/>
      <c r="G105" s="18"/>
      <c r="H105" s="19" t="s">
        <v>231</v>
      </c>
      <c r="I105" s="18" t="s">
        <v>104</v>
      </c>
      <c r="J105" s="20">
        <v>1</v>
      </c>
      <c r="K105" s="20">
        <v>1.1499999999999999</v>
      </c>
      <c r="L105" s="21" t="s">
        <v>28</v>
      </c>
      <c r="M105" s="22">
        <v>0.30449999999999999</v>
      </c>
      <c r="N105" s="22">
        <v>3.3599999999999998E-2</v>
      </c>
      <c r="O105" s="22">
        <v>1017.1985435894751</v>
      </c>
      <c r="P105" s="22">
        <f t="shared" si="15"/>
        <v>356.19750000144444</v>
      </c>
      <c r="Q105" s="22">
        <v>2777.0693256854333</v>
      </c>
      <c r="R105" s="22">
        <f t="shared" si="16"/>
        <v>107.30595874448512</v>
      </c>
      <c r="S105" s="22">
        <f t="shared" si="17"/>
        <v>463.50345874592955</v>
      </c>
      <c r="T105" s="23">
        <v>0.55859868298040061</v>
      </c>
      <c r="U105" s="24">
        <v>0.1</v>
      </c>
      <c r="V105" s="25">
        <f t="shared" si="28"/>
        <v>794.6574683940928</v>
      </c>
      <c r="W105" s="26" t="s">
        <v>29</v>
      </c>
    </row>
    <row r="106" spans="1:23" ht="89.25" x14ac:dyDescent="0.25">
      <c r="A106" s="17">
        <f t="shared" ca="1" si="19"/>
        <v>102</v>
      </c>
      <c r="B106" s="18" t="s">
        <v>139</v>
      </c>
      <c r="C106" s="18" t="s">
        <v>232</v>
      </c>
      <c r="D106" s="18"/>
      <c r="E106" s="18"/>
      <c r="F106" s="18"/>
      <c r="G106" s="18"/>
      <c r="H106" s="19" t="s">
        <v>233</v>
      </c>
      <c r="I106" s="18" t="s">
        <v>104</v>
      </c>
      <c r="J106" s="20">
        <v>1</v>
      </c>
      <c r="K106" s="20">
        <v>1.1499999999999999</v>
      </c>
      <c r="L106" s="21" t="s">
        <v>28</v>
      </c>
      <c r="M106" s="22">
        <v>0.37940000000000002</v>
      </c>
      <c r="N106" s="22">
        <v>4.1999999999999996E-2</v>
      </c>
      <c r="O106" s="22">
        <v>1017.1985435894751</v>
      </c>
      <c r="P106" s="22">
        <f t="shared" si="15"/>
        <v>443.81389655352388</v>
      </c>
      <c r="Q106" s="22">
        <v>2777.0693256854333</v>
      </c>
      <c r="R106" s="22">
        <f t="shared" si="16"/>
        <v>134.13244843060642</v>
      </c>
      <c r="S106" s="22">
        <f t="shared" si="17"/>
        <v>577.94634498413029</v>
      </c>
      <c r="T106" s="23">
        <v>0.55859868298040061</v>
      </c>
      <c r="U106" s="24">
        <v>0.1</v>
      </c>
      <c r="V106" s="25">
        <f t="shared" si="28"/>
        <v>990.86505333816194</v>
      </c>
      <c r="W106" s="26" t="s">
        <v>29</v>
      </c>
    </row>
    <row r="107" spans="1:23" ht="89.25" x14ac:dyDescent="0.25">
      <c r="A107" s="17">
        <f t="shared" ca="1" si="19"/>
        <v>103</v>
      </c>
      <c r="B107" s="18" t="s">
        <v>139</v>
      </c>
      <c r="C107" s="18" t="s">
        <v>234</v>
      </c>
      <c r="D107" s="18"/>
      <c r="E107" s="18"/>
      <c r="F107" s="18"/>
      <c r="G107" s="18"/>
      <c r="H107" s="19" t="s">
        <v>235</v>
      </c>
      <c r="I107" s="18" t="s">
        <v>104</v>
      </c>
      <c r="J107" s="20">
        <v>1</v>
      </c>
      <c r="K107" s="20">
        <v>1.1499999999999999</v>
      </c>
      <c r="L107" s="21" t="s">
        <v>28</v>
      </c>
      <c r="M107" s="22">
        <v>0.39129999999999993</v>
      </c>
      <c r="N107" s="22">
        <v>4.2599999999999992E-2</v>
      </c>
      <c r="O107" s="22">
        <v>1017.1985435894751</v>
      </c>
      <c r="P107" s="22">
        <f t="shared" si="15"/>
        <v>457.73425862254572</v>
      </c>
      <c r="Q107" s="22">
        <v>2777.0693256854333</v>
      </c>
      <c r="R107" s="22">
        <f t="shared" si="16"/>
        <v>136.04862626532935</v>
      </c>
      <c r="S107" s="22">
        <f t="shared" si="17"/>
        <v>593.78288488787507</v>
      </c>
      <c r="T107" s="23">
        <v>0.55859868298040061</v>
      </c>
      <c r="U107" s="24">
        <v>0.1</v>
      </c>
      <c r="V107" s="25">
        <f t="shared" si="28"/>
        <v>1018.0161445987994</v>
      </c>
      <c r="W107" s="26" t="s">
        <v>29</v>
      </c>
    </row>
    <row r="108" spans="1:23" ht="89.25" x14ac:dyDescent="0.25">
      <c r="A108" s="17">
        <f t="shared" ca="1" si="19"/>
        <v>104</v>
      </c>
      <c r="B108" s="18" t="s">
        <v>139</v>
      </c>
      <c r="C108" s="18" t="s">
        <v>236</v>
      </c>
      <c r="D108" s="18"/>
      <c r="E108" s="18"/>
      <c r="F108" s="18"/>
      <c r="G108" s="18"/>
      <c r="H108" s="19" t="s">
        <v>237</v>
      </c>
      <c r="I108" s="18" t="s">
        <v>104</v>
      </c>
      <c r="J108" s="20">
        <v>1</v>
      </c>
      <c r="K108" s="20">
        <v>1.1499999999999999</v>
      </c>
      <c r="L108" s="21" t="s">
        <v>28</v>
      </c>
      <c r="M108" s="22">
        <v>0.49490000000000001</v>
      </c>
      <c r="N108" s="22">
        <v>5.4000000000000006E-2</v>
      </c>
      <c r="O108" s="22">
        <v>1017.1985435894751</v>
      </c>
      <c r="P108" s="22">
        <f t="shared" si="15"/>
        <v>578.92329310579589</v>
      </c>
      <c r="Q108" s="22">
        <v>2777.0693256854333</v>
      </c>
      <c r="R108" s="22">
        <f t="shared" si="16"/>
        <v>172.45600512506542</v>
      </c>
      <c r="S108" s="22">
        <f t="shared" si="17"/>
        <v>751.37929823086131</v>
      </c>
      <c r="T108" s="23">
        <v>0.55859868298040061</v>
      </c>
      <c r="U108" s="24">
        <v>0.1</v>
      </c>
      <c r="V108" s="25">
        <f t="shared" si="28"/>
        <v>1288.208663105494</v>
      </c>
      <c r="W108" s="26" t="s">
        <v>29</v>
      </c>
    </row>
    <row r="109" spans="1:23" ht="89.25" x14ac:dyDescent="0.25">
      <c r="A109" s="17">
        <f t="shared" ca="1" si="19"/>
        <v>105</v>
      </c>
      <c r="B109" s="18" t="s">
        <v>139</v>
      </c>
      <c r="C109" s="18" t="s">
        <v>238</v>
      </c>
      <c r="D109" s="18"/>
      <c r="E109" s="18"/>
      <c r="F109" s="18"/>
      <c r="G109" s="18"/>
      <c r="H109" s="19" t="s">
        <v>239</v>
      </c>
      <c r="I109" s="18" t="s">
        <v>104</v>
      </c>
      <c r="J109" s="20">
        <v>1</v>
      </c>
      <c r="K109" s="20">
        <v>1.1499999999999999</v>
      </c>
      <c r="L109" s="21" t="s">
        <v>28</v>
      </c>
      <c r="M109" s="22">
        <v>0.49490000000000001</v>
      </c>
      <c r="N109" s="22">
        <v>5.4000000000000006E-2</v>
      </c>
      <c r="O109" s="22">
        <v>1017.1985435894751</v>
      </c>
      <c r="P109" s="22">
        <f t="shared" si="15"/>
        <v>578.92329310579589</v>
      </c>
      <c r="Q109" s="22">
        <v>2777.0693256854333</v>
      </c>
      <c r="R109" s="22">
        <f t="shared" si="16"/>
        <v>172.45600512506542</v>
      </c>
      <c r="S109" s="22">
        <f t="shared" si="17"/>
        <v>751.37929823086131</v>
      </c>
      <c r="T109" s="23">
        <v>0.55859868298040061</v>
      </c>
      <c r="U109" s="24">
        <v>0.1</v>
      </c>
      <c r="V109" s="25">
        <f t="shared" si="28"/>
        <v>1288.208663105494</v>
      </c>
      <c r="W109" s="26" t="s">
        <v>29</v>
      </c>
    </row>
    <row r="110" spans="1:23" ht="89.25" x14ac:dyDescent="0.25">
      <c r="A110" s="17">
        <f t="shared" ca="1" si="19"/>
        <v>106</v>
      </c>
      <c r="B110" s="18" t="s">
        <v>139</v>
      </c>
      <c r="C110" s="18" t="s">
        <v>240</v>
      </c>
      <c r="D110" s="18"/>
      <c r="E110" s="18"/>
      <c r="F110" s="18"/>
      <c r="G110" s="18"/>
      <c r="H110" s="19" t="s">
        <v>241</v>
      </c>
      <c r="I110" s="18" t="s">
        <v>104</v>
      </c>
      <c r="J110" s="20">
        <v>1</v>
      </c>
      <c r="K110" s="20">
        <v>1.1499999999999999</v>
      </c>
      <c r="L110" s="21" t="s">
        <v>28</v>
      </c>
      <c r="M110" s="22">
        <v>0.32550000000000001</v>
      </c>
      <c r="N110" s="22">
        <v>3.3000000000000002E-2</v>
      </c>
      <c r="O110" s="22">
        <v>1017.1985435894751</v>
      </c>
      <c r="P110" s="22">
        <f t="shared" si="15"/>
        <v>380.76284482913024</v>
      </c>
      <c r="Q110" s="22">
        <v>2777.0693256854333</v>
      </c>
      <c r="R110" s="22">
        <f t="shared" si="16"/>
        <v>105.38978090976219</v>
      </c>
      <c r="S110" s="22">
        <f t="shared" si="17"/>
        <v>486.15262573889243</v>
      </c>
      <c r="T110" s="23">
        <v>0.55859868298040061</v>
      </c>
      <c r="U110" s="24">
        <v>0.1</v>
      </c>
      <c r="V110" s="25">
        <f t="shared" si="28"/>
        <v>833.48852642451152</v>
      </c>
      <c r="W110" s="26" t="s">
        <v>29</v>
      </c>
    </row>
    <row r="111" spans="1:23" ht="89.25" x14ac:dyDescent="0.25">
      <c r="A111" s="17">
        <f t="shared" ca="1" si="19"/>
        <v>107</v>
      </c>
      <c r="B111" s="18" t="s">
        <v>139</v>
      </c>
      <c r="C111" s="18" t="s">
        <v>242</v>
      </c>
      <c r="D111" s="18"/>
      <c r="E111" s="18"/>
      <c r="F111" s="18"/>
      <c r="G111" s="18"/>
      <c r="H111" s="19" t="s">
        <v>243</v>
      </c>
      <c r="I111" s="18" t="s">
        <v>104</v>
      </c>
      <c r="J111" s="20">
        <v>1</v>
      </c>
      <c r="K111" s="20">
        <v>1.1499999999999999</v>
      </c>
      <c r="L111" s="21" t="s">
        <v>28</v>
      </c>
      <c r="M111" s="22">
        <v>0.39129999999999993</v>
      </c>
      <c r="N111" s="22">
        <v>4.2599999999999992E-2</v>
      </c>
      <c r="O111" s="22">
        <v>1017.1985435894751</v>
      </c>
      <c r="P111" s="22">
        <f t="shared" si="15"/>
        <v>457.73425862254572</v>
      </c>
      <c r="Q111" s="22">
        <v>2777.0693256854333</v>
      </c>
      <c r="R111" s="22">
        <f t="shared" si="16"/>
        <v>136.04862626532935</v>
      </c>
      <c r="S111" s="22">
        <f t="shared" si="17"/>
        <v>593.78288488787507</v>
      </c>
      <c r="T111" s="23">
        <v>0.55859868298040061</v>
      </c>
      <c r="U111" s="24">
        <v>0.1</v>
      </c>
      <c r="V111" s="25">
        <f t="shared" si="28"/>
        <v>1018.0161445987994</v>
      </c>
      <c r="W111" s="26" t="s">
        <v>29</v>
      </c>
    </row>
    <row r="112" spans="1:23" ht="89.25" x14ac:dyDescent="0.25">
      <c r="A112" s="17">
        <f t="shared" ca="1" si="19"/>
        <v>108</v>
      </c>
      <c r="B112" s="18" t="s">
        <v>139</v>
      </c>
      <c r="C112" s="18" t="s">
        <v>244</v>
      </c>
      <c r="D112" s="18"/>
      <c r="E112" s="18"/>
      <c r="F112" s="18"/>
      <c r="G112" s="18"/>
      <c r="H112" s="19" t="s">
        <v>245</v>
      </c>
      <c r="I112" s="18" t="s">
        <v>104</v>
      </c>
      <c r="J112" s="20">
        <v>1</v>
      </c>
      <c r="K112" s="20">
        <v>1.1499999999999999</v>
      </c>
      <c r="L112" s="21" t="s">
        <v>28</v>
      </c>
      <c r="M112" s="22">
        <v>0.49490000000000001</v>
      </c>
      <c r="N112" s="22">
        <v>5.4000000000000006E-2</v>
      </c>
      <c r="O112" s="22">
        <v>1017.1985435894751</v>
      </c>
      <c r="P112" s="22">
        <f t="shared" si="15"/>
        <v>578.92329310579589</v>
      </c>
      <c r="Q112" s="22">
        <v>2777.0693256854333</v>
      </c>
      <c r="R112" s="22">
        <f t="shared" si="16"/>
        <v>172.45600512506542</v>
      </c>
      <c r="S112" s="22">
        <f t="shared" si="17"/>
        <v>751.37929823086131</v>
      </c>
      <c r="T112" s="23">
        <v>0.55859868298040061</v>
      </c>
      <c r="U112" s="24">
        <v>0.1</v>
      </c>
      <c r="V112" s="25">
        <f t="shared" si="28"/>
        <v>1288.208663105494</v>
      </c>
      <c r="W112" s="26" t="s">
        <v>29</v>
      </c>
    </row>
    <row r="113" spans="1:23" ht="89.25" x14ac:dyDescent="0.25">
      <c r="A113" s="17">
        <f t="shared" ca="1" si="19"/>
        <v>109</v>
      </c>
      <c r="B113" s="18" t="s">
        <v>139</v>
      </c>
      <c r="C113" s="18" t="s">
        <v>246</v>
      </c>
      <c r="D113" s="18"/>
      <c r="E113" s="18"/>
      <c r="F113" s="18"/>
      <c r="G113" s="18"/>
      <c r="H113" s="19" t="s">
        <v>247</v>
      </c>
      <c r="I113" s="18" t="s">
        <v>104</v>
      </c>
      <c r="J113" s="20">
        <v>1</v>
      </c>
      <c r="K113" s="20">
        <v>1.1499999999999999</v>
      </c>
      <c r="L113" s="21" t="s">
        <v>28</v>
      </c>
      <c r="M113" s="22">
        <v>0.49490000000000001</v>
      </c>
      <c r="N113" s="22">
        <v>5.4000000000000006E-2</v>
      </c>
      <c r="O113" s="22">
        <v>1017.1985435894751</v>
      </c>
      <c r="P113" s="22">
        <f t="shared" si="15"/>
        <v>578.92329310579589</v>
      </c>
      <c r="Q113" s="22">
        <v>2777.0693256854333</v>
      </c>
      <c r="R113" s="22">
        <f t="shared" si="16"/>
        <v>172.45600512506542</v>
      </c>
      <c r="S113" s="22">
        <f t="shared" si="17"/>
        <v>751.37929823086131</v>
      </c>
      <c r="T113" s="23">
        <v>0.55859868298040061</v>
      </c>
      <c r="U113" s="24">
        <v>0.1</v>
      </c>
      <c r="V113" s="25">
        <f t="shared" si="28"/>
        <v>1288.208663105494</v>
      </c>
      <c r="W113" s="26" t="s">
        <v>29</v>
      </c>
    </row>
    <row r="114" spans="1:23" ht="89.25" x14ac:dyDescent="0.25">
      <c r="A114" s="17">
        <f t="shared" ca="1" si="19"/>
        <v>110</v>
      </c>
      <c r="B114" s="18" t="s">
        <v>139</v>
      </c>
      <c r="C114" s="18" t="s">
        <v>248</v>
      </c>
      <c r="D114" s="18"/>
      <c r="E114" s="18"/>
      <c r="F114" s="18"/>
      <c r="G114" s="18"/>
      <c r="H114" s="19" t="s">
        <v>249</v>
      </c>
      <c r="I114" s="18" t="s">
        <v>104</v>
      </c>
      <c r="J114" s="20">
        <v>1</v>
      </c>
      <c r="K114" s="20">
        <v>1.1499999999999999</v>
      </c>
      <c r="L114" s="21" t="s">
        <v>28</v>
      </c>
      <c r="M114" s="22">
        <v>0.51030000000000009</v>
      </c>
      <c r="N114" s="22">
        <v>5.6399999999999999E-2</v>
      </c>
      <c r="O114" s="22">
        <v>1017.1985435894751</v>
      </c>
      <c r="P114" s="22">
        <f t="shared" si="15"/>
        <v>596.93787931276552</v>
      </c>
      <c r="Q114" s="22">
        <v>2777.0693256854333</v>
      </c>
      <c r="R114" s="22">
        <f t="shared" si="16"/>
        <v>180.12071646395719</v>
      </c>
      <c r="S114" s="22">
        <f t="shared" si="17"/>
        <v>777.05859577672277</v>
      </c>
      <c r="T114" s="23">
        <v>0.55859868298040061</v>
      </c>
      <c r="U114" s="24">
        <v>0.1</v>
      </c>
      <c r="V114" s="25">
        <f t="shared" si="28"/>
        <v>1332.2347543738197</v>
      </c>
      <c r="W114" s="26" t="s">
        <v>29</v>
      </c>
    </row>
    <row r="115" spans="1:23" ht="89.25" x14ac:dyDescent="0.25">
      <c r="A115" s="17">
        <f t="shared" ca="1" si="19"/>
        <v>111</v>
      </c>
      <c r="B115" s="18" t="s">
        <v>139</v>
      </c>
      <c r="C115" s="18" t="s">
        <v>250</v>
      </c>
      <c r="D115" s="18"/>
      <c r="E115" s="18"/>
      <c r="F115" s="18"/>
      <c r="G115" s="18"/>
      <c r="H115" s="19" t="s">
        <v>251</v>
      </c>
      <c r="I115" s="18" t="s">
        <v>104</v>
      </c>
      <c r="J115" s="20">
        <v>1</v>
      </c>
      <c r="K115" s="20">
        <v>1.1499999999999999</v>
      </c>
      <c r="L115" s="21" t="s">
        <v>28</v>
      </c>
      <c r="M115" s="22">
        <v>0.52639999999999998</v>
      </c>
      <c r="N115" s="22">
        <v>5.7599999999999998E-2</v>
      </c>
      <c r="O115" s="22">
        <v>1017.1985435894751</v>
      </c>
      <c r="P115" s="22">
        <f t="shared" si="15"/>
        <v>615.77131034732452</v>
      </c>
      <c r="Q115" s="22">
        <v>2777.0693256854333</v>
      </c>
      <c r="R115" s="22">
        <f t="shared" si="16"/>
        <v>183.95307213340308</v>
      </c>
      <c r="S115" s="22">
        <f t="shared" si="17"/>
        <v>799.72438248072763</v>
      </c>
      <c r="T115" s="23">
        <v>0.55859868298040061</v>
      </c>
      <c r="U115" s="24">
        <v>0.1</v>
      </c>
      <c r="V115" s="25">
        <f t="shared" si="28"/>
        <v>1371.0943062099539</v>
      </c>
      <c r="W115" s="26" t="s">
        <v>29</v>
      </c>
    </row>
    <row r="116" spans="1:23" ht="89.25" x14ac:dyDescent="0.25">
      <c r="A116" s="17">
        <f t="shared" ca="1" si="19"/>
        <v>112</v>
      </c>
      <c r="B116" s="18" t="s">
        <v>139</v>
      </c>
      <c r="C116" s="18" t="s">
        <v>252</v>
      </c>
      <c r="D116" s="18"/>
      <c r="E116" s="18"/>
      <c r="F116" s="18"/>
      <c r="G116" s="18"/>
      <c r="H116" s="19" t="s">
        <v>253</v>
      </c>
      <c r="I116" s="18" t="s">
        <v>104</v>
      </c>
      <c r="J116" s="20">
        <v>1</v>
      </c>
      <c r="K116" s="20">
        <v>1.1499999999999999</v>
      </c>
      <c r="L116" s="21" t="s">
        <v>28</v>
      </c>
      <c r="M116" s="22">
        <v>0.68529999999999991</v>
      </c>
      <c r="N116" s="22">
        <v>7.4999999999999997E-2</v>
      </c>
      <c r="O116" s="22">
        <v>1017.1985435894751</v>
      </c>
      <c r="P116" s="22">
        <f t="shared" si="15"/>
        <v>801.64908621014717</v>
      </c>
      <c r="Q116" s="22">
        <v>2777.0693256854333</v>
      </c>
      <c r="R116" s="22">
        <f t="shared" si="16"/>
        <v>239.52222934036863</v>
      </c>
      <c r="S116" s="22">
        <f t="shared" si="17"/>
        <v>1041.1713155505158</v>
      </c>
      <c r="T116" s="23">
        <v>0.55859868298040061</v>
      </c>
      <c r="U116" s="24">
        <v>0.1</v>
      </c>
      <c r="V116" s="25">
        <f t="shared" si="28"/>
        <v>1785.0450652914058</v>
      </c>
      <c r="W116" s="26" t="s">
        <v>29</v>
      </c>
    </row>
    <row r="117" spans="1:23" x14ac:dyDescent="0.25">
      <c r="A117" s="12">
        <f t="shared" ca="1" si="19"/>
        <v>113</v>
      </c>
      <c r="B117" s="13" t="s">
        <v>139</v>
      </c>
      <c r="C117" s="13" t="s">
        <v>254</v>
      </c>
      <c r="D117" s="13"/>
      <c r="E117" s="13"/>
      <c r="F117" s="13"/>
      <c r="G117" s="13"/>
      <c r="H117" s="15" t="s">
        <v>255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27"/>
      <c r="U117" s="16"/>
      <c r="V117" s="13"/>
      <c r="W117" s="13"/>
    </row>
    <row r="118" spans="1:23" ht="89.25" x14ac:dyDescent="0.25">
      <c r="A118" s="17">
        <f t="shared" ca="1" si="19"/>
        <v>114</v>
      </c>
      <c r="B118" s="18" t="s">
        <v>139</v>
      </c>
      <c r="C118" s="18" t="s">
        <v>256</v>
      </c>
      <c r="D118" s="18"/>
      <c r="E118" s="18"/>
      <c r="F118" s="18"/>
      <c r="G118" s="18"/>
      <c r="H118" s="19" t="s">
        <v>257</v>
      </c>
      <c r="I118" s="18" t="s">
        <v>104</v>
      </c>
      <c r="J118" s="20">
        <v>1</v>
      </c>
      <c r="K118" s="20">
        <v>1.1499999999999999</v>
      </c>
      <c r="L118" s="21" t="s">
        <v>28</v>
      </c>
      <c r="M118" s="22">
        <v>0.1694</v>
      </c>
      <c r="N118" s="22">
        <v>1.8599999999999998E-2</v>
      </c>
      <c r="O118" s="22">
        <v>1017.1985435894751</v>
      </c>
      <c r="P118" s="22">
        <f t="shared" si="15"/>
        <v>198.16044827666562</v>
      </c>
      <c r="Q118" s="22">
        <v>2777.0693256854333</v>
      </c>
      <c r="R118" s="22">
        <f t="shared" si="16"/>
        <v>59.40151287641141</v>
      </c>
      <c r="S118" s="22">
        <f t="shared" si="17"/>
        <v>257.56196115307705</v>
      </c>
      <c r="T118" s="23">
        <v>0.55859868298040061</v>
      </c>
      <c r="U118" s="24">
        <v>0.1</v>
      </c>
      <c r="V118" s="25">
        <f t="shared" ref="V118:V167" si="29">S118+S118*T118+(S118+S118*T118)*U118</f>
        <v>441.57930678293849</v>
      </c>
      <c r="W118" s="26" t="s">
        <v>29</v>
      </c>
    </row>
    <row r="119" spans="1:23" ht="89.25" x14ac:dyDescent="0.25">
      <c r="A119" s="17">
        <f t="shared" ca="1" si="19"/>
        <v>115</v>
      </c>
      <c r="B119" s="18" t="s">
        <v>139</v>
      </c>
      <c r="C119" s="18" t="s">
        <v>258</v>
      </c>
      <c r="D119" s="18"/>
      <c r="E119" s="18"/>
      <c r="F119" s="18"/>
      <c r="G119" s="18"/>
      <c r="H119" s="19" t="s">
        <v>259</v>
      </c>
      <c r="I119" s="18" t="s">
        <v>104</v>
      </c>
      <c r="J119" s="20">
        <v>1</v>
      </c>
      <c r="K119" s="20">
        <v>1.1499999999999999</v>
      </c>
      <c r="L119" s="21" t="s">
        <v>28</v>
      </c>
      <c r="M119" s="22">
        <v>0.18409999999999999</v>
      </c>
      <c r="N119" s="22">
        <v>1.7999999999999999E-2</v>
      </c>
      <c r="O119" s="22">
        <v>1017.1985435894751</v>
      </c>
      <c r="P119" s="22">
        <f t="shared" si="15"/>
        <v>215.3561896560457</v>
      </c>
      <c r="Q119" s="22">
        <v>2777.0693256854333</v>
      </c>
      <c r="R119" s="22">
        <f t="shared" si="16"/>
        <v>57.485335041688458</v>
      </c>
      <c r="S119" s="22">
        <f t="shared" si="17"/>
        <v>272.84152469773414</v>
      </c>
      <c r="T119" s="23">
        <v>0.55859868298040061</v>
      </c>
      <c r="U119" s="24">
        <v>0.1</v>
      </c>
      <c r="V119" s="25">
        <f t="shared" si="29"/>
        <v>467.77548516187812</v>
      </c>
      <c r="W119" s="26" t="s">
        <v>29</v>
      </c>
    </row>
    <row r="120" spans="1:23" ht="89.25" x14ac:dyDescent="0.25">
      <c r="A120" s="17">
        <f t="shared" ca="1" si="19"/>
        <v>116</v>
      </c>
      <c r="B120" s="18" t="s">
        <v>139</v>
      </c>
      <c r="C120" s="18" t="s">
        <v>260</v>
      </c>
      <c r="D120" s="18"/>
      <c r="E120" s="18"/>
      <c r="F120" s="18"/>
      <c r="G120" s="18"/>
      <c r="H120" s="19" t="s">
        <v>261</v>
      </c>
      <c r="I120" s="18" t="s">
        <v>104</v>
      </c>
      <c r="J120" s="20">
        <v>1</v>
      </c>
      <c r="K120" s="20">
        <v>1.1499999999999999</v>
      </c>
      <c r="L120" s="21" t="s">
        <v>28</v>
      </c>
      <c r="M120" s="22">
        <v>0.18409999999999999</v>
      </c>
      <c r="N120" s="22">
        <v>1.7999999999999999E-2</v>
      </c>
      <c r="O120" s="22">
        <v>1017.1985435894751</v>
      </c>
      <c r="P120" s="22">
        <f t="shared" si="15"/>
        <v>215.3561896560457</v>
      </c>
      <c r="Q120" s="22">
        <v>2777.0693256854333</v>
      </c>
      <c r="R120" s="22">
        <f t="shared" si="16"/>
        <v>57.485335041688458</v>
      </c>
      <c r="S120" s="22">
        <f t="shared" si="17"/>
        <v>272.84152469773414</v>
      </c>
      <c r="T120" s="23">
        <v>0.55859868298040061</v>
      </c>
      <c r="U120" s="24">
        <v>0.1</v>
      </c>
      <c r="V120" s="25">
        <f t="shared" si="29"/>
        <v>467.77548516187812</v>
      </c>
      <c r="W120" s="26" t="s">
        <v>29</v>
      </c>
    </row>
    <row r="121" spans="1:23" ht="89.25" x14ac:dyDescent="0.25">
      <c r="A121" s="17">
        <f t="shared" ca="1" si="19"/>
        <v>117</v>
      </c>
      <c r="B121" s="18" t="s">
        <v>139</v>
      </c>
      <c r="C121" s="18" t="s">
        <v>262</v>
      </c>
      <c r="D121" s="18"/>
      <c r="E121" s="18"/>
      <c r="F121" s="18"/>
      <c r="G121" s="18"/>
      <c r="H121" s="19" t="s">
        <v>263</v>
      </c>
      <c r="I121" s="18" t="s">
        <v>104</v>
      </c>
      <c r="J121" s="20">
        <v>1</v>
      </c>
      <c r="K121" s="20">
        <v>1.1499999999999999</v>
      </c>
      <c r="L121" s="21" t="s">
        <v>28</v>
      </c>
      <c r="M121" s="22">
        <v>0.18409999999999999</v>
      </c>
      <c r="N121" s="22">
        <v>1.7999999999999999E-2</v>
      </c>
      <c r="O121" s="22">
        <v>1017.1985435894751</v>
      </c>
      <c r="P121" s="22">
        <f t="shared" si="15"/>
        <v>215.3561896560457</v>
      </c>
      <c r="Q121" s="22">
        <v>2777.0693256854333</v>
      </c>
      <c r="R121" s="22">
        <f t="shared" si="16"/>
        <v>57.485335041688458</v>
      </c>
      <c r="S121" s="22">
        <f t="shared" si="17"/>
        <v>272.84152469773414</v>
      </c>
      <c r="T121" s="23">
        <v>0.55859868298040061</v>
      </c>
      <c r="U121" s="24">
        <v>0.1</v>
      </c>
      <c r="V121" s="25">
        <f t="shared" si="29"/>
        <v>467.77548516187812</v>
      </c>
      <c r="W121" s="26" t="s">
        <v>29</v>
      </c>
    </row>
    <row r="122" spans="1:23" ht="89.25" x14ac:dyDescent="0.25">
      <c r="A122" s="17">
        <f t="shared" ca="1" si="19"/>
        <v>118</v>
      </c>
      <c r="B122" s="18" t="s">
        <v>139</v>
      </c>
      <c r="C122" s="18" t="s">
        <v>264</v>
      </c>
      <c r="D122" s="18"/>
      <c r="E122" s="18"/>
      <c r="F122" s="18"/>
      <c r="G122" s="18"/>
      <c r="H122" s="19" t="s">
        <v>265</v>
      </c>
      <c r="I122" s="18" t="s">
        <v>104</v>
      </c>
      <c r="J122" s="20">
        <v>1</v>
      </c>
      <c r="K122" s="20">
        <v>1.1499999999999999</v>
      </c>
      <c r="L122" s="21" t="s">
        <v>28</v>
      </c>
      <c r="M122" s="22">
        <v>0.18340000000000001</v>
      </c>
      <c r="N122" s="22">
        <v>1.7999999999999999E-2</v>
      </c>
      <c r="O122" s="22">
        <v>1017.1985435894751</v>
      </c>
      <c r="P122" s="22">
        <f t="shared" si="15"/>
        <v>214.53734482845618</v>
      </c>
      <c r="Q122" s="22">
        <v>2777.0693256854333</v>
      </c>
      <c r="R122" s="22">
        <f t="shared" si="16"/>
        <v>57.485335041688458</v>
      </c>
      <c r="S122" s="22">
        <f t="shared" si="17"/>
        <v>272.02267987014466</v>
      </c>
      <c r="T122" s="23">
        <v>0.55859868298040061</v>
      </c>
      <c r="U122" s="24">
        <v>0.1</v>
      </c>
      <c r="V122" s="25">
        <f t="shared" si="29"/>
        <v>466.37160964504727</v>
      </c>
      <c r="W122" s="26" t="s">
        <v>29</v>
      </c>
    </row>
    <row r="123" spans="1:23" ht="89.25" x14ac:dyDescent="0.25">
      <c r="A123" s="17">
        <f t="shared" ca="1" si="19"/>
        <v>119</v>
      </c>
      <c r="B123" s="18" t="s">
        <v>139</v>
      </c>
      <c r="C123" s="18" t="s">
        <v>266</v>
      </c>
      <c r="D123" s="18"/>
      <c r="E123" s="18"/>
      <c r="F123" s="18"/>
      <c r="G123" s="18"/>
      <c r="H123" s="19" t="s">
        <v>267</v>
      </c>
      <c r="I123" s="18" t="s">
        <v>104</v>
      </c>
      <c r="J123" s="20">
        <v>1</v>
      </c>
      <c r="K123" s="20">
        <v>1.1499999999999999</v>
      </c>
      <c r="L123" s="21" t="s">
        <v>28</v>
      </c>
      <c r="M123" s="22">
        <v>0.19739999999999996</v>
      </c>
      <c r="N123" s="22">
        <v>1.7999999999999999E-2</v>
      </c>
      <c r="O123" s="22">
        <v>1017.1985435894751</v>
      </c>
      <c r="P123" s="22">
        <f t="shared" si="15"/>
        <v>230.91424138024666</v>
      </c>
      <c r="Q123" s="22">
        <v>2777.0693256854333</v>
      </c>
      <c r="R123" s="22">
        <f t="shared" si="16"/>
        <v>57.485335041688458</v>
      </c>
      <c r="S123" s="22">
        <f t="shared" si="17"/>
        <v>288.39957642193514</v>
      </c>
      <c r="T123" s="23">
        <v>0.55859868298040061</v>
      </c>
      <c r="U123" s="24">
        <v>0.1</v>
      </c>
      <c r="V123" s="25">
        <f t="shared" si="29"/>
        <v>494.44911998166685</v>
      </c>
      <c r="W123" s="26" t="s">
        <v>29</v>
      </c>
    </row>
    <row r="124" spans="1:23" ht="89.25" x14ac:dyDescent="0.25">
      <c r="A124" s="17">
        <f t="shared" ca="1" si="19"/>
        <v>120</v>
      </c>
      <c r="B124" s="18" t="s">
        <v>139</v>
      </c>
      <c r="C124" s="18" t="s">
        <v>268</v>
      </c>
      <c r="D124" s="18"/>
      <c r="E124" s="18"/>
      <c r="F124" s="18"/>
      <c r="G124" s="18"/>
      <c r="H124" s="19" t="s">
        <v>269</v>
      </c>
      <c r="I124" s="18" t="s">
        <v>104</v>
      </c>
      <c r="J124" s="20">
        <v>1</v>
      </c>
      <c r="K124" s="20">
        <v>1.1499999999999999</v>
      </c>
      <c r="L124" s="21" t="s">
        <v>28</v>
      </c>
      <c r="M124" s="22">
        <v>0.1757</v>
      </c>
      <c r="N124" s="22">
        <v>1.9199999999999998E-2</v>
      </c>
      <c r="O124" s="22">
        <v>1017.1985435894751</v>
      </c>
      <c r="P124" s="22">
        <f t="shared" si="15"/>
        <v>205.53005172497137</v>
      </c>
      <c r="Q124" s="22">
        <v>2777.0693256854333</v>
      </c>
      <c r="R124" s="22">
        <f t="shared" si="16"/>
        <v>61.317690711134361</v>
      </c>
      <c r="S124" s="22">
        <f t="shared" si="17"/>
        <v>266.8477424361057</v>
      </c>
      <c r="T124" s="23">
        <v>0.55859868298040061</v>
      </c>
      <c r="U124" s="24">
        <v>0.1</v>
      </c>
      <c r="V124" s="25">
        <f t="shared" si="29"/>
        <v>457.49939390892825</v>
      </c>
      <c r="W124" s="26" t="s">
        <v>29</v>
      </c>
    </row>
    <row r="125" spans="1:23" ht="89.25" x14ac:dyDescent="0.25">
      <c r="A125" s="17">
        <f t="shared" ca="1" si="19"/>
        <v>121</v>
      </c>
      <c r="B125" s="18" t="s">
        <v>139</v>
      </c>
      <c r="C125" s="18" t="s">
        <v>270</v>
      </c>
      <c r="D125" s="18"/>
      <c r="E125" s="18"/>
      <c r="F125" s="18"/>
      <c r="G125" s="18"/>
      <c r="H125" s="19" t="s">
        <v>271</v>
      </c>
      <c r="I125" s="18" t="s">
        <v>104</v>
      </c>
      <c r="J125" s="20">
        <v>1</v>
      </c>
      <c r="K125" s="20">
        <v>1.1499999999999999</v>
      </c>
      <c r="L125" s="21" t="s">
        <v>28</v>
      </c>
      <c r="M125" s="22">
        <v>0.1757</v>
      </c>
      <c r="N125" s="22">
        <v>1.9199999999999998E-2</v>
      </c>
      <c r="O125" s="22">
        <v>1017.1985435894751</v>
      </c>
      <c r="P125" s="22">
        <f t="shared" si="15"/>
        <v>205.53005172497137</v>
      </c>
      <c r="Q125" s="22">
        <v>2777.0693256854333</v>
      </c>
      <c r="R125" s="22">
        <f t="shared" si="16"/>
        <v>61.317690711134361</v>
      </c>
      <c r="S125" s="22">
        <f t="shared" si="17"/>
        <v>266.8477424361057</v>
      </c>
      <c r="T125" s="23">
        <v>0.55859868298040061</v>
      </c>
      <c r="U125" s="24">
        <v>0.1</v>
      </c>
      <c r="V125" s="25">
        <f t="shared" si="29"/>
        <v>457.49939390892825</v>
      </c>
      <c r="W125" s="26" t="s">
        <v>29</v>
      </c>
    </row>
    <row r="126" spans="1:23" ht="89.25" x14ac:dyDescent="0.25">
      <c r="A126" s="17">
        <f t="shared" ca="1" si="19"/>
        <v>122</v>
      </c>
      <c r="B126" s="18" t="s">
        <v>139</v>
      </c>
      <c r="C126" s="18" t="s">
        <v>272</v>
      </c>
      <c r="D126" s="18"/>
      <c r="E126" s="18"/>
      <c r="F126" s="18"/>
      <c r="G126" s="18"/>
      <c r="H126" s="19" t="s">
        <v>273</v>
      </c>
      <c r="I126" s="18" t="s">
        <v>104</v>
      </c>
      <c r="J126" s="20">
        <v>1</v>
      </c>
      <c r="K126" s="20">
        <v>1.1499999999999999</v>
      </c>
      <c r="L126" s="21" t="s">
        <v>28</v>
      </c>
      <c r="M126" s="22">
        <v>0.1757</v>
      </c>
      <c r="N126" s="22">
        <v>1.9199999999999998E-2</v>
      </c>
      <c r="O126" s="22">
        <v>1017.1985435894751</v>
      </c>
      <c r="P126" s="22">
        <f t="shared" si="15"/>
        <v>205.53005172497137</v>
      </c>
      <c r="Q126" s="22">
        <v>2777.0693256854333</v>
      </c>
      <c r="R126" s="22">
        <f t="shared" si="16"/>
        <v>61.317690711134361</v>
      </c>
      <c r="S126" s="22">
        <f t="shared" si="17"/>
        <v>266.8477424361057</v>
      </c>
      <c r="T126" s="23">
        <v>0.55859868298040061</v>
      </c>
      <c r="U126" s="24">
        <v>0.1</v>
      </c>
      <c r="V126" s="25">
        <f t="shared" si="29"/>
        <v>457.49939390892825</v>
      </c>
      <c r="W126" s="26" t="s">
        <v>29</v>
      </c>
    </row>
    <row r="127" spans="1:23" ht="89.25" x14ac:dyDescent="0.25">
      <c r="A127" s="17">
        <f t="shared" ca="1" si="19"/>
        <v>123</v>
      </c>
      <c r="B127" s="18" t="s">
        <v>139</v>
      </c>
      <c r="C127" s="18" t="s">
        <v>274</v>
      </c>
      <c r="D127" s="18"/>
      <c r="E127" s="18"/>
      <c r="F127" s="18"/>
      <c r="G127" s="18"/>
      <c r="H127" s="19" t="s">
        <v>275</v>
      </c>
      <c r="I127" s="18" t="s">
        <v>104</v>
      </c>
      <c r="J127" s="20">
        <v>1</v>
      </c>
      <c r="K127" s="20">
        <v>1.1499999999999999</v>
      </c>
      <c r="L127" s="21" t="s">
        <v>28</v>
      </c>
      <c r="M127" s="22">
        <v>0.20719999999999997</v>
      </c>
      <c r="N127" s="22">
        <v>2.2200000000000001E-2</v>
      </c>
      <c r="O127" s="22">
        <v>1017.1985435894751</v>
      </c>
      <c r="P127" s="22">
        <f t="shared" ref="P127:P190" si="30">O127*M127*K127</f>
        <v>242.37806896650005</v>
      </c>
      <c r="Q127" s="22">
        <v>2777.0693256854333</v>
      </c>
      <c r="R127" s="22">
        <f t="shared" ref="R127:R190" si="31">N127*Q127*K127</f>
        <v>70.898579884749111</v>
      </c>
      <c r="S127" s="22">
        <f t="shared" ref="S127:S190" si="32">P127+R127</f>
        <v>313.27664885124915</v>
      </c>
      <c r="T127" s="23">
        <v>0.55859868298040061</v>
      </c>
      <c r="U127" s="24">
        <v>0.1</v>
      </c>
      <c r="V127" s="25">
        <f t="shared" si="29"/>
        <v>537.09982953887743</v>
      </c>
      <c r="W127" s="26" t="s">
        <v>29</v>
      </c>
    </row>
    <row r="128" spans="1:23" ht="89.25" x14ac:dyDescent="0.25">
      <c r="A128" s="17">
        <f t="shared" ca="1" si="19"/>
        <v>124</v>
      </c>
      <c r="B128" s="18" t="s">
        <v>139</v>
      </c>
      <c r="C128" s="18" t="s">
        <v>276</v>
      </c>
      <c r="D128" s="18"/>
      <c r="E128" s="18"/>
      <c r="F128" s="18"/>
      <c r="G128" s="18"/>
      <c r="H128" s="19" t="s">
        <v>277</v>
      </c>
      <c r="I128" s="18" t="s">
        <v>104</v>
      </c>
      <c r="J128" s="20">
        <v>1</v>
      </c>
      <c r="K128" s="20">
        <v>1.1499999999999999</v>
      </c>
      <c r="L128" s="21" t="s">
        <v>28</v>
      </c>
      <c r="M128" s="22">
        <v>0.25829999999999997</v>
      </c>
      <c r="N128" s="22">
        <v>2.7E-2</v>
      </c>
      <c r="O128" s="22">
        <v>1017.1985435894751</v>
      </c>
      <c r="P128" s="22">
        <f t="shared" si="30"/>
        <v>302.15374138053556</v>
      </c>
      <c r="Q128" s="22">
        <v>2777.0693256854333</v>
      </c>
      <c r="R128" s="22">
        <f t="shared" si="31"/>
        <v>86.228002562532694</v>
      </c>
      <c r="S128" s="22">
        <f t="shared" si="32"/>
        <v>388.38174394306827</v>
      </c>
      <c r="T128" s="23">
        <v>0.55859868298040061</v>
      </c>
      <c r="U128" s="24">
        <v>0.1</v>
      </c>
      <c r="V128" s="25">
        <f t="shared" si="29"/>
        <v>665.86440206362715</v>
      </c>
      <c r="W128" s="26" t="s">
        <v>29</v>
      </c>
    </row>
    <row r="129" spans="1:23" ht="89.25" x14ac:dyDescent="0.25">
      <c r="A129" s="17">
        <f t="shared" ca="1" si="19"/>
        <v>125</v>
      </c>
      <c r="B129" s="18" t="s">
        <v>139</v>
      </c>
      <c r="C129" s="18" t="s">
        <v>278</v>
      </c>
      <c r="D129" s="18"/>
      <c r="E129" s="18"/>
      <c r="F129" s="18"/>
      <c r="G129" s="18"/>
      <c r="H129" s="19" t="s">
        <v>279</v>
      </c>
      <c r="I129" s="18" t="s">
        <v>104</v>
      </c>
      <c r="J129" s="20">
        <v>1</v>
      </c>
      <c r="K129" s="20">
        <v>1.1499999999999999</v>
      </c>
      <c r="L129" s="21" t="s">
        <v>28</v>
      </c>
      <c r="M129" s="22">
        <v>0.1694</v>
      </c>
      <c r="N129" s="22">
        <v>1.8599999999999998E-2</v>
      </c>
      <c r="O129" s="22">
        <v>1017.1985435894751</v>
      </c>
      <c r="P129" s="22">
        <f t="shared" si="30"/>
        <v>198.16044827666562</v>
      </c>
      <c r="Q129" s="22">
        <v>2777.0693256854333</v>
      </c>
      <c r="R129" s="22">
        <f t="shared" si="31"/>
        <v>59.40151287641141</v>
      </c>
      <c r="S129" s="22">
        <f t="shared" si="32"/>
        <v>257.56196115307705</v>
      </c>
      <c r="T129" s="23">
        <v>0.55859868298040061</v>
      </c>
      <c r="U129" s="24">
        <v>0.1</v>
      </c>
      <c r="V129" s="25">
        <f t="shared" si="29"/>
        <v>441.57930678293849</v>
      </c>
      <c r="W129" s="26" t="s">
        <v>29</v>
      </c>
    </row>
    <row r="130" spans="1:23" ht="89.25" x14ac:dyDescent="0.25">
      <c r="A130" s="17">
        <f t="shared" ca="1" si="19"/>
        <v>126</v>
      </c>
      <c r="B130" s="18" t="s">
        <v>139</v>
      </c>
      <c r="C130" s="18" t="s">
        <v>280</v>
      </c>
      <c r="D130" s="18"/>
      <c r="E130" s="18"/>
      <c r="F130" s="18"/>
      <c r="G130" s="18"/>
      <c r="H130" s="19" t="s">
        <v>281</v>
      </c>
      <c r="I130" s="18" t="s">
        <v>104</v>
      </c>
      <c r="J130" s="20">
        <v>1</v>
      </c>
      <c r="K130" s="20">
        <v>1.1499999999999999</v>
      </c>
      <c r="L130" s="21" t="s">
        <v>28</v>
      </c>
      <c r="M130" s="22">
        <v>0.1694</v>
      </c>
      <c r="N130" s="22">
        <v>1.8599999999999998E-2</v>
      </c>
      <c r="O130" s="22">
        <v>1017.1985435894751</v>
      </c>
      <c r="P130" s="22">
        <f t="shared" si="30"/>
        <v>198.16044827666562</v>
      </c>
      <c r="Q130" s="22">
        <v>2777.0693256854333</v>
      </c>
      <c r="R130" s="22">
        <f t="shared" si="31"/>
        <v>59.40151287641141</v>
      </c>
      <c r="S130" s="22">
        <f t="shared" si="32"/>
        <v>257.56196115307705</v>
      </c>
      <c r="T130" s="23">
        <v>0.55859868298040061</v>
      </c>
      <c r="U130" s="24">
        <v>0.1</v>
      </c>
      <c r="V130" s="25">
        <f t="shared" si="29"/>
        <v>441.57930678293849</v>
      </c>
      <c r="W130" s="26" t="s">
        <v>29</v>
      </c>
    </row>
    <row r="131" spans="1:23" ht="89.25" x14ac:dyDescent="0.25">
      <c r="A131" s="17">
        <f t="shared" ref="A131:A194" ca="1" si="33">CELL("строка",A131)-4</f>
        <v>127</v>
      </c>
      <c r="B131" s="18" t="s">
        <v>139</v>
      </c>
      <c r="C131" s="18" t="s">
        <v>282</v>
      </c>
      <c r="D131" s="18"/>
      <c r="E131" s="18"/>
      <c r="F131" s="18"/>
      <c r="G131" s="18"/>
      <c r="H131" s="19" t="s">
        <v>283</v>
      </c>
      <c r="I131" s="18" t="s">
        <v>104</v>
      </c>
      <c r="J131" s="20">
        <v>1</v>
      </c>
      <c r="K131" s="20">
        <v>1.1499999999999999</v>
      </c>
      <c r="L131" s="21" t="s">
        <v>28</v>
      </c>
      <c r="M131" s="22">
        <v>0.1757</v>
      </c>
      <c r="N131" s="22">
        <v>1.9199999999999998E-2</v>
      </c>
      <c r="O131" s="22">
        <v>1017.1985435894751</v>
      </c>
      <c r="P131" s="22">
        <f t="shared" si="30"/>
        <v>205.53005172497137</v>
      </c>
      <c r="Q131" s="22">
        <v>2777.0693256854333</v>
      </c>
      <c r="R131" s="22">
        <f t="shared" si="31"/>
        <v>61.317690711134361</v>
      </c>
      <c r="S131" s="22">
        <f t="shared" si="32"/>
        <v>266.8477424361057</v>
      </c>
      <c r="T131" s="23">
        <v>0.55859868298040061</v>
      </c>
      <c r="U131" s="24">
        <v>0.1</v>
      </c>
      <c r="V131" s="25">
        <f t="shared" si="29"/>
        <v>457.49939390892825</v>
      </c>
      <c r="W131" s="26" t="s">
        <v>29</v>
      </c>
    </row>
    <row r="132" spans="1:23" ht="89.25" x14ac:dyDescent="0.25">
      <c r="A132" s="17">
        <f t="shared" ca="1" si="33"/>
        <v>128</v>
      </c>
      <c r="B132" s="18" t="s">
        <v>139</v>
      </c>
      <c r="C132" s="18" t="s">
        <v>284</v>
      </c>
      <c r="D132" s="18"/>
      <c r="E132" s="18"/>
      <c r="F132" s="18"/>
      <c r="G132" s="18"/>
      <c r="H132" s="19" t="s">
        <v>285</v>
      </c>
      <c r="I132" s="18" t="s">
        <v>104</v>
      </c>
      <c r="J132" s="20">
        <v>1</v>
      </c>
      <c r="K132" s="20">
        <v>1.1499999999999999</v>
      </c>
      <c r="L132" s="21" t="s">
        <v>28</v>
      </c>
      <c r="M132" s="22">
        <v>0.18059999999999998</v>
      </c>
      <c r="N132" s="22">
        <v>1.9800000000000002E-2</v>
      </c>
      <c r="O132" s="22">
        <v>1017.1985435894751</v>
      </c>
      <c r="P132" s="22">
        <f t="shared" si="30"/>
        <v>211.26196551809804</v>
      </c>
      <c r="Q132" s="22">
        <v>2777.0693256854333</v>
      </c>
      <c r="R132" s="22">
        <f t="shared" si="31"/>
        <v>63.233868545857312</v>
      </c>
      <c r="S132" s="22">
        <f t="shared" si="32"/>
        <v>274.49583406395533</v>
      </c>
      <c r="T132" s="23">
        <v>0.55859868298040061</v>
      </c>
      <c r="U132" s="24">
        <v>0.1</v>
      </c>
      <c r="V132" s="25">
        <f t="shared" si="29"/>
        <v>470.61173000125609</v>
      </c>
      <c r="W132" s="26" t="s">
        <v>29</v>
      </c>
    </row>
    <row r="133" spans="1:23" ht="89.25" x14ac:dyDescent="0.25">
      <c r="A133" s="17">
        <f t="shared" ca="1" si="33"/>
        <v>129</v>
      </c>
      <c r="B133" s="18" t="s">
        <v>139</v>
      </c>
      <c r="C133" s="18" t="s">
        <v>286</v>
      </c>
      <c r="D133" s="18"/>
      <c r="E133" s="18"/>
      <c r="F133" s="18"/>
      <c r="G133" s="18"/>
      <c r="H133" s="19" t="s">
        <v>287</v>
      </c>
      <c r="I133" s="18" t="s">
        <v>104</v>
      </c>
      <c r="J133" s="20">
        <v>1</v>
      </c>
      <c r="K133" s="20">
        <v>1.1499999999999999</v>
      </c>
      <c r="L133" s="21" t="s">
        <v>28</v>
      </c>
      <c r="M133" s="22">
        <v>0.18059999999999998</v>
      </c>
      <c r="N133" s="22">
        <v>1.9800000000000002E-2</v>
      </c>
      <c r="O133" s="22">
        <v>1017.1985435894751</v>
      </c>
      <c r="P133" s="22">
        <f t="shared" si="30"/>
        <v>211.26196551809804</v>
      </c>
      <c r="Q133" s="22">
        <v>2777.0693256854333</v>
      </c>
      <c r="R133" s="22">
        <f t="shared" si="31"/>
        <v>63.233868545857312</v>
      </c>
      <c r="S133" s="22">
        <f t="shared" si="32"/>
        <v>274.49583406395533</v>
      </c>
      <c r="T133" s="23">
        <v>0.55859868298040061</v>
      </c>
      <c r="U133" s="24">
        <v>0.1</v>
      </c>
      <c r="V133" s="25">
        <f t="shared" si="29"/>
        <v>470.61173000125609</v>
      </c>
      <c r="W133" s="26" t="s">
        <v>29</v>
      </c>
    </row>
    <row r="134" spans="1:23" ht="89.25" x14ac:dyDescent="0.25">
      <c r="A134" s="17">
        <f t="shared" ca="1" si="33"/>
        <v>130</v>
      </c>
      <c r="B134" s="18" t="s">
        <v>139</v>
      </c>
      <c r="C134" s="18" t="s">
        <v>288</v>
      </c>
      <c r="D134" s="18"/>
      <c r="E134" s="18"/>
      <c r="F134" s="18"/>
      <c r="G134" s="18"/>
      <c r="H134" s="19" t="s">
        <v>289</v>
      </c>
      <c r="I134" s="18" t="s">
        <v>104</v>
      </c>
      <c r="J134" s="20">
        <v>1</v>
      </c>
      <c r="K134" s="20">
        <v>1.1499999999999999</v>
      </c>
      <c r="L134" s="21" t="s">
        <v>28</v>
      </c>
      <c r="M134" s="22">
        <v>0.1757</v>
      </c>
      <c r="N134" s="22">
        <v>1.9199999999999998E-2</v>
      </c>
      <c r="O134" s="22">
        <v>1017.1985435894751</v>
      </c>
      <c r="P134" s="22">
        <f t="shared" si="30"/>
        <v>205.53005172497137</v>
      </c>
      <c r="Q134" s="22">
        <v>2777.0693256854333</v>
      </c>
      <c r="R134" s="22">
        <f t="shared" si="31"/>
        <v>61.317690711134361</v>
      </c>
      <c r="S134" s="22">
        <f t="shared" si="32"/>
        <v>266.8477424361057</v>
      </c>
      <c r="T134" s="23">
        <v>0.55859868298040061</v>
      </c>
      <c r="U134" s="24">
        <v>0.1</v>
      </c>
      <c r="V134" s="25">
        <f t="shared" si="29"/>
        <v>457.49939390892825</v>
      </c>
      <c r="W134" s="26" t="s">
        <v>29</v>
      </c>
    </row>
    <row r="135" spans="1:23" ht="89.25" x14ac:dyDescent="0.25">
      <c r="A135" s="17">
        <f t="shared" ca="1" si="33"/>
        <v>131</v>
      </c>
      <c r="B135" s="18" t="s">
        <v>139</v>
      </c>
      <c r="C135" s="18" t="s">
        <v>290</v>
      </c>
      <c r="D135" s="18"/>
      <c r="E135" s="18"/>
      <c r="F135" s="18"/>
      <c r="G135" s="18"/>
      <c r="H135" s="19" t="s">
        <v>291</v>
      </c>
      <c r="I135" s="18" t="s">
        <v>104</v>
      </c>
      <c r="J135" s="20">
        <v>1</v>
      </c>
      <c r="K135" s="20">
        <v>1.1499999999999999</v>
      </c>
      <c r="L135" s="21" t="s">
        <v>28</v>
      </c>
      <c r="M135" s="22">
        <v>0.20789999999999997</v>
      </c>
      <c r="N135" s="22">
        <v>2.2200000000000001E-2</v>
      </c>
      <c r="O135" s="22">
        <v>1017.1985435894751</v>
      </c>
      <c r="P135" s="22">
        <f t="shared" si="30"/>
        <v>243.1969137940896</v>
      </c>
      <c r="Q135" s="22">
        <v>2777.0693256854333</v>
      </c>
      <c r="R135" s="22">
        <f t="shared" si="31"/>
        <v>70.898579884749111</v>
      </c>
      <c r="S135" s="22">
        <f t="shared" si="32"/>
        <v>314.09549367883869</v>
      </c>
      <c r="T135" s="23">
        <v>0.55859868298040061</v>
      </c>
      <c r="U135" s="24">
        <v>0.1</v>
      </c>
      <c r="V135" s="25">
        <f t="shared" si="29"/>
        <v>538.50370505570834</v>
      </c>
      <c r="W135" s="26" t="s">
        <v>29</v>
      </c>
    </row>
    <row r="136" spans="1:23" ht="89.25" x14ac:dyDescent="0.25">
      <c r="A136" s="17">
        <f t="shared" ca="1" si="33"/>
        <v>132</v>
      </c>
      <c r="B136" s="18" t="s">
        <v>139</v>
      </c>
      <c r="C136" s="18" t="s">
        <v>292</v>
      </c>
      <c r="D136" s="18"/>
      <c r="E136" s="18"/>
      <c r="F136" s="18"/>
      <c r="G136" s="18"/>
      <c r="H136" s="19" t="s">
        <v>293</v>
      </c>
      <c r="I136" s="18" t="s">
        <v>104</v>
      </c>
      <c r="J136" s="20">
        <v>1</v>
      </c>
      <c r="K136" s="20">
        <v>1.1499999999999999</v>
      </c>
      <c r="L136" s="21" t="s">
        <v>28</v>
      </c>
      <c r="M136" s="22">
        <v>0.22189999999999999</v>
      </c>
      <c r="N136" s="22">
        <v>2.2800000000000004E-2</v>
      </c>
      <c r="O136" s="22">
        <v>1017.1985435894751</v>
      </c>
      <c r="P136" s="22">
        <f t="shared" si="30"/>
        <v>259.57381034588019</v>
      </c>
      <c r="Q136" s="22">
        <v>2777.0693256854333</v>
      </c>
      <c r="R136" s="22">
        <f t="shared" si="31"/>
        <v>72.81475771947207</v>
      </c>
      <c r="S136" s="22">
        <f t="shared" si="32"/>
        <v>332.38856806535227</v>
      </c>
      <c r="T136" s="23">
        <v>0.55859868298040061</v>
      </c>
      <c r="U136" s="24">
        <v>0.1</v>
      </c>
      <c r="V136" s="25">
        <f t="shared" si="29"/>
        <v>569.86642286683923</v>
      </c>
      <c r="W136" s="26" t="s">
        <v>29</v>
      </c>
    </row>
    <row r="137" spans="1:23" ht="89.25" x14ac:dyDescent="0.25">
      <c r="A137" s="17">
        <f t="shared" ca="1" si="33"/>
        <v>133</v>
      </c>
      <c r="B137" s="18" t="s">
        <v>139</v>
      </c>
      <c r="C137" s="18" t="s">
        <v>294</v>
      </c>
      <c r="D137" s="18"/>
      <c r="E137" s="18"/>
      <c r="F137" s="18"/>
      <c r="G137" s="18"/>
      <c r="H137" s="19" t="s">
        <v>295</v>
      </c>
      <c r="I137" s="18" t="s">
        <v>104</v>
      </c>
      <c r="J137" s="20">
        <v>1</v>
      </c>
      <c r="K137" s="20">
        <v>1.1499999999999999</v>
      </c>
      <c r="L137" s="21" t="s">
        <v>28</v>
      </c>
      <c r="M137" s="22">
        <v>0.25829999999999997</v>
      </c>
      <c r="N137" s="22">
        <v>2.7E-2</v>
      </c>
      <c r="O137" s="22">
        <v>1017.1985435894751</v>
      </c>
      <c r="P137" s="22">
        <f t="shared" si="30"/>
        <v>302.15374138053556</v>
      </c>
      <c r="Q137" s="22">
        <v>2777.0693256854333</v>
      </c>
      <c r="R137" s="22">
        <f t="shared" si="31"/>
        <v>86.228002562532694</v>
      </c>
      <c r="S137" s="22">
        <f t="shared" si="32"/>
        <v>388.38174394306827</v>
      </c>
      <c r="T137" s="23">
        <v>0.55859868298040061</v>
      </c>
      <c r="U137" s="24">
        <v>0.1</v>
      </c>
      <c r="V137" s="25">
        <f t="shared" si="29"/>
        <v>665.86440206362715</v>
      </c>
      <c r="W137" s="26" t="s">
        <v>29</v>
      </c>
    </row>
    <row r="138" spans="1:23" ht="89.25" x14ac:dyDescent="0.25">
      <c r="A138" s="17">
        <f t="shared" ca="1" si="33"/>
        <v>134</v>
      </c>
      <c r="B138" s="18" t="s">
        <v>139</v>
      </c>
      <c r="C138" s="18" t="s">
        <v>296</v>
      </c>
      <c r="D138" s="18"/>
      <c r="E138" s="18"/>
      <c r="F138" s="18"/>
      <c r="G138" s="18"/>
      <c r="H138" s="19" t="s">
        <v>297</v>
      </c>
      <c r="I138" s="18" t="s">
        <v>104</v>
      </c>
      <c r="J138" s="20">
        <v>1</v>
      </c>
      <c r="K138" s="20">
        <v>1.1499999999999999</v>
      </c>
      <c r="L138" s="21" t="s">
        <v>28</v>
      </c>
      <c r="M138" s="22">
        <v>0.25829999999999997</v>
      </c>
      <c r="N138" s="22">
        <v>2.7E-2</v>
      </c>
      <c r="O138" s="22">
        <v>1017.1985435894751</v>
      </c>
      <c r="P138" s="22">
        <f t="shared" si="30"/>
        <v>302.15374138053556</v>
      </c>
      <c r="Q138" s="22">
        <v>2777.0693256854333</v>
      </c>
      <c r="R138" s="22">
        <f t="shared" si="31"/>
        <v>86.228002562532694</v>
      </c>
      <c r="S138" s="22">
        <f t="shared" si="32"/>
        <v>388.38174394306827</v>
      </c>
      <c r="T138" s="23">
        <v>0.55859868298040061</v>
      </c>
      <c r="U138" s="24">
        <v>0.1</v>
      </c>
      <c r="V138" s="25">
        <f t="shared" si="29"/>
        <v>665.86440206362715</v>
      </c>
      <c r="W138" s="26" t="s">
        <v>29</v>
      </c>
    </row>
    <row r="139" spans="1:23" ht="89.25" x14ac:dyDescent="0.25">
      <c r="A139" s="17">
        <f t="shared" ca="1" si="33"/>
        <v>135</v>
      </c>
      <c r="B139" s="18" t="s">
        <v>139</v>
      </c>
      <c r="C139" s="18" t="s">
        <v>298</v>
      </c>
      <c r="D139" s="18"/>
      <c r="E139" s="18"/>
      <c r="F139" s="18"/>
      <c r="G139" s="18"/>
      <c r="H139" s="19" t="s">
        <v>299</v>
      </c>
      <c r="I139" s="18" t="s">
        <v>104</v>
      </c>
      <c r="J139" s="20">
        <v>1</v>
      </c>
      <c r="K139" s="20">
        <v>1.1499999999999999</v>
      </c>
      <c r="L139" s="21" t="s">
        <v>28</v>
      </c>
      <c r="M139" s="22">
        <v>0.2863</v>
      </c>
      <c r="N139" s="22">
        <v>3.2399999999999998E-2</v>
      </c>
      <c r="O139" s="22">
        <v>1017.1985435894751</v>
      </c>
      <c r="P139" s="22">
        <f t="shared" si="30"/>
        <v>334.9075344841167</v>
      </c>
      <c r="Q139" s="22">
        <v>2777.0693256854333</v>
      </c>
      <c r="R139" s="22">
        <f t="shared" si="31"/>
        <v>103.47360307503924</v>
      </c>
      <c r="S139" s="22">
        <f t="shared" si="32"/>
        <v>438.38113755915595</v>
      </c>
      <c r="T139" s="23">
        <v>0.55859868298040061</v>
      </c>
      <c r="U139" s="24">
        <v>0.1</v>
      </c>
      <c r="V139" s="25">
        <f t="shared" si="29"/>
        <v>751.58629000746532</v>
      </c>
      <c r="W139" s="26" t="s">
        <v>29</v>
      </c>
    </row>
    <row r="140" spans="1:23" ht="89.25" x14ac:dyDescent="0.25">
      <c r="A140" s="17">
        <f t="shared" ca="1" si="33"/>
        <v>136</v>
      </c>
      <c r="B140" s="18" t="s">
        <v>139</v>
      </c>
      <c r="C140" s="18" t="s">
        <v>300</v>
      </c>
      <c r="D140" s="18"/>
      <c r="E140" s="18"/>
      <c r="F140" s="18"/>
      <c r="G140" s="18"/>
      <c r="H140" s="19" t="s">
        <v>301</v>
      </c>
      <c r="I140" s="18" t="s">
        <v>104</v>
      </c>
      <c r="J140" s="20">
        <v>1</v>
      </c>
      <c r="K140" s="20">
        <v>1.1499999999999999</v>
      </c>
      <c r="L140" s="21" t="s">
        <v>28</v>
      </c>
      <c r="M140" s="22">
        <v>0.2954</v>
      </c>
      <c r="N140" s="22">
        <v>3.3000000000000002E-2</v>
      </c>
      <c r="O140" s="22">
        <v>1017.1985435894751</v>
      </c>
      <c r="P140" s="22">
        <f t="shared" si="30"/>
        <v>345.55251724278054</v>
      </c>
      <c r="Q140" s="22">
        <v>2777.0693256854333</v>
      </c>
      <c r="R140" s="22">
        <f t="shared" si="31"/>
        <v>105.38978090976219</v>
      </c>
      <c r="S140" s="22">
        <f t="shared" si="32"/>
        <v>450.94229815254272</v>
      </c>
      <c r="T140" s="23">
        <v>0.55859868298040061</v>
      </c>
      <c r="U140" s="24">
        <v>0.1</v>
      </c>
      <c r="V140" s="25">
        <f t="shared" si="29"/>
        <v>773.12187920077906</v>
      </c>
      <c r="W140" s="26" t="s">
        <v>29</v>
      </c>
    </row>
    <row r="141" spans="1:23" ht="89.25" x14ac:dyDescent="0.25">
      <c r="A141" s="17">
        <f t="shared" ca="1" si="33"/>
        <v>137</v>
      </c>
      <c r="B141" s="18" t="s">
        <v>139</v>
      </c>
      <c r="C141" s="18" t="s">
        <v>302</v>
      </c>
      <c r="D141" s="18"/>
      <c r="E141" s="18"/>
      <c r="F141" s="18"/>
      <c r="G141" s="18"/>
      <c r="H141" s="19" t="s">
        <v>303</v>
      </c>
      <c r="I141" s="18" t="s">
        <v>104</v>
      </c>
      <c r="J141" s="20">
        <v>1</v>
      </c>
      <c r="K141" s="20">
        <v>1.1499999999999999</v>
      </c>
      <c r="L141" s="21" t="s">
        <v>28</v>
      </c>
      <c r="M141" s="22">
        <v>0.30449999999999999</v>
      </c>
      <c r="N141" s="22">
        <v>3.3599999999999998E-2</v>
      </c>
      <c r="O141" s="22">
        <v>1017.1985435894751</v>
      </c>
      <c r="P141" s="22">
        <f t="shared" si="30"/>
        <v>356.19750000144444</v>
      </c>
      <c r="Q141" s="22">
        <v>2777.0693256854333</v>
      </c>
      <c r="R141" s="22">
        <f t="shared" si="31"/>
        <v>107.30595874448512</v>
      </c>
      <c r="S141" s="22">
        <f t="shared" si="32"/>
        <v>463.50345874592955</v>
      </c>
      <c r="T141" s="23">
        <v>0.55859868298040061</v>
      </c>
      <c r="U141" s="24">
        <v>0.1</v>
      </c>
      <c r="V141" s="25">
        <f t="shared" si="29"/>
        <v>794.6574683940928</v>
      </c>
      <c r="W141" s="26" t="s">
        <v>29</v>
      </c>
    </row>
    <row r="142" spans="1:23" ht="89.25" x14ac:dyDescent="0.25">
      <c r="A142" s="17">
        <f t="shared" ca="1" si="33"/>
        <v>138</v>
      </c>
      <c r="B142" s="18" t="s">
        <v>139</v>
      </c>
      <c r="C142" s="18" t="s">
        <v>304</v>
      </c>
      <c r="D142" s="18"/>
      <c r="E142" s="18"/>
      <c r="F142" s="18"/>
      <c r="G142" s="18"/>
      <c r="H142" s="19" t="s">
        <v>305</v>
      </c>
      <c r="I142" s="18" t="s">
        <v>104</v>
      </c>
      <c r="J142" s="20">
        <v>1</v>
      </c>
      <c r="K142" s="20">
        <v>1.1499999999999999</v>
      </c>
      <c r="L142" s="21" t="s">
        <v>28</v>
      </c>
      <c r="M142" s="22">
        <v>0.37940000000000002</v>
      </c>
      <c r="N142" s="22">
        <v>4.1999999999999996E-2</v>
      </c>
      <c r="O142" s="22">
        <v>1017.1985435894751</v>
      </c>
      <c r="P142" s="22">
        <f t="shared" si="30"/>
        <v>443.81389655352388</v>
      </c>
      <c r="Q142" s="22">
        <v>2777.0693256854333</v>
      </c>
      <c r="R142" s="22">
        <f t="shared" si="31"/>
        <v>134.13244843060642</v>
      </c>
      <c r="S142" s="22">
        <f t="shared" si="32"/>
        <v>577.94634498413029</v>
      </c>
      <c r="T142" s="23">
        <v>0.55859868298040061</v>
      </c>
      <c r="U142" s="24">
        <v>0.1</v>
      </c>
      <c r="V142" s="25">
        <f t="shared" si="29"/>
        <v>990.86505333816194</v>
      </c>
      <c r="W142" s="26" t="s">
        <v>29</v>
      </c>
    </row>
    <row r="143" spans="1:23" ht="89.25" x14ac:dyDescent="0.25">
      <c r="A143" s="17">
        <f t="shared" ca="1" si="33"/>
        <v>139</v>
      </c>
      <c r="B143" s="18" t="s">
        <v>139</v>
      </c>
      <c r="C143" s="18" t="s">
        <v>306</v>
      </c>
      <c r="D143" s="18"/>
      <c r="E143" s="18"/>
      <c r="F143" s="18"/>
      <c r="G143" s="18"/>
      <c r="H143" s="19" t="s">
        <v>307</v>
      </c>
      <c r="I143" s="18" t="s">
        <v>104</v>
      </c>
      <c r="J143" s="20">
        <v>1</v>
      </c>
      <c r="K143" s="20">
        <v>1.1499999999999999</v>
      </c>
      <c r="L143" s="21" t="s">
        <v>28</v>
      </c>
      <c r="M143" s="22">
        <v>0.40319999999999995</v>
      </c>
      <c r="N143" s="22">
        <v>4.4999999999999998E-2</v>
      </c>
      <c r="O143" s="22">
        <v>1017.1985435894751</v>
      </c>
      <c r="P143" s="22">
        <f t="shared" si="30"/>
        <v>471.65462069156774</v>
      </c>
      <c r="Q143" s="22">
        <v>2777.0693256854333</v>
      </c>
      <c r="R143" s="22">
        <f t="shared" si="31"/>
        <v>143.71333760422115</v>
      </c>
      <c r="S143" s="22">
        <f t="shared" si="32"/>
        <v>615.36795829578887</v>
      </c>
      <c r="T143" s="23">
        <v>0.55859868298040061</v>
      </c>
      <c r="U143" s="24">
        <v>0.1</v>
      </c>
      <c r="V143" s="25">
        <f t="shared" si="29"/>
        <v>1055.02285828297</v>
      </c>
      <c r="W143" s="26" t="s">
        <v>29</v>
      </c>
    </row>
    <row r="144" spans="1:23" ht="89.25" x14ac:dyDescent="0.25">
      <c r="A144" s="17">
        <f t="shared" ca="1" si="33"/>
        <v>140</v>
      </c>
      <c r="B144" s="18" t="s">
        <v>139</v>
      </c>
      <c r="C144" s="18" t="s">
        <v>308</v>
      </c>
      <c r="D144" s="18"/>
      <c r="E144" s="18"/>
      <c r="F144" s="18"/>
      <c r="G144" s="18"/>
      <c r="H144" s="19" t="s">
        <v>309</v>
      </c>
      <c r="I144" s="18" t="s">
        <v>104</v>
      </c>
      <c r="J144" s="20">
        <v>1</v>
      </c>
      <c r="K144" s="20">
        <v>1.1499999999999999</v>
      </c>
      <c r="L144" s="21" t="s">
        <v>28</v>
      </c>
      <c r="M144" s="22">
        <v>0.1757</v>
      </c>
      <c r="N144" s="22">
        <v>1.9199999999999998E-2</v>
      </c>
      <c r="O144" s="22">
        <v>1017.1985435894751</v>
      </c>
      <c r="P144" s="22">
        <f t="shared" si="30"/>
        <v>205.53005172497137</v>
      </c>
      <c r="Q144" s="22">
        <v>2777.0693256854333</v>
      </c>
      <c r="R144" s="22">
        <f t="shared" si="31"/>
        <v>61.317690711134361</v>
      </c>
      <c r="S144" s="22">
        <f t="shared" si="32"/>
        <v>266.8477424361057</v>
      </c>
      <c r="T144" s="23">
        <v>0.55859868298040061</v>
      </c>
      <c r="U144" s="24">
        <v>0.1</v>
      </c>
      <c r="V144" s="25">
        <f t="shared" si="29"/>
        <v>457.49939390892825</v>
      </c>
      <c r="W144" s="26" t="s">
        <v>29</v>
      </c>
    </row>
    <row r="145" spans="1:23" ht="89.25" x14ac:dyDescent="0.25">
      <c r="A145" s="17">
        <f t="shared" ca="1" si="33"/>
        <v>141</v>
      </c>
      <c r="B145" s="18" t="s">
        <v>139</v>
      </c>
      <c r="C145" s="18" t="s">
        <v>310</v>
      </c>
      <c r="D145" s="18"/>
      <c r="E145" s="18"/>
      <c r="F145" s="18"/>
      <c r="G145" s="18"/>
      <c r="H145" s="19" t="s">
        <v>311</v>
      </c>
      <c r="I145" s="18" t="s">
        <v>104</v>
      </c>
      <c r="J145" s="20">
        <v>1</v>
      </c>
      <c r="K145" s="20">
        <v>1.1499999999999999</v>
      </c>
      <c r="L145" s="21" t="s">
        <v>28</v>
      </c>
      <c r="M145" s="22">
        <v>0.20789999999999997</v>
      </c>
      <c r="N145" s="22">
        <v>2.2200000000000001E-2</v>
      </c>
      <c r="O145" s="22">
        <v>1017.1985435894751</v>
      </c>
      <c r="P145" s="22">
        <f t="shared" si="30"/>
        <v>243.1969137940896</v>
      </c>
      <c r="Q145" s="22">
        <v>2777.0693256854333</v>
      </c>
      <c r="R145" s="22">
        <f t="shared" si="31"/>
        <v>70.898579884749111</v>
      </c>
      <c r="S145" s="22">
        <f t="shared" si="32"/>
        <v>314.09549367883869</v>
      </c>
      <c r="T145" s="23">
        <v>0.55859868298040061</v>
      </c>
      <c r="U145" s="24">
        <v>0.1</v>
      </c>
      <c r="V145" s="25">
        <f t="shared" si="29"/>
        <v>538.50370505570834</v>
      </c>
      <c r="W145" s="26" t="s">
        <v>29</v>
      </c>
    </row>
    <row r="146" spans="1:23" ht="89.25" x14ac:dyDescent="0.25">
      <c r="A146" s="17">
        <f t="shared" ca="1" si="33"/>
        <v>142</v>
      </c>
      <c r="B146" s="18" t="s">
        <v>139</v>
      </c>
      <c r="C146" s="18" t="s">
        <v>312</v>
      </c>
      <c r="D146" s="18"/>
      <c r="E146" s="18"/>
      <c r="F146" s="18"/>
      <c r="G146" s="18"/>
      <c r="H146" s="19" t="s">
        <v>313</v>
      </c>
      <c r="I146" s="18" t="s">
        <v>104</v>
      </c>
      <c r="J146" s="20">
        <v>1</v>
      </c>
      <c r="K146" s="20">
        <v>1.1499999999999999</v>
      </c>
      <c r="L146" s="21" t="s">
        <v>28</v>
      </c>
      <c r="M146" s="22">
        <v>0.22189999999999999</v>
      </c>
      <c r="N146" s="22">
        <v>2.2800000000000004E-2</v>
      </c>
      <c r="O146" s="22">
        <v>1017.1985435894751</v>
      </c>
      <c r="P146" s="22">
        <f t="shared" si="30"/>
        <v>259.57381034588019</v>
      </c>
      <c r="Q146" s="22">
        <v>2777.0693256854333</v>
      </c>
      <c r="R146" s="22">
        <f t="shared" si="31"/>
        <v>72.81475771947207</v>
      </c>
      <c r="S146" s="22">
        <f t="shared" si="32"/>
        <v>332.38856806535227</v>
      </c>
      <c r="T146" s="23">
        <v>0.55859868298040061</v>
      </c>
      <c r="U146" s="24">
        <v>0.1</v>
      </c>
      <c r="V146" s="25">
        <f t="shared" si="29"/>
        <v>569.86642286683923</v>
      </c>
      <c r="W146" s="26" t="s">
        <v>29</v>
      </c>
    </row>
    <row r="147" spans="1:23" ht="89.25" x14ac:dyDescent="0.25">
      <c r="A147" s="17">
        <f t="shared" ca="1" si="33"/>
        <v>143</v>
      </c>
      <c r="B147" s="18" t="s">
        <v>139</v>
      </c>
      <c r="C147" s="18" t="s">
        <v>314</v>
      </c>
      <c r="D147" s="18"/>
      <c r="E147" s="18"/>
      <c r="F147" s="18"/>
      <c r="G147" s="18"/>
      <c r="H147" s="19" t="s">
        <v>315</v>
      </c>
      <c r="I147" s="18" t="s">
        <v>104</v>
      </c>
      <c r="J147" s="20">
        <v>1</v>
      </c>
      <c r="K147" s="20">
        <v>1.1499999999999999</v>
      </c>
      <c r="L147" s="21" t="s">
        <v>28</v>
      </c>
      <c r="M147" s="22">
        <v>0.25829999999999997</v>
      </c>
      <c r="N147" s="22">
        <v>2.7E-2</v>
      </c>
      <c r="O147" s="22">
        <v>1017.1985435894751</v>
      </c>
      <c r="P147" s="22">
        <f t="shared" si="30"/>
        <v>302.15374138053556</v>
      </c>
      <c r="Q147" s="22">
        <v>2777.0693256854333</v>
      </c>
      <c r="R147" s="22">
        <f t="shared" si="31"/>
        <v>86.228002562532694</v>
      </c>
      <c r="S147" s="22">
        <f t="shared" si="32"/>
        <v>388.38174394306827</v>
      </c>
      <c r="T147" s="23">
        <v>0.55859868298040061</v>
      </c>
      <c r="U147" s="24">
        <v>0.1</v>
      </c>
      <c r="V147" s="25">
        <f t="shared" si="29"/>
        <v>665.86440206362715</v>
      </c>
      <c r="W147" s="26" t="s">
        <v>29</v>
      </c>
    </row>
    <row r="148" spans="1:23" ht="89.25" x14ac:dyDescent="0.25">
      <c r="A148" s="17">
        <f t="shared" ca="1" si="33"/>
        <v>144</v>
      </c>
      <c r="B148" s="18" t="s">
        <v>139</v>
      </c>
      <c r="C148" s="18" t="s">
        <v>316</v>
      </c>
      <c r="D148" s="18"/>
      <c r="E148" s="18"/>
      <c r="F148" s="18"/>
      <c r="G148" s="18"/>
      <c r="H148" s="19" t="s">
        <v>317</v>
      </c>
      <c r="I148" s="18" t="s">
        <v>104</v>
      </c>
      <c r="J148" s="20">
        <v>1</v>
      </c>
      <c r="K148" s="20">
        <v>1.1499999999999999</v>
      </c>
      <c r="L148" s="21" t="s">
        <v>28</v>
      </c>
      <c r="M148" s="22">
        <v>0.25829999999999997</v>
      </c>
      <c r="N148" s="22">
        <v>2.7E-2</v>
      </c>
      <c r="O148" s="22">
        <v>1017.1985435894751</v>
      </c>
      <c r="P148" s="22">
        <f t="shared" si="30"/>
        <v>302.15374138053556</v>
      </c>
      <c r="Q148" s="22">
        <v>2777.0693256854333</v>
      </c>
      <c r="R148" s="22">
        <f t="shared" si="31"/>
        <v>86.228002562532694</v>
      </c>
      <c r="S148" s="22">
        <f t="shared" si="32"/>
        <v>388.38174394306827</v>
      </c>
      <c r="T148" s="23">
        <v>0.55859868298040061</v>
      </c>
      <c r="U148" s="24">
        <v>0.1</v>
      </c>
      <c r="V148" s="25">
        <f t="shared" si="29"/>
        <v>665.86440206362715</v>
      </c>
      <c r="W148" s="26" t="s">
        <v>29</v>
      </c>
    </row>
    <row r="149" spans="1:23" ht="89.25" x14ac:dyDescent="0.25">
      <c r="A149" s="17">
        <f t="shared" ca="1" si="33"/>
        <v>145</v>
      </c>
      <c r="B149" s="18" t="s">
        <v>139</v>
      </c>
      <c r="C149" s="18" t="s">
        <v>318</v>
      </c>
      <c r="D149" s="18"/>
      <c r="E149" s="18"/>
      <c r="F149" s="18"/>
      <c r="G149" s="18"/>
      <c r="H149" s="19" t="s">
        <v>319</v>
      </c>
      <c r="I149" s="18" t="s">
        <v>104</v>
      </c>
      <c r="J149" s="20">
        <v>1</v>
      </c>
      <c r="K149" s="20">
        <v>1.1499999999999999</v>
      </c>
      <c r="L149" s="21" t="s">
        <v>28</v>
      </c>
      <c r="M149" s="22">
        <v>0.2863</v>
      </c>
      <c r="N149" s="22">
        <v>3.2399999999999998E-2</v>
      </c>
      <c r="O149" s="22">
        <v>1017.1985435894751</v>
      </c>
      <c r="P149" s="22">
        <f t="shared" si="30"/>
        <v>334.9075344841167</v>
      </c>
      <c r="Q149" s="22">
        <v>2777.0693256854333</v>
      </c>
      <c r="R149" s="22">
        <f t="shared" si="31"/>
        <v>103.47360307503924</v>
      </c>
      <c r="S149" s="22">
        <f t="shared" si="32"/>
        <v>438.38113755915595</v>
      </c>
      <c r="T149" s="23">
        <v>0.55859868298040061</v>
      </c>
      <c r="U149" s="24">
        <v>0.1</v>
      </c>
      <c r="V149" s="25">
        <f t="shared" si="29"/>
        <v>751.58629000746532</v>
      </c>
      <c r="W149" s="26" t="s">
        <v>29</v>
      </c>
    </row>
    <row r="150" spans="1:23" ht="89.25" x14ac:dyDescent="0.25">
      <c r="A150" s="17">
        <f t="shared" ca="1" si="33"/>
        <v>146</v>
      </c>
      <c r="B150" s="18" t="s">
        <v>139</v>
      </c>
      <c r="C150" s="18" t="s">
        <v>320</v>
      </c>
      <c r="D150" s="18"/>
      <c r="E150" s="18"/>
      <c r="F150" s="18"/>
      <c r="G150" s="18"/>
      <c r="H150" s="19" t="s">
        <v>321</v>
      </c>
      <c r="I150" s="18" t="s">
        <v>104</v>
      </c>
      <c r="J150" s="20">
        <v>1</v>
      </c>
      <c r="K150" s="20">
        <v>1.1499999999999999</v>
      </c>
      <c r="L150" s="21" t="s">
        <v>28</v>
      </c>
      <c r="M150" s="22">
        <v>0.2954</v>
      </c>
      <c r="N150" s="22">
        <v>3.3000000000000002E-2</v>
      </c>
      <c r="O150" s="22">
        <v>1017.1985435894751</v>
      </c>
      <c r="P150" s="22">
        <f t="shared" si="30"/>
        <v>345.55251724278054</v>
      </c>
      <c r="Q150" s="22">
        <v>2777.0693256854333</v>
      </c>
      <c r="R150" s="22">
        <f t="shared" si="31"/>
        <v>105.38978090976219</v>
      </c>
      <c r="S150" s="22">
        <f t="shared" si="32"/>
        <v>450.94229815254272</v>
      </c>
      <c r="T150" s="23">
        <v>0.55859868298040061</v>
      </c>
      <c r="U150" s="24">
        <v>0.1</v>
      </c>
      <c r="V150" s="25">
        <f t="shared" si="29"/>
        <v>773.12187920077906</v>
      </c>
      <c r="W150" s="26" t="s">
        <v>29</v>
      </c>
    </row>
    <row r="151" spans="1:23" ht="89.25" x14ac:dyDescent="0.25">
      <c r="A151" s="17">
        <f t="shared" ca="1" si="33"/>
        <v>147</v>
      </c>
      <c r="B151" s="18" t="s">
        <v>139</v>
      </c>
      <c r="C151" s="18" t="s">
        <v>322</v>
      </c>
      <c r="D151" s="18"/>
      <c r="E151" s="18"/>
      <c r="F151" s="18"/>
      <c r="G151" s="18"/>
      <c r="H151" s="19" t="s">
        <v>323</v>
      </c>
      <c r="I151" s="18" t="s">
        <v>104</v>
      </c>
      <c r="J151" s="20">
        <v>1</v>
      </c>
      <c r="K151" s="20">
        <v>1.1499999999999999</v>
      </c>
      <c r="L151" s="21" t="s">
        <v>28</v>
      </c>
      <c r="M151" s="22">
        <v>0.30449999999999999</v>
      </c>
      <c r="N151" s="22">
        <v>3.3599999999999998E-2</v>
      </c>
      <c r="O151" s="22">
        <v>1017.1985435894751</v>
      </c>
      <c r="P151" s="22">
        <f t="shared" si="30"/>
        <v>356.19750000144444</v>
      </c>
      <c r="Q151" s="22">
        <v>2777.0693256854333</v>
      </c>
      <c r="R151" s="22">
        <f t="shared" si="31"/>
        <v>107.30595874448512</v>
      </c>
      <c r="S151" s="22">
        <f t="shared" si="32"/>
        <v>463.50345874592955</v>
      </c>
      <c r="T151" s="23">
        <v>0.55859868298040061</v>
      </c>
      <c r="U151" s="24">
        <v>0.1</v>
      </c>
      <c r="V151" s="25">
        <f t="shared" si="29"/>
        <v>794.6574683940928</v>
      </c>
      <c r="W151" s="26" t="s">
        <v>29</v>
      </c>
    </row>
    <row r="152" spans="1:23" ht="89.25" x14ac:dyDescent="0.25">
      <c r="A152" s="17">
        <f t="shared" ca="1" si="33"/>
        <v>148</v>
      </c>
      <c r="B152" s="18" t="s">
        <v>139</v>
      </c>
      <c r="C152" s="18" t="s">
        <v>324</v>
      </c>
      <c r="D152" s="18"/>
      <c r="E152" s="18"/>
      <c r="F152" s="18"/>
      <c r="G152" s="18"/>
      <c r="H152" s="19" t="s">
        <v>325</v>
      </c>
      <c r="I152" s="18" t="s">
        <v>104</v>
      </c>
      <c r="J152" s="20">
        <v>1</v>
      </c>
      <c r="K152" s="20">
        <v>1.1499999999999999</v>
      </c>
      <c r="L152" s="21" t="s">
        <v>28</v>
      </c>
      <c r="M152" s="22">
        <v>0.37940000000000002</v>
      </c>
      <c r="N152" s="22">
        <v>4.1999999999999996E-2</v>
      </c>
      <c r="O152" s="22">
        <v>1017.1985435894751</v>
      </c>
      <c r="P152" s="22">
        <f t="shared" si="30"/>
        <v>443.81389655352388</v>
      </c>
      <c r="Q152" s="22">
        <v>2777.0693256854333</v>
      </c>
      <c r="R152" s="22">
        <f t="shared" si="31"/>
        <v>134.13244843060642</v>
      </c>
      <c r="S152" s="22">
        <f t="shared" si="32"/>
        <v>577.94634498413029</v>
      </c>
      <c r="T152" s="23">
        <v>0.55859868298040061</v>
      </c>
      <c r="U152" s="24">
        <v>0.1</v>
      </c>
      <c r="V152" s="25">
        <f t="shared" si="29"/>
        <v>990.86505333816194</v>
      </c>
      <c r="W152" s="26" t="s">
        <v>29</v>
      </c>
    </row>
    <row r="153" spans="1:23" ht="89.25" x14ac:dyDescent="0.25">
      <c r="A153" s="17">
        <f t="shared" ca="1" si="33"/>
        <v>149</v>
      </c>
      <c r="B153" s="18" t="s">
        <v>139</v>
      </c>
      <c r="C153" s="18" t="s">
        <v>326</v>
      </c>
      <c r="D153" s="18"/>
      <c r="E153" s="18"/>
      <c r="F153" s="18"/>
      <c r="G153" s="18"/>
      <c r="H153" s="19" t="s">
        <v>327</v>
      </c>
      <c r="I153" s="18" t="s">
        <v>104</v>
      </c>
      <c r="J153" s="20">
        <v>1</v>
      </c>
      <c r="K153" s="20">
        <v>1.1499999999999999</v>
      </c>
      <c r="L153" s="21" t="s">
        <v>28</v>
      </c>
      <c r="M153" s="22">
        <v>0.40319999999999995</v>
      </c>
      <c r="N153" s="22">
        <v>4.4999999999999998E-2</v>
      </c>
      <c r="O153" s="22">
        <v>1017.1985435894751</v>
      </c>
      <c r="P153" s="22">
        <f t="shared" si="30"/>
        <v>471.65462069156774</v>
      </c>
      <c r="Q153" s="22">
        <v>2777.0693256854333</v>
      </c>
      <c r="R153" s="22">
        <f t="shared" si="31"/>
        <v>143.71333760422115</v>
      </c>
      <c r="S153" s="22">
        <f t="shared" si="32"/>
        <v>615.36795829578887</v>
      </c>
      <c r="T153" s="23">
        <v>0.55859868298040061</v>
      </c>
      <c r="U153" s="24">
        <v>0.1</v>
      </c>
      <c r="V153" s="25">
        <f t="shared" si="29"/>
        <v>1055.02285828297</v>
      </c>
      <c r="W153" s="26" t="s">
        <v>29</v>
      </c>
    </row>
    <row r="154" spans="1:23" ht="89.25" x14ac:dyDescent="0.25">
      <c r="A154" s="17">
        <f t="shared" ca="1" si="33"/>
        <v>150</v>
      </c>
      <c r="B154" s="18" t="s">
        <v>139</v>
      </c>
      <c r="C154" s="18" t="s">
        <v>328</v>
      </c>
      <c r="D154" s="18"/>
      <c r="E154" s="18"/>
      <c r="F154" s="18"/>
      <c r="G154" s="18"/>
      <c r="H154" s="19" t="s">
        <v>329</v>
      </c>
      <c r="I154" s="18" t="s">
        <v>104</v>
      </c>
      <c r="J154" s="20">
        <v>1</v>
      </c>
      <c r="K154" s="20">
        <v>1.1499999999999999</v>
      </c>
      <c r="L154" s="21" t="s">
        <v>28</v>
      </c>
      <c r="M154" s="22">
        <v>0.49490000000000001</v>
      </c>
      <c r="N154" s="22">
        <v>5.4000000000000006E-2</v>
      </c>
      <c r="O154" s="22">
        <v>1017.1985435894751</v>
      </c>
      <c r="P154" s="22">
        <f t="shared" si="30"/>
        <v>578.92329310579589</v>
      </c>
      <c r="Q154" s="22">
        <v>2777.0693256854333</v>
      </c>
      <c r="R154" s="22">
        <f t="shared" si="31"/>
        <v>172.45600512506542</v>
      </c>
      <c r="S154" s="22">
        <f t="shared" si="32"/>
        <v>751.37929823086131</v>
      </c>
      <c r="T154" s="23">
        <v>0.55859868298040061</v>
      </c>
      <c r="U154" s="24">
        <v>0.1</v>
      </c>
      <c r="V154" s="25">
        <f t="shared" si="29"/>
        <v>1288.208663105494</v>
      </c>
      <c r="W154" s="26" t="s">
        <v>29</v>
      </c>
    </row>
    <row r="155" spans="1:23" ht="89.25" x14ac:dyDescent="0.25">
      <c r="A155" s="17">
        <f t="shared" ca="1" si="33"/>
        <v>151</v>
      </c>
      <c r="B155" s="18" t="s">
        <v>139</v>
      </c>
      <c r="C155" s="18" t="s">
        <v>330</v>
      </c>
      <c r="D155" s="18"/>
      <c r="E155" s="18"/>
      <c r="F155" s="18"/>
      <c r="G155" s="18"/>
      <c r="H155" s="19" t="s">
        <v>331</v>
      </c>
      <c r="I155" s="18" t="s">
        <v>104</v>
      </c>
      <c r="J155" s="20">
        <v>1</v>
      </c>
      <c r="K155" s="20">
        <v>1.1499999999999999</v>
      </c>
      <c r="L155" s="21" t="s">
        <v>28</v>
      </c>
      <c r="M155" s="22">
        <v>0.1757</v>
      </c>
      <c r="N155" s="22">
        <v>1.9199999999999998E-2</v>
      </c>
      <c r="O155" s="22">
        <v>1017.1985435894751</v>
      </c>
      <c r="P155" s="22">
        <f t="shared" si="30"/>
        <v>205.53005172497137</v>
      </c>
      <c r="Q155" s="22">
        <v>2777.0693256854333</v>
      </c>
      <c r="R155" s="22">
        <f t="shared" si="31"/>
        <v>61.317690711134361</v>
      </c>
      <c r="S155" s="22">
        <f t="shared" si="32"/>
        <v>266.8477424361057</v>
      </c>
      <c r="T155" s="23">
        <v>0.55859868298040061</v>
      </c>
      <c r="U155" s="24">
        <v>0.1</v>
      </c>
      <c r="V155" s="25">
        <f t="shared" si="29"/>
        <v>457.49939390892825</v>
      </c>
      <c r="W155" s="26" t="s">
        <v>29</v>
      </c>
    </row>
    <row r="156" spans="1:23" ht="89.25" x14ac:dyDescent="0.25">
      <c r="A156" s="17">
        <f t="shared" ca="1" si="33"/>
        <v>152</v>
      </c>
      <c r="B156" s="18" t="s">
        <v>139</v>
      </c>
      <c r="C156" s="18" t="s">
        <v>332</v>
      </c>
      <c r="D156" s="18"/>
      <c r="E156" s="18"/>
      <c r="F156" s="18"/>
      <c r="G156" s="18"/>
      <c r="H156" s="19" t="s">
        <v>333</v>
      </c>
      <c r="I156" s="18" t="s">
        <v>104</v>
      </c>
      <c r="J156" s="20">
        <v>1</v>
      </c>
      <c r="K156" s="20">
        <v>1.1499999999999999</v>
      </c>
      <c r="L156" s="21" t="s">
        <v>28</v>
      </c>
      <c r="M156" s="22">
        <v>0.20789999999999997</v>
      </c>
      <c r="N156" s="22">
        <v>2.2200000000000001E-2</v>
      </c>
      <c r="O156" s="22">
        <v>1017.1985435894751</v>
      </c>
      <c r="P156" s="22">
        <f t="shared" si="30"/>
        <v>243.1969137940896</v>
      </c>
      <c r="Q156" s="22">
        <v>2777.0693256854333</v>
      </c>
      <c r="R156" s="22">
        <f t="shared" si="31"/>
        <v>70.898579884749111</v>
      </c>
      <c r="S156" s="22">
        <f t="shared" si="32"/>
        <v>314.09549367883869</v>
      </c>
      <c r="T156" s="23">
        <v>0.55859868298040061</v>
      </c>
      <c r="U156" s="24">
        <v>0.1</v>
      </c>
      <c r="V156" s="25">
        <f t="shared" si="29"/>
        <v>538.50370505570834</v>
      </c>
      <c r="W156" s="26" t="s">
        <v>29</v>
      </c>
    </row>
    <row r="157" spans="1:23" ht="89.25" x14ac:dyDescent="0.25">
      <c r="A157" s="17">
        <f t="shared" ca="1" si="33"/>
        <v>153</v>
      </c>
      <c r="B157" s="18" t="s">
        <v>139</v>
      </c>
      <c r="C157" s="18" t="s">
        <v>334</v>
      </c>
      <c r="D157" s="18"/>
      <c r="E157" s="18"/>
      <c r="F157" s="18"/>
      <c r="G157" s="18"/>
      <c r="H157" s="19" t="s">
        <v>335</v>
      </c>
      <c r="I157" s="18" t="s">
        <v>104</v>
      </c>
      <c r="J157" s="20">
        <v>1</v>
      </c>
      <c r="K157" s="20">
        <v>1.1499999999999999</v>
      </c>
      <c r="L157" s="21" t="s">
        <v>28</v>
      </c>
      <c r="M157" s="22">
        <v>0.25829999999999997</v>
      </c>
      <c r="N157" s="22">
        <v>2.7E-2</v>
      </c>
      <c r="O157" s="22">
        <v>1017.1985435894751</v>
      </c>
      <c r="P157" s="22">
        <f t="shared" si="30"/>
        <v>302.15374138053556</v>
      </c>
      <c r="Q157" s="22">
        <v>2777.0693256854333</v>
      </c>
      <c r="R157" s="22">
        <f t="shared" si="31"/>
        <v>86.228002562532694</v>
      </c>
      <c r="S157" s="22">
        <f t="shared" si="32"/>
        <v>388.38174394306827</v>
      </c>
      <c r="T157" s="23">
        <v>0.55859868298040061</v>
      </c>
      <c r="U157" s="24">
        <v>0.1</v>
      </c>
      <c r="V157" s="25">
        <f t="shared" si="29"/>
        <v>665.86440206362715</v>
      </c>
      <c r="W157" s="26" t="s">
        <v>29</v>
      </c>
    </row>
    <row r="158" spans="1:23" ht="89.25" x14ac:dyDescent="0.25">
      <c r="A158" s="17">
        <f t="shared" ca="1" si="33"/>
        <v>154</v>
      </c>
      <c r="B158" s="18" t="s">
        <v>139</v>
      </c>
      <c r="C158" s="18" t="s">
        <v>336</v>
      </c>
      <c r="D158" s="18"/>
      <c r="E158" s="18"/>
      <c r="F158" s="18"/>
      <c r="G158" s="18"/>
      <c r="H158" s="19" t="s">
        <v>337</v>
      </c>
      <c r="I158" s="18" t="s">
        <v>104</v>
      </c>
      <c r="J158" s="20">
        <v>1</v>
      </c>
      <c r="K158" s="20">
        <v>1.1499999999999999</v>
      </c>
      <c r="L158" s="21" t="s">
        <v>28</v>
      </c>
      <c r="M158" s="22">
        <v>0.25829999999999997</v>
      </c>
      <c r="N158" s="22">
        <v>2.7E-2</v>
      </c>
      <c r="O158" s="22">
        <v>1017.1985435894751</v>
      </c>
      <c r="P158" s="22">
        <f t="shared" si="30"/>
        <v>302.15374138053556</v>
      </c>
      <c r="Q158" s="22">
        <v>2777.0693256854333</v>
      </c>
      <c r="R158" s="22">
        <f t="shared" si="31"/>
        <v>86.228002562532694</v>
      </c>
      <c r="S158" s="22">
        <f t="shared" si="32"/>
        <v>388.38174394306827</v>
      </c>
      <c r="T158" s="23">
        <v>0.55859868298040061</v>
      </c>
      <c r="U158" s="24">
        <v>0.1</v>
      </c>
      <c r="V158" s="25">
        <f t="shared" si="29"/>
        <v>665.86440206362715</v>
      </c>
      <c r="W158" s="26" t="s">
        <v>29</v>
      </c>
    </row>
    <row r="159" spans="1:23" ht="89.25" x14ac:dyDescent="0.25">
      <c r="A159" s="17">
        <f t="shared" ca="1" si="33"/>
        <v>155</v>
      </c>
      <c r="B159" s="18" t="s">
        <v>139</v>
      </c>
      <c r="C159" s="18" t="s">
        <v>338</v>
      </c>
      <c r="D159" s="18"/>
      <c r="E159" s="18"/>
      <c r="F159" s="18"/>
      <c r="G159" s="18"/>
      <c r="H159" s="19" t="s">
        <v>339</v>
      </c>
      <c r="I159" s="18" t="s">
        <v>104</v>
      </c>
      <c r="J159" s="20">
        <v>1</v>
      </c>
      <c r="K159" s="20">
        <v>1.1499999999999999</v>
      </c>
      <c r="L159" s="21" t="s">
        <v>28</v>
      </c>
      <c r="M159" s="22">
        <v>0.2863</v>
      </c>
      <c r="N159" s="22">
        <v>3.2399999999999998E-2</v>
      </c>
      <c r="O159" s="22">
        <v>1017.1985435894751</v>
      </c>
      <c r="P159" s="22">
        <f t="shared" si="30"/>
        <v>334.9075344841167</v>
      </c>
      <c r="Q159" s="22">
        <v>2777.0693256854333</v>
      </c>
      <c r="R159" s="22">
        <f t="shared" si="31"/>
        <v>103.47360307503924</v>
      </c>
      <c r="S159" s="22">
        <f t="shared" si="32"/>
        <v>438.38113755915595</v>
      </c>
      <c r="T159" s="23">
        <v>0.55859868298040061</v>
      </c>
      <c r="U159" s="24">
        <v>0.1</v>
      </c>
      <c r="V159" s="25">
        <f t="shared" si="29"/>
        <v>751.58629000746532</v>
      </c>
      <c r="W159" s="26" t="s">
        <v>29</v>
      </c>
    </row>
    <row r="160" spans="1:23" ht="89.25" x14ac:dyDescent="0.25">
      <c r="A160" s="17">
        <f t="shared" ca="1" si="33"/>
        <v>156</v>
      </c>
      <c r="B160" s="18" t="s">
        <v>139</v>
      </c>
      <c r="C160" s="18" t="s">
        <v>340</v>
      </c>
      <c r="D160" s="18"/>
      <c r="E160" s="18"/>
      <c r="F160" s="18"/>
      <c r="G160" s="18"/>
      <c r="H160" s="19" t="s">
        <v>341</v>
      </c>
      <c r="I160" s="18" t="s">
        <v>104</v>
      </c>
      <c r="J160" s="20">
        <v>1</v>
      </c>
      <c r="K160" s="20">
        <v>1.1499999999999999</v>
      </c>
      <c r="L160" s="21" t="s">
        <v>28</v>
      </c>
      <c r="M160" s="22">
        <v>0.2954</v>
      </c>
      <c r="N160" s="22">
        <v>3.3000000000000002E-2</v>
      </c>
      <c r="O160" s="22">
        <v>1017.1985435894751</v>
      </c>
      <c r="P160" s="22">
        <f t="shared" si="30"/>
        <v>345.55251724278054</v>
      </c>
      <c r="Q160" s="22">
        <v>2777.0693256854333</v>
      </c>
      <c r="R160" s="22">
        <f t="shared" si="31"/>
        <v>105.38978090976219</v>
      </c>
      <c r="S160" s="22">
        <f t="shared" si="32"/>
        <v>450.94229815254272</v>
      </c>
      <c r="T160" s="23">
        <v>0.55859868298040061</v>
      </c>
      <c r="U160" s="24">
        <v>0.1</v>
      </c>
      <c r="V160" s="25">
        <f t="shared" si="29"/>
        <v>773.12187920077906</v>
      </c>
      <c r="W160" s="26" t="s">
        <v>29</v>
      </c>
    </row>
    <row r="161" spans="1:23" ht="89.25" x14ac:dyDescent="0.25">
      <c r="A161" s="17">
        <f t="shared" ca="1" si="33"/>
        <v>157</v>
      </c>
      <c r="B161" s="18" t="s">
        <v>139</v>
      </c>
      <c r="C161" s="18" t="s">
        <v>342</v>
      </c>
      <c r="D161" s="18"/>
      <c r="E161" s="18"/>
      <c r="F161" s="18"/>
      <c r="G161" s="18"/>
      <c r="H161" s="19" t="s">
        <v>343</v>
      </c>
      <c r="I161" s="18" t="s">
        <v>104</v>
      </c>
      <c r="J161" s="20">
        <v>1</v>
      </c>
      <c r="K161" s="20">
        <v>1.1499999999999999</v>
      </c>
      <c r="L161" s="21" t="s">
        <v>28</v>
      </c>
      <c r="M161" s="22">
        <v>0.30449999999999999</v>
      </c>
      <c r="N161" s="22">
        <v>3.3599999999999998E-2</v>
      </c>
      <c r="O161" s="22">
        <v>1017.1985435894751</v>
      </c>
      <c r="P161" s="22">
        <f t="shared" si="30"/>
        <v>356.19750000144444</v>
      </c>
      <c r="Q161" s="22">
        <v>2777.0693256854333</v>
      </c>
      <c r="R161" s="22">
        <f t="shared" si="31"/>
        <v>107.30595874448512</v>
      </c>
      <c r="S161" s="22">
        <f t="shared" si="32"/>
        <v>463.50345874592955</v>
      </c>
      <c r="T161" s="23">
        <v>0.55859868298040061</v>
      </c>
      <c r="U161" s="24">
        <v>0.1</v>
      </c>
      <c r="V161" s="25">
        <f t="shared" si="29"/>
        <v>794.6574683940928</v>
      </c>
      <c r="W161" s="26" t="s">
        <v>29</v>
      </c>
    </row>
    <row r="162" spans="1:23" ht="89.25" x14ac:dyDescent="0.25">
      <c r="A162" s="17">
        <f t="shared" ca="1" si="33"/>
        <v>158</v>
      </c>
      <c r="B162" s="18" t="s">
        <v>139</v>
      </c>
      <c r="C162" s="18" t="s">
        <v>344</v>
      </c>
      <c r="D162" s="18"/>
      <c r="E162" s="18"/>
      <c r="F162" s="18"/>
      <c r="G162" s="18"/>
      <c r="H162" s="19" t="s">
        <v>345</v>
      </c>
      <c r="I162" s="18" t="s">
        <v>104</v>
      </c>
      <c r="J162" s="20">
        <v>1</v>
      </c>
      <c r="K162" s="20">
        <v>1.1499999999999999</v>
      </c>
      <c r="L162" s="21" t="s">
        <v>28</v>
      </c>
      <c r="M162" s="22">
        <v>0.39129999999999993</v>
      </c>
      <c r="N162" s="22">
        <v>4.2599999999999992E-2</v>
      </c>
      <c r="O162" s="22">
        <v>1017.1985435894751</v>
      </c>
      <c r="P162" s="22">
        <f t="shared" si="30"/>
        <v>457.73425862254572</v>
      </c>
      <c r="Q162" s="22">
        <v>2777.0693256854333</v>
      </c>
      <c r="R162" s="22">
        <f t="shared" si="31"/>
        <v>136.04862626532935</v>
      </c>
      <c r="S162" s="22">
        <f t="shared" si="32"/>
        <v>593.78288488787507</v>
      </c>
      <c r="T162" s="23">
        <v>0.55859868298040061</v>
      </c>
      <c r="U162" s="24">
        <v>0.1</v>
      </c>
      <c r="V162" s="25">
        <f t="shared" si="29"/>
        <v>1018.0161445987994</v>
      </c>
      <c r="W162" s="26" t="s">
        <v>29</v>
      </c>
    </row>
    <row r="163" spans="1:23" ht="89.25" x14ac:dyDescent="0.25">
      <c r="A163" s="17">
        <f t="shared" ca="1" si="33"/>
        <v>159</v>
      </c>
      <c r="B163" s="18" t="s">
        <v>139</v>
      </c>
      <c r="C163" s="18" t="s">
        <v>346</v>
      </c>
      <c r="D163" s="18"/>
      <c r="E163" s="18"/>
      <c r="F163" s="18"/>
      <c r="G163" s="18"/>
      <c r="H163" s="19" t="s">
        <v>347</v>
      </c>
      <c r="I163" s="18" t="s">
        <v>104</v>
      </c>
      <c r="J163" s="20">
        <v>1</v>
      </c>
      <c r="K163" s="20">
        <v>1.1499999999999999</v>
      </c>
      <c r="L163" s="21" t="s">
        <v>28</v>
      </c>
      <c r="M163" s="22">
        <v>0.40319999999999995</v>
      </c>
      <c r="N163" s="22">
        <v>4.4999999999999998E-2</v>
      </c>
      <c r="O163" s="22">
        <v>1017.1985435894751</v>
      </c>
      <c r="P163" s="22">
        <f t="shared" si="30"/>
        <v>471.65462069156774</v>
      </c>
      <c r="Q163" s="22">
        <v>2777.0693256854333</v>
      </c>
      <c r="R163" s="22">
        <f t="shared" si="31"/>
        <v>143.71333760422115</v>
      </c>
      <c r="S163" s="22">
        <f t="shared" si="32"/>
        <v>615.36795829578887</v>
      </c>
      <c r="T163" s="23">
        <v>0.55859868298040061</v>
      </c>
      <c r="U163" s="24">
        <v>0.1</v>
      </c>
      <c r="V163" s="25">
        <f t="shared" si="29"/>
        <v>1055.02285828297</v>
      </c>
      <c r="W163" s="26" t="s">
        <v>29</v>
      </c>
    </row>
    <row r="164" spans="1:23" ht="89.25" x14ac:dyDescent="0.25">
      <c r="A164" s="17">
        <f t="shared" ca="1" si="33"/>
        <v>160</v>
      </c>
      <c r="B164" s="18" t="s">
        <v>139</v>
      </c>
      <c r="C164" s="18" t="s">
        <v>348</v>
      </c>
      <c r="D164" s="18"/>
      <c r="E164" s="18"/>
      <c r="F164" s="18"/>
      <c r="G164" s="18"/>
      <c r="H164" s="19" t="s">
        <v>349</v>
      </c>
      <c r="I164" s="18" t="s">
        <v>104</v>
      </c>
      <c r="J164" s="20">
        <v>1</v>
      </c>
      <c r="K164" s="20">
        <v>1.1499999999999999</v>
      </c>
      <c r="L164" s="21" t="s">
        <v>28</v>
      </c>
      <c r="M164" s="22">
        <v>0.49490000000000001</v>
      </c>
      <c r="N164" s="22">
        <v>5.4000000000000006E-2</v>
      </c>
      <c r="O164" s="22">
        <v>1017.1985435894751</v>
      </c>
      <c r="P164" s="22">
        <f t="shared" si="30"/>
        <v>578.92329310579589</v>
      </c>
      <c r="Q164" s="22">
        <v>2777.0693256854333</v>
      </c>
      <c r="R164" s="22">
        <f t="shared" si="31"/>
        <v>172.45600512506542</v>
      </c>
      <c r="S164" s="22">
        <f t="shared" si="32"/>
        <v>751.37929823086131</v>
      </c>
      <c r="T164" s="23">
        <v>0.55859868298040061</v>
      </c>
      <c r="U164" s="24">
        <v>0.1</v>
      </c>
      <c r="V164" s="25">
        <f t="shared" si="29"/>
        <v>1288.208663105494</v>
      </c>
      <c r="W164" s="26" t="s">
        <v>29</v>
      </c>
    </row>
    <row r="165" spans="1:23" ht="89.25" x14ac:dyDescent="0.25">
      <c r="A165" s="17">
        <f t="shared" ca="1" si="33"/>
        <v>161</v>
      </c>
      <c r="B165" s="18" t="s">
        <v>139</v>
      </c>
      <c r="C165" s="18" t="s">
        <v>350</v>
      </c>
      <c r="D165" s="18"/>
      <c r="E165" s="18"/>
      <c r="F165" s="18"/>
      <c r="G165" s="18"/>
      <c r="H165" s="19" t="s">
        <v>351</v>
      </c>
      <c r="I165" s="18" t="s">
        <v>104</v>
      </c>
      <c r="J165" s="20">
        <v>1</v>
      </c>
      <c r="K165" s="20">
        <v>1.1499999999999999</v>
      </c>
      <c r="L165" s="21" t="s">
        <v>28</v>
      </c>
      <c r="M165" s="22">
        <v>0.64329999999999987</v>
      </c>
      <c r="N165" s="22">
        <v>7.0199999999999999E-2</v>
      </c>
      <c r="O165" s="22">
        <v>1017.1985435894751</v>
      </c>
      <c r="P165" s="22">
        <f t="shared" si="30"/>
        <v>752.51839655477556</v>
      </c>
      <c r="Q165" s="22">
        <v>2777.0693256854333</v>
      </c>
      <c r="R165" s="22">
        <f t="shared" si="31"/>
        <v>224.19280666258501</v>
      </c>
      <c r="S165" s="22">
        <f t="shared" si="32"/>
        <v>976.71120321736055</v>
      </c>
      <c r="T165" s="23">
        <v>0.55859868298040061</v>
      </c>
      <c r="U165" s="24">
        <v>0.1</v>
      </c>
      <c r="V165" s="25">
        <f t="shared" si="29"/>
        <v>1674.5308744854588</v>
      </c>
      <c r="W165" s="26" t="s">
        <v>29</v>
      </c>
    </row>
    <row r="166" spans="1:23" ht="89.25" x14ac:dyDescent="0.25">
      <c r="A166" s="17">
        <f t="shared" ca="1" si="33"/>
        <v>162</v>
      </c>
      <c r="B166" s="18" t="s">
        <v>139</v>
      </c>
      <c r="C166" s="18" t="s">
        <v>352</v>
      </c>
      <c r="D166" s="18"/>
      <c r="E166" s="18"/>
      <c r="F166" s="18"/>
      <c r="G166" s="18"/>
      <c r="H166" s="19" t="s">
        <v>353</v>
      </c>
      <c r="I166" s="18" t="s">
        <v>104</v>
      </c>
      <c r="J166" s="20">
        <v>1</v>
      </c>
      <c r="K166" s="20">
        <v>1.1499999999999999</v>
      </c>
      <c r="L166" s="21" t="s">
        <v>28</v>
      </c>
      <c r="M166" s="22">
        <v>0.1694</v>
      </c>
      <c r="N166" s="22">
        <v>1.8599999999999998E-2</v>
      </c>
      <c r="O166" s="22">
        <v>1017.1985435894751</v>
      </c>
      <c r="P166" s="22">
        <f t="shared" si="30"/>
        <v>198.16044827666562</v>
      </c>
      <c r="Q166" s="22">
        <v>2777.0693256854333</v>
      </c>
      <c r="R166" s="22">
        <f t="shared" si="31"/>
        <v>59.40151287641141</v>
      </c>
      <c r="S166" s="22">
        <f t="shared" si="32"/>
        <v>257.56196115307705</v>
      </c>
      <c r="T166" s="23">
        <v>0.55859868298040061</v>
      </c>
      <c r="U166" s="24">
        <v>0.1</v>
      </c>
      <c r="V166" s="25">
        <f t="shared" si="29"/>
        <v>441.57930678293849</v>
      </c>
      <c r="W166" s="26" t="s">
        <v>29</v>
      </c>
    </row>
    <row r="167" spans="1:23" ht="89.25" x14ac:dyDescent="0.25">
      <c r="A167" s="17">
        <f t="shared" ca="1" si="33"/>
        <v>163</v>
      </c>
      <c r="B167" s="18" t="s">
        <v>139</v>
      </c>
      <c r="C167" s="18" t="s">
        <v>354</v>
      </c>
      <c r="D167" s="18"/>
      <c r="E167" s="18"/>
      <c r="F167" s="18"/>
      <c r="G167" s="18"/>
      <c r="H167" s="19" t="s">
        <v>355</v>
      </c>
      <c r="I167" s="18" t="s">
        <v>104</v>
      </c>
      <c r="J167" s="20">
        <v>1</v>
      </c>
      <c r="K167" s="20">
        <v>1.1499999999999999</v>
      </c>
      <c r="L167" s="21" t="s">
        <v>28</v>
      </c>
      <c r="M167" s="22">
        <v>0.19739999999999996</v>
      </c>
      <c r="N167" s="22">
        <v>1.7999999999999999E-2</v>
      </c>
      <c r="O167" s="22">
        <v>1017.1985435894751</v>
      </c>
      <c r="P167" s="22">
        <f t="shared" si="30"/>
        <v>230.91424138024666</v>
      </c>
      <c r="Q167" s="22">
        <v>2777.0693256854333</v>
      </c>
      <c r="R167" s="22">
        <f t="shared" si="31"/>
        <v>57.485335041688458</v>
      </c>
      <c r="S167" s="22">
        <f t="shared" si="32"/>
        <v>288.39957642193514</v>
      </c>
      <c r="T167" s="23">
        <v>0.55859868298040061</v>
      </c>
      <c r="U167" s="24">
        <v>0.1</v>
      </c>
      <c r="V167" s="25">
        <f t="shared" si="29"/>
        <v>494.44911998166685</v>
      </c>
      <c r="W167" s="26" t="s">
        <v>29</v>
      </c>
    </row>
    <row r="168" spans="1:23" x14ac:dyDescent="0.25">
      <c r="A168" s="28">
        <f t="shared" ca="1" si="33"/>
        <v>164</v>
      </c>
      <c r="B168" s="9" t="s">
        <v>139</v>
      </c>
      <c r="C168" s="9" t="s">
        <v>356</v>
      </c>
      <c r="D168" s="9"/>
      <c r="E168" s="9"/>
      <c r="F168" s="9"/>
      <c r="G168" s="9"/>
      <c r="H168" s="10" t="s">
        <v>357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29"/>
      <c r="U168" s="11"/>
      <c r="V168" s="9"/>
      <c r="W168" s="9"/>
    </row>
    <row r="169" spans="1:23" x14ac:dyDescent="0.25">
      <c r="A169" s="12">
        <f t="shared" ca="1" si="33"/>
        <v>165</v>
      </c>
      <c r="B169" s="13" t="s">
        <v>139</v>
      </c>
      <c r="C169" s="13" t="s">
        <v>358</v>
      </c>
      <c r="D169" s="13"/>
      <c r="E169" s="13"/>
      <c r="F169" s="13"/>
      <c r="G169" s="13"/>
      <c r="H169" s="15" t="s">
        <v>359</v>
      </c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27"/>
      <c r="U169" s="16"/>
      <c r="V169" s="13"/>
      <c r="W169" s="13"/>
    </row>
    <row r="170" spans="1:23" ht="89.25" x14ac:dyDescent="0.25">
      <c r="A170" s="17">
        <f t="shared" ca="1" si="33"/>
        <v>166</v>
      </c>
      <c r="B170" s="18" t="s">
        <v>139</v>
      </c>
      <c r="C170" s="18" t="s">
        <v>360</v>
      </c>
      <c r="D170" s="18"/>
      <c r="E170" s="18"/>
      <c r="F170" s="18"/>
      <c r="G170" s="18"/>
      <c r="H170" s="19" t="s">
        <v>361</v>
      </c>
      <c r="I170" s="18" t="s">
        <v>161</v>
      </c>
      <c r="J170" s="20">
        <v>1</v>
      </c>
      <c r="K170" s="20">
        <v>1.1499999999999999</v>
      </c>
      <c r="L170" s="21" t="s">
        <v>28</v>
      </c>
      <c r="M170" s="22">
        <v>3.2780999999999998</v>
      </c>
      <c r="N170" s="22">
        <v>0.44999999999999996</v>
      </c>
      <c r="O170" s="22">
        <v>1017.1985435894751</v>
      </c>
      <c r="P170" s="22">
        <f t="shared" si="30"/>
        <v>3834.6503276017565</v>
      </c>
      <c r="Q170" s="22">
        <v>2777.0693256854333</v>
      </c>
      <c r="R170" s="22">
        <f t="shared" si="31"/>
        <v>1437.1333760422117</v>
      </c>
      <c r="S170" s="22">
        <f t="shared" si="32"/>
        <v>5271.7837036439687</v>
      </c>
      <c r="T170" s="23">
        <v>0.55859868298040061</v>
      </c>
      <c r="U170" s="24">
        <v>0.1</v>
      </c>
      <c r="V170" s="25">
        <f t="shared" ref="V170:V186" si="34">S170+S170*T170+(S170+S170*T170)*U170</f>
        <v>9038.2546512027311</v>
      </c>
      <c r="W170" s="26" t="s">
        <v>29</v>
      </c>
    </row>
    <row r="171" spans="1:23" ht="89.25" x14ac:dyDescent="0.25">
      <c r="A171" s="17">
        <f t="shared" ca="1" si="33"/>
        <v>167</v>
      </c>
      <c r="B171" s="18" t="s">
        <v>139</v>
      </c>
      <c r="C171" s="18" t="s">
        <v>362</v>
      </c>
      <c r="D171" s="18"/>
      <c r="E171" s="18"/>
      <c r="F171" s="18"/>
      <c r="G171" s="18"/>
      <c r="H171" s="19" t="s">
        <v>363</v>
      </c>
      <c r="I171" s="18" t="s">
        <v>161</v>
      </c>
      <c r="J171" s="20">
        <v>1</v>
      </c>
      <c r="K171" s="20">
        <v>1.1499999999999999</v>
      </c>
      <c r="L171" s="21" t="s">
        <v>28</v>
      </c>
      <c r="M171" s="22">
        <v>3.8338999999999999</v>
      </c>
      <c r="N171" s="22">
        <v>0.44999999999999996</v>
      </c>
      <c r="O171" s="22">
        <v>1017.1985435894751</v>
      </c>
      <c r="P171" s="22">
        <f t="shared" si="30"/>
        <v>4484.8131207078413</v>
      </c>
      <c r="Q171" s="22">
        <v>2777.0693256854333</v>
      </c>
      <c r="R171" s="22">
        <f t="shared" si="31"/>
        <v>1437.1333760422117</v>
      </c>
      <c r="S171" s="22">
        <f t="shared" si="32"/>
        <v>5921.9464967500535</v>
      </c>
      <c r="T171" s="23">
        <v>0.55859868298040061</v>
      </c>
      <c r="U171" s="24">
        <v>0.1</v>
      </c>
      <c r="V171" s="25">
        <f t="shared" si="34"/>
        <v>10152.931811566534</v>
      </c>
      <c r="W171" s="26" t="s">
        <v>29</v>
      </c>
    </row>
    <row r="172" spans="1:23" ht="89.25" x14ac:dyDescent="0.25">
      <c r="A172" s="17">
        <f t="shared" ca="1" si="33"/>
        <v>168</v>
      </c>
      <c r="B172" s="18" t="s">
        <v>139</v>
      </c>
      <c r="C172" s="18" t="s">
        <v>364</v>
      </c>
      <c r="D172" s="18"/>
      <c r="E172" s="18"/>
      <c r="F172" s="18"/>
      <c r="G172" s="18"/>
      <c r="H172" s="19" t="s">
        <v>365</v>
      </c>
      <c r="I172" s="18" t="s">
        <v>161</v>
      </c>
      <c r="J172" s="20">
        <v>1</v>
      </c>
      <c r="K172" s="20">
        <v>1.1499999999999999</v>
      </c>
      <c r="L172" s="21" t="s">
        <v>28</v>
      </c>
      <c r="M172" s="22">
        <v>4.0558000000000005</v>
      </c>
      <c r="N172" s="22">
        <v>0.44999999999999996</v>
      </c>
      <c r="O172" s="22">
        <v>1017.1985435894751</v>
      </c>
      <c r="P172" s="22">
        <f t="shared" si="30"/>
        <v>4744.3869310537229</v>
      </c>
      <c r="Q172" s="22">
        <v>2777.0693256854333</v>
      </c>
      <c r="R172" s="22">
        <f t="shared" si="31"/>
        <v>1437.1333760422117</v>
      </c>
      <c r="S172" s="22">
        <f t="shared" si="32"/>
        <v>6181.5203070959342</v>
      </c>
      <c r="T172" s="23">
        <v>0.55859868298040061</v>
      </c>
      <c r="U172" s="24">
        <v>0.1</v>
      </c>
      <c r="V172" s="25">
        <f t="shared" si="34"/>
        <v>10597.960350401958</v>
      </c>
      <c r="W172" s="26" t="s">
        <v>29</v>
      </c>
    </row>
    <row r="173" spans="1:23" ht="89.25" x14ac:dyDescent="0.25">
      <c r="A173" s="17">
        <f t="shared" ca="1" si="33"/>
        <v>169</v>
      </c>
      <c r="B173" s="18" t="s">
        <v>139</v>
      </c>
      <c r="C173" s="18" t="s">
        <v>366</v>
      </c>
      <c r="D173" s="18"/>
      <c r="E173" s="18"/>
      <c r="F173" s="18"/>
      <c r="G173" s="18"/>
      <c r="H173" s="19" t="s">
        <v>367</v>
      </c>
      <c r="I173" s="18" t="s">
        <v>161</v>
      </c>
      <c r="J173" s="20">
        <v>1</v>
      </c>
      <c r="K173" s="20">
        <v>1.1499999999999999</v>
      </c>
      <c r="L173" s="21" t="s">
        <v>28</v>
      </c>
      <c r="M173" s="22">
        <v>5.9366999999999992</v>
      </c>
      <c r="N173" s="22">
        <v>0.44999999999999996</v>
      </c>
      <c r="O173" s="22">
        <v>1017.1985435894751</v>
      </c>
      <c r="P173" s="22">
        <f t="shared" si="30"/>
        <v>6944.622982786781</v>
      </c>
      <c r="Q173" s="22">
        <v>2777.0693256854333</v>
      </c>
      <c r="R173" s="22">
        <f t="shared" si="31"/>
        <v>1437.1333760422117</v>
      </c>
      <c r="S173" s="22">
        <f t="shared" si="32"/>
        <v>8381.7563588289922</v>
      </c>
      <c r="T173" s="23">
        <v>0.55859868298040061</v>
      </c>
      <c r="U173" s="24">
        <v>0.1</v>
      </c>
      <c r="V173" s="25">
        <f t="shared" si="34"/>
        <v>14370.173864126811</v>
      </c>
      <c r="W173" s="26" t="s">
        <v>29</v>
      </c>
    </row>
    <row r="174" spans="1:23" ht="89.25" x14ac:dyDescent="0.25">
      <c r="A174" s="17">
        <f t="shared" ca="1" si="33"/>
        <v>170</v>
      </c>
      <c r="B174" s="18" t="s">
        <v>139</v>
      </c>
      <c r="C174" s="18" t="s">
        <v>368</v>
      </c>
      <c r="D174" s="18"/>
      <c r="E174" s="18"/>
      <c r="F174" s="18"/>
      <c r="G174" s="18"/>
      <c r="H174" s="19" t="s">
        <v>369</v>
      </c>
      <c r="I174" s="18" t="s">
        <v>161</v>
      </c>
      <c r="J174" s="20">
        <v>1</v>
      </c>
      <c r="K174" s="20">
        <v>1.1499999999999999</v>
      </c>
      <c r="L174" s="21" t="s">
        <v>28</v>
      </c>
      <c r="M174" s="22">
        <v>6.2698999999999998</v>
      </c>
      <c r="N174" s="22">
        <v>0.44999999999999996</v>
      </c>
      <c r="O174" s="22">
        <v>1017.1985435894751</v>
      </c>
      <c r="P174" s="22">
        <f t="shared" si="30"/>
        <v>7334.3931207193964</v>
      </c>
      <c r="Q174" s="22">
        <v>2777.0693256854333</v>
      </c>
      <c r="R174" s="22">
        <f t="shared" si="31"/>
        <v>1437.1333760422117</v>
      </c>
      <c r="S174" s="22">
        <f t="shared" si="32"/>
        <v>8771.5264967616076</v>
      </c>
      <c r="T174" s="23">
        <v>0.55859868298040061</v>
      </c>
      <c r="U174" s="24">
        <v>0.1</v>
      </c>
      <c r="V174" s="25">
        <f t="shared" si="34"/>
        <v>15038.41861013836</v>
      </c>
      <c r="W174" s="26" t="s">
        <v>29</v>
      </c>
    </row>
    <row r="175" spans="1:23" ht="89.25" x14ac:dyDescent="0.25">
      <c r="A175" s="17">
        <f t="shared" ca="1" si="33"/>
        <v>171</v>
      </c>
      <c r="B175" s="18" t="s">
        <v>139</v>
      </c>
      <c r="C175" s="18" t="s">
        <v>370</v>
      </c>
      <c r="D175" s="18"/>
      <c r="E175" s="18"/>
      <c r="F175" s="18"/>
      <c r="G175" s="18"/>
      <c r="H175" s="19" t="s">
        <v>371</v>
      </c>
      <c r="I175" s="18" t="s">
        <v>161</v>
      </c>
      <c r="J175" s="20">
        <v>1</v>
      </c>
      <c r="K175" s="20">
        <v>1.1499999999999999</v>
      </c>
      <c r="L175" s="21" t="s">
        <v>28</v>
      </c>
      <c r="M175" s="22">
        <v>6.8809999999999993</v>
      </c>
      <c r="N175" s="22">
        <v>0.44999999999999996</v>
      </c>
      <c r="O175" s="22">
        <v>1017.1985435894751</v>
      </c>
      <c r="P175" s="22">
        <f t="shared" si="30"/>
        <v>8049.2446552050542</v>
      </c>
      <c r="Q175" s="22">
        <v>2777.0693256854333</v>
      </c>
      <c r="R175" s="22">
        <f t="shared" si="31"/>
        <v>1437.1333760422117</v>
      </c>
      <c r="S175" s="22">
        <f t="shared" si="32"/>
        <v>9486.3780312472663</v>
      </c>
      <c r="T175" s="23">
        <v>0.55859868298040061</v>
      </c>
      <c r="U175" s="24">
        <v>0.1</v>
      </c>
      <c r="V175" s="25">
        <f t="shared" si="34"/>
        <v>16264.001936331813</v>
      </c>
      <c r="W175" s="26" t="s">
        <v>29</v>
      </c>
    </row>
    <row r="176" spans="1:23" ht="89.25" x14ac:dyDescent="0.25">
      <c r="A176" s="17">
        <f t="shared" ca="1" si="33"/>
        <v>172</v>
      </c>
      <c r="B176" s="18" t="s">
        <v>139</v>
      </c>
      <c r="C176" s="18" t="s">
        <v>372</v>
      </c>
      <c r="D176" s="18"/>
      <c r="E176" s="18"/>
      <c r="F176" s="18"/>
      <c r="G176" s="18"/>
      <c r="H176" s="19" t="s">
        <v>373</v>
      </c>
      <c r="I176" s="18" t="s">
        <v>161</v>
      </c>
      <c r="J176" s="20">
        <v>1</v>
      </c>
      <c r="K176" s="20">
        <v>1.1499999999999999</v>
      </c>
      <c r="L176" s="21" t="s">
        <v>28</v>
      </c>
      <c r="M176" s="22">
        <v>2.5374999999999996</v>
      </c>
      <c r="N176" s="22">
        <v>0.18</v>
      </c>
      <c r="O176" s="22">
        <v>1017.1985435894751</v>
      </c>
      <c r="P176" s="22">
        <f t="shared" si="30"/>
        <v>2968.3125000120363</v>
      </c>
      <c r="Q176" s="22">
        <v>2777.0693256854333</v>
      </c>
      <c r="R176" s="22">
        <f t="shared" si="31"/>
        <v>574.85335041688461</v>
      </c>
      <c r="S176" s="22">
        <f t="shared" si="32"/>
        <v>3543.1658504289207</v>
      </c>
      <c r="T176" s="23">
        <v>0.55859868298040061</v>
      </c>
      <c r="U176" s="24">
        <v>0.1</v>
      </c>
      <c r="V176" s="25">
        <f t="shared" si="34"/>
        <v>6074.6109908656117</v>
      </c>
      <c r="W176" s="26" t="s">
        <v>29</v>
      </c>
    </row>
    <row r="177" spans="1:23" ht="89.25" x14ac:dyDescent="0.25">
      <c r="A177" s="17">
        <f t="shared" ca="1" si="33"/>
        <v>173</v>
      </c>
      <c r="B177" s="18" t="s">
        <v>139</v>
      </c>
      <c r="C177" s="18" t="s">
        <v>374</v>
      </c>
      <c r="D177" s="18"/>
      <c r="E177" s="18"/>
      <c r="F177" s="18"/>
      <c r="G177" s="18"/>
      <c r="H177" s="19" t="s">
        <v>375</v>
      </c>
      <c r="I177" s="18" t="s">
        <v>161</v>
      </c>
      <c r="J177" s="20">
        <v>1</v>
      </c>
      <c r="K177" s="20">
        <v>1.1499999999999999</v>
      </c>
      <c r="L177" s="21" t="s">
        <v>28</v>
      </c>
      <c r="M177" s="22">
        <v>3.8891999999999998</v>
      </c>
      <c r="N177" s="22">
        <v>0.44999999999999996</v>
      </c>
      <c r="O177" s="22">
        <v>1017.1985435894751</v>
      </c>
      <c r="P177" s="22">
        <f t="shared" si="30"/>
        <v>4549.5018620874134</v>
      </c>
      <c r="Q177" s="22">
        <v>2777.0693256854333</v>
      </c>
      <c r="R177" s="22">
        <f t="shared" si="31"/>
        <v>1437.1333760422117</v>
      </c>
      <c r="S177" s="22">
        <f t="shared" si="32"/>
        <v>5986.6352381296256</v>
      </c>
      <c r="T177" s="23">
        <v>0.55859868298040061</v>
      </c>
      <c r="U177" s="24">
        <v>0.1</v>
      </c>
      <c r="V177" s="25">
        <f t="shared" si="34"/>
        <v>10263.837977396181</v>
      </c>
      <c r="W177" s="26" t="s">
        <v>29</v>
      </c>
    </row>
    <row r="178" spans="1:23" ht="89.25" x14ac:dyDescent="0.25">
      <c r="A178" s="17">
        <f t="shared" ca="1" si="33"/>
        <v>174</v>
      </c>
      <c r="B178" s="18" t="s">
        <v>139</v>
      </c>
      <c r="C178" s="18" t="s">
        <v>376</v>
      </c>
      <c r="D178" s="18"/>
      <c r="E178" s="18"/>
      <c r="F178" s="18"/>
      <c r="G178" s="18"/>
      <c r="H178" s="19" t="s">
        <v>377</v>
      </c>
      <c r="I178" s="18" t="s">
        <v>161</v>
      </c>
      <c r="J178" s="20">
        <v>1</v>
      </c>
      <c r="K178" s="20">
        <v>1.1499999999999999</v>
      </c>
      <c r="L178" s="21" t="s">
        <v>28</v>
      </c>
      <c r="M178" s="22">
        <v>3.9451999999999998</v>
      </c>
      <c r="N178" s="22">
        <v>0.44999999999999996</v>
      </c>
      <c r="O178" s="22">
        <v>1017.1985435894751</v>
      </c>
      <c r="P178" s="22">
        <f t="shared" si="30"/>
        <v>4615.009448294576</v>
      </c>
      <c r="Q178" s="22">
        <v>2777.0693256854333</v>
      </c>
      <c r="R178" s="22">
        <f t="shared" si="31"/>
        <v>1437.1333760422117</v>
      </c>
      <c r="S178" s="22">
        <f t="shared" si="32"/>
        <v>6052.1428243367882</v>
      </c>
      <c r="T178" s="23">
        <v>0.55859868298040061</v>
      </c>
      <c r="U178" s="24">
        <v>0.1</v>
      </c>
      <c r="V178" s="25">
        <f t="shared" si="34"/>
        <v>10376.148018742659</v>
      </c>
      <c r="W178" s="26" t="s">
        <v>29</v>
      </c>
    </row>
    <row r="179" spans="1:23" ht="89.25" x14ac:dyDescent="0.25">
      <c r="A179" s="17">
        <f t="shared" ca="1" si="33"/>
        <v>175</v>
      </c>
      <c r="B179" s="18" t="s">
        <v>139</v>
      </c>
      <c r="C179" s="18" t="s">
        <v>378</v>
      </c>
      <c r="D179" s="18"/>
      <c r="E179" s="18"/>
      <c r="F179" s="18"/>
      <c r="G179" s="18"/>
      <c r="H179" s="19" t="s">
        <v>379</v>
      </c>
      <c r="I179" s="18" t="s">
        <v>161</v>
      </c>
      <c r="J179" s="20">
        <v>1</v>
      </c>
      <c r="K179" s="20">
        <v>1.1499999999999999</v>
      </c>
      <c r="L179" s="21" t="s">
        <v>28</v>
      </c>
      <c r="M179" s="22">
        <v>4.0004999999999997</v>
      </c>
      <c r="N179" s="22">
        <v>0.44999999999999996</v>
      </c>
      <c r="O179" s="22">
        <v>1017.1985435894751</v>
      </c>
      <c r="P179" s="22">
        <f t="shared" si="30"/>
        <v>4679.698189674149</v>
      </c>
      <c r="Q179" s="22">
        <v>2777.0693256854333</v>
      </c>
      <c r="R179" s="22">
        <f t="shared" si="31"/>
        <v>1437.1333760422117</v>
      </c>
      <c r="S179" s="22">
        <f t="shared" si="32"/>
        <v>6116.8315657163603</v>
      </c>
      <c r="T179" s="23">
        <v>0.55859868298040061</v>
      </c>
      <c r="U179" s="24">
        <v>0.1</v>
      </c>
      <c r="V179" s="25">
        <f t="shared" si="34"/>
        <v>10487.054184572306</v>
      </c>
      <c r="W179" s="26" t="s">
        <v>29</v>
      </c>
    </row>
    <row r="180" spans="1:23" ht="89.25" x14ac:dyDescent="0.25">
      <c r="A180" s="17">
        <f t="shared" ca="1" si="33"/>
        <v>176</v>
      </c>
      <c r="B180" s="18" t="s">
        <v>139</v>
      </c>
      <c r="C180" s="18" t="s">
        <v>380</v>
      </c>
      <c r="D180" s="18"/>
      <c r="E180" s="18"/>
      <c r="F180" s="18"/>
      <c r="G180" s="18"/>
      <c r="H180" s="19" t="s">
        <v>381</v>
      </c>
      <c r="I180" s="18" t="s">
        <v>161</v>
      </c>
      <c r="J180" s="20">
        <v>1</v>
      </c>
      <c r="K180" s="20">
        <v>1.1499999999999999</v>
      </c>
      <c r="L180" s="21" t="s">
        <v>28</v>
      </c>
      <c r="M180" s="22">
        <v>4.5556000000000001</v>
      </c>
      <c r="N180" s="22">
        <v>0.44999999999999996</v>
      </c>
      <c r="O180" s="22">
        <v>1017.1985435894751</v>
      </c>
      <c r="P180" s="22">
        <f t="shared" si="30"/>
        <v>5329.0421379526451</v>
      </c>
      <c r="Q180" s="22">
        <v>2777.0693256854333</v>
      </c>
      <c r="R180" s="22">
        <f t="shared" si="31"/>
        <v>1437.1333760422117</v>
      </c>
      <c r="S180" s="22">
        <f t="shared" si="32"/>
        <v>6766.1755139948564</v>
      </c>
      <c r="T180" s="23">
        <v>0.55859868298040061</v>
      </c>
      <c r="U180" s="24">
        <v>0.1</v>
      </c>
      <c r="V180" s="25">
        <f t="shared" si="34"/>
        <v>11600.327469419281</v>
      </c>
      <c r="W180" s="26" t="s">
        <v>29</v>
      </c>
    </row>
    <row r="181" spans="1:23" ht="89.25" x14ac:dyDescent="0.25">
      <c r="A181" s="17">
        <f t="shared" ca="1" si="33"/>
        <v>177</v>
      </c>
      <c r="B181" s="18" t="s">
        <v>139</v>
      </c>
      <c r="C181" s="18" t="s">
        <v>382</v>
      </c>
      <c r="D181" s="18"/>
      <c r="E181" s="18"/>
      <c r="F181" s="18"/>
      <c r="G181" s="18"/>
      <c r="H181" s="19" t="s">
        <v>383</v>
      </c>
      <c r="I181" s="18" t="s">
        <v>161</v>
      </c>
      <c r="J181" s="20">
        <v>1</v>
      </c>
      <c r="K181" s="20">
        <v>1.1499999999999999</v>
      </c>
      <c r="L181" s="21" t="s">
        <v>28</v>
      </c>
      <c r="M181" s="22">
        <v>4.6116000000000001</v>
      </c>
      <c r="N181" s="22">
        <v>0.44999999999999996</v>
      </c>
      <c r="O181" s="22">
        <v>1017.1985435894751</v>
      </c>
      <c r="P181" s="22">
        <f t="shared" si="30"/>
        <v>5394.5497241598059</v>
      </c>
      <c r="Q181" s="22">
        <v>2777.0693256854333</v>
      </c>
      <c r="R181" s="22">
        <f t="shared" si="31"/>
        <v>1437.1333760422117</v>
      </c>
      <c r="S181" s="22">
        <f t="shared" si="32"/>
        <v>6831.6831002020172</v>
      </c>
      <c r="T181" s="23">
        <v>0.55859868298040061</v>
      </c>
      <c r="U181" s="24">
        <v>0.1</v>
      </c>
      <c r="V181" s="25">
        <f t="shared" si="34"/>
        <v>11712.637510765757</v>
      </c>
      <c r="W181" s="26" t="s">
        <v>29</v>
      </c>
    </row>
    <row r="182" spans="1:23" ht="89.25" x14ac:dyDescent="0.25">
      <c r="A182" s="17">
        <f t="shared" ca="1" si="33"/>
        <v>178</v>
      </c>
      <c r="B182" s="18" t="s">
        <v>139</v>
      </c>
      <c r="C182" s="18" t="s">
        <v>384</v>
      </c>
      <c r="D182" s="18"/>
      <c r="E182" s="18"/>
      <c r="F182" s="18"/>
      <c r="G182" s="18"/>
      <c r="H182" s="19" t="s">
        <v>385</v>
      </c>
      <c r="I182" s="18" t="s">
        <v>161</v>
      </c>
      <c r="J182" s="20">
        <v>1</v>
      </c>
      <c r="K182" s="20">
        <v>1.1499999999999999</v>
      </c>
      <c r="L182" s="21" t="s">
        <v>28</v>
      </c>
      <c r="M182" s="22">
        <v>2.4583999999999997</v>
      </c>
      <c r="N182" s="22">
        <v>0.10439999999999999</v>
      </c>
      <c r="O182" s="22">
        <v>1017.1985435894751</v>
      </c>
      <c r="P182" s="22">
        <f t="shared" si="30"/>
        <v>2875.7830344944196</v>
      </c>
      <c r="Q182" s="22">
        <v>2777.0693256854333</v>
      </c>
      <c r="R182" s="22">
        <f t="shared" si="31"/>
        <v>333.41494324179308</v>
      </c>
      <c r="S182" s="22">
        <f t="shared" si="32"/>
        <v>3209.1979777362126</v>
      </c>
      <c r="T182" s="23">
        <v>0.55859868298040061</v>
      </c>
      <c r="U182" s="24">
        <v>0.1</v>
      </c>
      <c r="V182" s="25">
        <f t="shared" si="34"/>
        <v>5502.0369156753286</v>
      </c>
      <c r="W182" s="26" t="s">
        <v>29</v>
      </c>
    </row>
    <row r="183" spans="1:23" ht="89.25" x14ac:dyDescent="0.25">
      <c r="A183" s="17">
        <f t="shared" ca="1" si="33"/>
        <v>179</v>
      </c>
      <c r="B183" s="18" t="s">
        <v>139</v>
      </c>
      <c r="C183" s="18" t="s">
        <v>386</v>
      </c>
      <c r="D183" s="18"/>
      <c r="E183" s="18"/>
      <c r="F183" s="18"/>
      <c r="G183" s="18"/>
      <c r="H183" s="19" t="s">
        <v>387</v>
      </c>
      <c r="I183" s="18" t="s">
        <v>161</v>
      </c>
      <c r="J183" s="20">
        <v>1</v>
      </c>
      <c r="K183" s="20">
        <v>1.1499999999999999</v>
      </c>
      <c r="L183" s="21" t="s">
        <v>28</v>
      </c>
      <c r="M183" s="22">
        <v>4.3616999999999999</v>
      </c>
      <c r="N183" s="22">
        <v>0.18</v>
      </c>
      <c r="O183" s="22">
        <v>1017.1985435894751</v>
      </c>
      <c r="P183" s="22">
        <f t="shared" si="30"/>
        <v>5102.2221207103448</v>
      </c>
      <c r="Q183" s="22">
        <v>2777.0693256854333</v>
      </c>
      <c r="R183" s="22">
        <f t="shared" si="31"/>
        <v>574.85335041688461</v>
      </c>
      <c r="S183" s="22">
        <f t="shared" si="32"/>
        <v>5677.0754711272293</v>
      </c>
      <c r="T183" s="23">
        <v>0.55859868298040061</v>
      </c>
      <c r="U183" s="24">
        <v>0.1</v>
      </c>
      <c r="V183" s="25">
        <f t="shared" si="34"/>
        <v>9733.1105877271602</v>
      </c>
      <c r="W183" s="26" t="s">
        <v>29</v>
      </c>
    </row>
    <row r="184" spans="1:23" ht="89.25" x14ac:dyDescent="0.25">
      <c r="A184" s="17">
        <f t="shared" ca="1" si="33"/>
        <v>180</v>
      </c>
      <c r="B184" s="18" t="s">
        <v>139</v>
      </c>
      <c r="C184" s="18" t="s">
        <v>388</v>
      </c>
      <c r="D184" s="18"/>
      <c r="E184" s="18"/>
      <c r="F184" s="18"/>
      <c r="G184" s="18"/>
      <c r="H184" s="19" t="s">
        <v>389</v>
      </c>
      <c r="I184" s="18" t="s">
        <v>161</v>
      </c>
      <c r="J184" s="20">
        <v>1</v>
      </c>
      <c r="K184" s="20">
        <v>1.1499999999999999</v>
      </c>
      <c r="L184" s="21" t="s">
        <v>28</v>
      </c>
      <c r="M184" s="22">
        <v>5.1394000000000002</v>
      </c>
      <c r="N184" s="22">
        <v>0.18</v>
      </c>
      <c r="O184" s="22">
        <v>1017.1985435894751</v>
      </c>
      <c r="P184" s="22">
        <f t="shared" si="30"/>
        <v>6011.9587241623103</v>
      </c>
      <c r="Q184" s="22">
        <v>2777.0693256854333</v>
      </c>
      <c r="R184" s="22">
        <f t="shared" si="31"/>
        <v>574.85335041688461</v>
      </c>
      <c r="S184" s="22">
        <f t="shared" si="32"/>
        <v>6586.8120745791948</v>
      </c>
      <c r="T184" s="23">
        <v>0.55859868298040061</v>
      </c>
      <c r="U184" s="24">
        <v>0.1</v>
      </c>
      <c r="V184" s="25">
        <f t="shared" si="34"/>
        <v>11292.816286926385</v>
      </c>
      <c r="W184" s="26" t="s">
        <v>29</v>
      </c>
    </row>
    <row r="185" spans="1:23" ht="89.25" x14ac:dyDescent="0.25">
      <c r="A185" s="17">
        <f t="shared" ca="1" si="33"/>
        <v>181</v>
      </c>
      <c r="B185" s="18" t="s">
        <v>139</v>
      </c>
      <c r="C185" s="18" t="s">
        <v>390</v>
      </c>
      <c r="D185" s="18"/>
      <c r="E185" s="18"/>
      <c r="F185" s="18"/>
      <c r="G185" s="18"/>
      <c r="H185" s="19" t="s">
        <v>391</v>
      </c>
      <c r="I185" s="18" t="s">
        <v>161</v>
      </c>
      <c r="J185" s="20">
        <v>1</v>
      </c>
      <c r="K185" s="20">
        <v>1.1499999999999999</v>
      </c>
      <c r="L185" s="21" t="s">
        <v>28</v>
      </c>
      <c r="M185" s="22">
        <v>6.1032999999999991</v>
      </c>
      <c r="N185" s="22">
        <v>0.44999999999999996</v>
      </c>
      <c r="O185" s="22">
        <v>1017.1985435894751</v>
      </c>
      <c r="P185" s="22">
        <f t="shared" si="30"/>
        <v>7139.5080517530887</v>
      </c>
      <c r="Q185" s="22">
        <v>2777.0693256854333</v>
      </c>
      <c r="R185" s="22">
        <f t="shared" si="31"/>
        <v>1437.1333760422117</v>
      </c>
      <c r="S185" s="22">
        <f t="shared" si="32"/>
        <v>8576.6414277953008</v>
      </c>
      <c r="T185" s="23">
        <v>0.55859868298040061</v>
      </c>
      <c r="U185" s="24">
        <v>0.1</v>
      </c>
      <c r="V185" s="25">
        <f t="shared" si="34"/>
        <v>14704.296237132588</v>
      </c>
      <c r="W185" s="26" t="s">
        <v>29</v>
      </c>
    </row>
    <row r="186" spans="1:23" ht="89.25" x14ac:dyDescent="0.25">
      <c r="A186" s="17">
        <f t="shared" ca="1" si="33"/>
        <v>182</v>
      </c>
      <c r="B186" s="18" t="s">
        <v>139</v>
      </c>
      <c r="C186" s="18" t="s">
        <v>392</v>
      </c>
      <c r="D186" s="18"/>
      <c r="E186" s="18"/>
      <c r="F186" s="18"/>
      <c r="G186" s="18"/>
      <c r="H186" s="19" t="s">
        <v>393</v>
      </c>
      <c r="I186" s="18" t="s">
        <v>161</v>
      </c>
      <c r="J186" s="20">
        <v>1</v>
      </c>
      <c r="K186" s="20">
        <v>1.1499999999999999</v>
      </c>
      <c r="L186" s="21" t="s">
        <v>28</v>
      </c>
      <c r="M186" s="22">
        <v>2.0964999999999998</v>
      </c>
      <c r="N186" s="22">
        <v>0.10439999999999999</v>
      </c>
      <c r="O186" s="22">
        <v>1017.1985435894751</v>
      </c>
      <c r="P186" s="22">
        <f t="shared" si="30"/>
        <v>2452.4402586306346</v>
      </c>
      <c r="Q186" s="22">
        <v>2777.0693256854333</v>
      </c>
      <c r="R186" s="22">
        <f t="shared" si="31"/>
        <v>333.41494324179308</v>
      </c>
      <c r="S186" s="22">
        <f t="shared" si="32"/>
        <v>2785.8552018724276</v>
      </c>
      <c r="T186" s="23">
        <v>0.55859868298040061</v>
      </c>
      <c r="U186" s="24">
        <v>0.1</v>
      </c>
      <c r="V186" s="25">
        <f t="shared" si="34"/>
        <v>4776.2332734737101</v>
      </c>
      <c r="W186" s="26" t="s">
        <v>29</v>
      </c>
    </row>
    <row r="187" spans="1:23" x14ac:dyDescent="0.25">
      <c r="A187" s="12">
        <f t="shared" ca="1" si="33"/>
        <v>183</v>
      </c>
      <c r="B187" s="13" t="s">
        <v>139</v>
      </c>
      <c r="C187" s="13" t="s">
        <v>394</v>
      </c>
      <c r="D187" s="13"/>
      <c r="E187" s="13"/>
      <c r="F187" s="13"/>
      <c r="G187" s="13"/>
      <c r="H187" s="15" t="s">
        <v>395</v>
      </c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27"/>
      <c r="U187" s="16"/>
      <c r="V187" s="13"/>
      <c r="W187" s="13"/>
    </row>
    <row r="188" spans="1:23" ht="89.25" x14ac:dyDescent="0.25">
      <c r="A188" s="17">
        <f t="shared" ca="1" si="33"/>
        <v>184</v>
      </c>
      <c r="B188" s="18" t="s">
        <v>139</v>
      </c>
      <c r="C188" s="18" t="s">
        <v>396</v>
      </c>
      <c r="D188" s="18"/>
      <c r="E188" s="18"/>
      <c r="F188" s="18"/>
      <c r="G188" s="18"/>
      <c r="H188" s="19" t="s">
        <v>397</v>
      </c>
      <c r="I188" s="18" t="s">
        <v>161</v>
      </c>
      <c r="J188" s="20">
        <v>1</v>
      </c>
      <c r="K188" s="20">
        <v>1.1499999999999999</v>
      </c>
      <c r="L188" s="21" t="s">
        <v>28</v>
      </c>
      <c r="M188" s="22">
        <v>0.31779999999999997</v>
      </c>
      <c r="N188" s="22">
        <v>4.4999999999999998E-2</v>
      </c>
      <c r="O188" s="22">
        <v>1017.1985435894751</v>
      </c>
      <c r="P188" s="22">
        <f t="shared" si="30"/>
        <v>371.75555172564538</v>
      </c>
      <c r="Q188" s="22">
        <v>2777.0693256854333</v>
      </c>
      <c r="R188" s="22">
        <f t="shared" si="31"/>
        <v>143.71333760422115</v>
      </c>
      <c r="S188" s="22">
        <f t="shared" si="32"/>
        <v>515.46888932986656</v>
      </c>
      <c r="T188" s="23">
        <v>0.55859868298040061</v>
      </c>
      <c r="U188" s="24">
        <v>0.1</v>
      </c>
      <c r="V188" s="25">
        <f t="shared" ref="V188:V237" si="35">S188+S188*T188+(S188+S188*T188)*U188</f>
        <v>883.75004522958989</v>
      </c>
      <c r="W188" s="26" t="s">
        <v>29</v>
      </c>
    </row>
    <row r="189" spans="1:23" ht="89.25" x14ac:dyDescent="0.25">
      <c r="A189" s="17">
        <f t="shared" ca="1" si="33"/>
        <v>185</v>
      </c>
      <c r="B189" s="18" t="s">
        <v>139</v>
      </c>
      <c r="C189" s="18" t="s">
        <v>398</v>
      </c>
      <c r="D189" s="18"/>
      <c r="E189" s="18"/>
      <c r="F189" s="18"/>
      <c r="G189" s="18"/>
      <c r="H189" s="19" t="s">
        <v>399</v>
      </c>
      <c r="I189" s="18" t="s">
        <v>161</v>
      </c>
      <c r="J189" s="20">
        <v>1</v>
      </c>
      <c r="K189" s="20">
        <v>1.1499999999999999</v>
      </c>
      <c r="L189" s="21" t="s">
        <v>28</v>
      </c>
      <c r="M189" s="22">
        <v>0.20299999999999999</v>
      </c>
      <c r="N189" s="22">
        <v>1.2E-2</v>
      </c>
      <c r="O189" s="22">
        <v>1017.1985435894751</v>
      </c>
      <c r="P189" s="22">
        <f t="shared" si="30"/>
        <v>237.4650000009629</v>
      </c>
      <c r="Q189" s="22">
        <v>2777.0693256854333</v>
      </c>
      <c r="R189" s="22">
        <f t="shared" si="31"/>
        <v>38.323556694458979</v>
      </c>
      <c r="S189" s="22">
        <f t="shared" si="32"/>
        <v>275.7885566954219</v>
      </c>
      <c r="T189" s="23">
        <v>0.55859868298040061</v>
      </c>
      <c r="U189" s="24">
        <v>0.1</v>
      </c>
      <c r="V189" s="25">
        <f t="shared" si="35"/>
        <v>472.82804937120511</v>
      </c>
      <c r="W189" s="26" t="s">
        <v>29</v>
      </c>
    </row>
    <row r="190" spans="1:23" ht="89.25" x14ac:dyDescent="0.25">
      <c r="A190" s="17">
        <f t="shared" ca="1" si="33"/>
        <v>186</v>
      </c>
      <c r="B190" s="18" t="s">
        <v>139</v>
      </c>
      <c r="C190" s="18" t="s">
        <v>400</v>
      </c>
      <c r="D190" s="18"/>
      <c r="E190" s="18"/>
      <c r="F190" s="18"/>
      <c r="G190" s="18"/>
      <c r="H190" s="19" t="s">
        <v>401</v>
      </c>
      <c r="I190" s="18" t="s">
        <v>161</v>
      </c>
      <c r="J190" s="20">
        <v>1</v>
      </c>
      <c r="K190" s="20">
        <v>1.1499999999999999</v>
      </c>
      <c r="L190" s="21" t="s">
        <v>28</v>
      </c>
      <c r="M190" s="22">
        <v>0.21629999999999999</v>
      </c>
      <c r="N190" s="22">
        <v>1.2E-2</v>
      </c>
      <c r="O190" s="22">
        <v>1017.1985435894751</v>
      </c>
      <c r="P190" s="22">
        <f t="shared" si="30"/>
        <v>253.02305172516395</v>
      </c>
      <c r="Q190" s="22">
        <v>2777.0693256854333</v>
      </c>
      <c r="R190" s="22">
        <f t="shared" si="31"/>
        <v>38.323556694458979</v>
      </c>
      <c r="S190" s="22">
        <f t="shared" si="32"/>
        <v>291.34660841962295</v>
      </c>
      <c r="T190" s="23">
        <v>0.55859868298040061</v>
      </c>
      <c r="U190" s="24">
        <v>0.1</v>
      </c>
      <c r="V190" s="25">
        <f t="shared" si="35"/>
        <v>499.50168419099396</v>
      </c>
      <c r="W190" s="26" t="s">
        <v>29</v>
      </c>
    </row>
    <row r="191" spans="1:23" ht="89.25" x14ac:dyDescent="0.25">
      <c r="A191" s="17">
        <f t="shared" ca="1" si="33"/>
        <v>187</v>
      </c>
      <c r="B191" s="18" t="s">
        <v>139</v>
      </c>
      <c r="C191" s="18" t="s">
        <v>402</v>
      </c>
      <c r="D191" s="18"/>
      <c r="E191" s="18"/>
      <c r="F191" s="18"/>
      <c r="G191" s="18"/>
      <c r="H191" s="19" t="s">
        <v>403</v>
      </c>
      <c r="I191" s="18" t="s">
        <v>161</v>
      </c>
      <c r="J191" s="20">
        <v>1</v>
      </c>
      <c r="K191" s="20">
        <v>1.1499999999999999</v>
      </c>
      <c r="L191" s="21" t="s">
        <v>28</v>
      </c>
      <c r="M191" s="22">
        <v>0.22259999999999999</v>
      </c>
      <c r="N191" s="22">
        <v>1.2E-2</v>
      </c>
      <c r="O191" s="22">
        <v>1017.1985435894751</v>
      </c>
      <c r="P191" s="22">
        <f t="shared" ref="P191:P254" si="36">O191*M191*K191</f>
        <v>260.39265517346968</v>
      </c>
      <c r="Q191" s="22">
        <v>2777.0693256854333</v>
      </c>
      <c r="R191" s="22">
        <f t="shared" ref="R191:R254" si="37">N191*Q191*K191</f>
        <v>38.323556694458979</v>
      </c>
      <c r="S191" s="22">
        <f t="shared" ref="S191:S254" si="38">P191+R191</f>
        <v>298.71621186792868</v>
      </c>
      <c r="T191" s="23">
        <v>0.55859868298040061</v>
      </c>
      <c r="U191" s="24">
        <v>0.1</v>
      </c>
      <c r="V191" s="25">
        <f t="shared" si="35"/>
        <v>512.1365638424727</v>
      </c>
      <c r="W191" s="26" t="s">
        <v>29</v>
      </c>
    </row>
    <row r="192" spans="1:23" ht="89.25" x14ac:dyDescent="0.25">
      <c r="A192" s="17">
        <f t="shared" ca="1" si="33"/>
        <v>188</v>
      </c>
      <c r="B192" s="18" t="s">
        <v>139</v>
      </c>
      <c r="C192" s="18" t="s">
        <v>404</v>
      </c>
      <c r="D192" s="18"/>
      <c r="E192" s="18"/>
      <c r="F192" s="18"/>
      <c r="G192" s="18"/>
      <c r="H192" s="19" t="s">
        <v>405</v>
      </c>
      <c r="I192" s="18" t="s">
        <v>161</v>
      </c>
      <c r="J192" s="20">
        <v>1</v>
      </c>
      <c r="K192" s="20">
        <v>1.1499999999999999</v>
      </c>
      <c r="L192" s="21" t="s">
        <v>28</v>
      </c>
      <c r="M192" s="22">
        <v>0.24289999999999998</v>
      </c>
      <c r="N192" s="22">
        <v>1.2E-2</v>
      </c>
      <c r="O192" s="22">
        <v>1017.1985435894751</v>
      </c>
      <c r="P192" s="22">
        <f t="shared" si="36"/>
        <v>284.139155173566</v>
      </c>
      <c r="Q192" s="22">
        <v>2777.0693256854333</v>
      </c>
      <c r="R192" s="22">
        <f t="shared" si="37"/>
        <v>38.323556694458979</v>
      </c>
      <c r="S192" s="22">
        <f t="shared" si="38"/>
        <v>322.462711868025</v>
      </c>
      <c r="T192" s="23">
        <v>0.55859868298040061</v>
      </c>
      <c r="U192" s="24">
        <v>0.1</v>
      </c>
      <c r="V192" s="25">
        <f t="shared" si="35"/>
        <v>552.8489538305713</v>
      </c>
      <c r="W192" s="26" t="s">
        <v>29</v>
      </c>
    </row>
    <row r="193" spans="1:23" ht="89.25" x14ac:dyDescent="0.25">
      <c r="A193" s="17">
        <f t="shared" ca="1" si="33"/>
        <v>189</v>
      </c>
      <c r="B193" s="18" t="s">
        <v>139</v>
      </c>
      <c r="C193" s="18" t="s">
        <v>406</v>
      </c>
      <c r="D193" s="18"/>
      <c r="E193" s="18"/>
      <c r="F193" s="18"/>
      <c r="G193" s="18"/>
      <c r="H193" s="19" t="s">
        <v>407</v>
      </c>
      <c r="I193" s="18" t="s">
        <v>161</v>
      </c>
      <c r="J193" s="20">
        <v>1</v>
      </c>
      <c r="K193" s="20">
        <v>1.1499999999999999</v>
      </c>
      <c r="L193" s="21" t="s">
        <v>28</v>
      </c>
      <c r="M193" s="22">
        <v>0.25619999999999998</v>
      </c>
      <c r="N193" s="22">
        <v>1.2E-2</v>
      </c>
      <c r="O193" s="22">
        <v>1017.1985435894751</v>
      </c>
      <c r="P193" s="22">
        <f t="shared" si="36"/>
        <v>299.69720689776699</v>
      </c>
      <c r="Q193" s="22">
        <v>2777.0693256854333</v>
      </c>
      <c r="R193" s="22">
        <f t="shared" si="37"/>
        <v>38.323556694458979</v>
      </c>
      <c r="S193" s="22">
        <f t="shared" si="38"/>
        <v>338.02076359222599</v>
      </c>
      <c r="T193" s="23">
        <v>0.55859868298040061</v>
      </c>
      <c r="U193" s="24">
        <v>0.1</v>
      </c>
      <c r="V193" s="25">
        <f t="shared" si="35"/>
        <v>579.52258865036003</v>
      </c>
      <c r="W193" s="26" t="s">
        <v>29</v>
      </c>
    </row>
    <row r="194" spans="1:23" ht="89.25" x14ac:dyDescent="0.25">
      <c r="A194" s="17">
        <f t="shared" ca="1" si="33"/>
        <v>190</v>
      </c>
      <c r="B194" s="18" t="s">
        <v>139</v>
      </c>
      <c r="C194" s="18" t="s">
        <v>408</v>
      </c>
      <c r="D194" s="18"/>
      <c r="E194" s="18"/>
      <c r="F194" s="18"/>
      <c r="G194" s="18"/>
      <c r="H194" s="19" t="s">
        <v>409</v>
      </c>
      <c r="I194" s="18" t="s">
        <v>161</v>
      </c>
      <c r="J194" s="20">
        <v>1</v>
      </c>
      <c r="K194" s="20">
        <v>1.1499999999999999</v>
      </c>
      <c r="L194" s="21" t="s">
        <v>28</v>
      </c>
      <c r="M194" s="22">
        <v>0.8364999999999998</v>
      </c>
      <c r="N194" s="22">
        <v>0.18</v>
      </c>
      <c r="O194" s="22">
        <v>1017.1985435894751</v>
      </c>
      <c r="P194" s="22">
        <f t="shared" si="36"/>
        <v>978.51956896948491</v>
      </c>
      <c r="Q194" s="22">
        <v>2777.0693256854333</v>
      </c>
      <c r="R194" s="22">
        <f t="shared" si="37"/>
        <v>574.85335041688461</v>
      </c>
      <c r="S194" s="22">
        <f t="shared" si="38"/>
        <v>1553.3729193863696</v>
      </c>
      <c r="T194" s="23">
        <v>0.55859868298040061</v>
      </c>
      <c r="U194" s="24">
        <v>0.1</v>
      </c>
      <c r="V194" s="25">
        <f t="shared" si="35"/>
        <v>2663.1934849663176</v>
      </c>
      <c r="W194" s="26" t="s">
        <v>29</v>
      </c>
    </row>
    <row r="195" spans="1:23" ht="89.25" x14ac:dyDescent="0.25">
      <c r="A195" s="17">
        <f t="shared" ref="A195:A258" ca="1" si="39">CELL("строка",A195)-4</f>
        <v>191</v>
      </c>
      <c r="B195" s="18" t="s">
        <v>139</v>
      </c>
      <c r="C195" s="18" t="s">
        <v>410</v>
      </c>
      <c r="D195" s="18"/>
      <c r="E195" s="18"/>
      <c r="F195" s="18"/>
      <c r="G195" s="18"/>
      <c r="H195" s="19" t="s">
        <v>411</v>
      </c>
      <c r="I195" s="18" t="s">
        <v>161</v>
      </c>
      <c r="J195" s="20">
        <v>1</v>
      </c>
      <c r="K195" s="20">
        <v>1.1499999999999999</v>
      </c>
      <c r="L195" s="21" t="s">
        <v>28</v>
      </c>
      <c r="M195" s="22">
        <v>0.86449999999999982</v>
      </c>
      <c r="N195" s="22">
        <v>0.18</v>
      </c>
      <c r="O195" s="22">
        <v>1017.1985435894751</v>
      </c>
      <c r="P195" s="22">
        <f t="shared" si="36"/>
        <v>1011.2733620730661</v>
      </c>
      <c r="Q195" s="22">
        <v>2777.0693256854333</v>
      </c>
      <c r="R195" s="22">
        <f t="shared" si="37"/>
        <v>574.85335041688461</v>
      </c>
      <c r="S195" s="22">
        <f t="shared" si="38"/>
        <v>1586.1267124899507</v>
      </c>
      <c r="T195" s="23">
        <v>0.55859868298040061</v>
      </c>
      <c r="U195" s="24">
        <v>0.1</v>
      </c>
      <c r="V195" s="25">
        <f t="shared" si="35"/>
        <v>2719.3485056395566</v>
      </c>
      <c r="W195" s="26" t="s">
        <v>29</v>
      </c>
    </row>
    <row r="196" spans="1:23" ht="89.25" x14ac:dyDescent="0.25">
      <c r="A196" s="17">
        <f t="shared" ca="1" si="39"/>
        <v>192</v>
      </c>
      <c r="B196" s="18" t="s">
        <v>139</v>
      </c>
      <c r="C196" s="18" t="s">
        <v>412</v>
      </c>
      <c r="D196" s="18"/>
      <c r="E196" s="18"/>
      <c r="F196" s="18"/>
      <c r="G196" s="18"/>
      <c r="H196" s="19" t="s">
        <v>413</v>
      </c>
      <c r="I196" s="18" t="s">
        <v>161</v>
      </c>
      <c r="J196" s="20">
        <v>1</v>
      </c>
      <c r="K196" s="20">
        <v>1.1499999999999999</v>
      </c>
      <c r="L196" s="21" t="s">
        <v>28</v>
      </c>
      <c r="M196" s="22">
        <v>1.6638999999999997</v>
      </c>
      <c r="N196" s="22">
        <v>0.18</v>
      </c>
      <c r="O196" s="22">
        <v>1017.1985435894751</v>
      </c>
      <c r="P196" s="22">
        <f t="shared" si="36"/>
        <v>1946.3941551803064</v>
      </c>
      <c r="Q196" s="22">
        <v>2777.0693256854333</v>
      </c>
      <c r="R196" s="22">
        <f t="shared" si="37"/>
        <v>574.85335041688461</v>
      </c>
      <c r="S196" s="22">
        <f t="shared" si="38"/>
        <v>2521.2475055971909</v>
      </c>
      <c r="T196" s="23">
        <v>0.55859868298040061</v>
      </c>
      <c r="U196" s="24">
        <v>0.1</v>
      </c>
      <c r="V196" s="25">
        <f t="shared" si="35"/>
        <v>4322.5743458605421</v>
      </c>
      <c r="W196" s="26" t="s">
        <v>29</v>
      </c>
    </row>
    <row r="197" spans="1:23" ht="89.25" x14ac:dyDescent="0.25">
      <c r="A197" s="17">
        <f t="shared" ca="1" si="39"/>
        <v>193</v>
      </c>
      <c r="B197" s="18" t="s">
        <v>139</v>
      </c>
      <c r="C197" s="18" t="s">
        <v>414</v>
      </c>
      <c r="D197" s="18"/>
      <c r="E197" s="18"/>
      <c r="F197" s="18"/>
      <c r="G197" s="18"/>
      <c r="H197" s="19" t="s">
        <v>415</v>
      </c>
      <c r="I197" s="18" t="s">
        <v>161</v>
      </c>
      <c r="J197" s="20">
        <v>1</v>
      </c>
      <c r="K197" s="20">
        <v>1.1499999999999999</v>
      </c>
      <c r="L197" s="21" t="s">
        <v>28</v>
      </c>
      <c r="M197" s="22">
        <v>1.7198999999999998</v>
      </c>
      <c r="N197" s="22">
        <v>0.18</v>
      </c>
      <c r="O197" s="22">
        <v>1017.1985435894751</v>
      </c>
      <c r="P197" s="22">
        <f t="shared" si="36"/>
        <v>2011.9017413874683</v>
      </c>
      <c r="Q197" s="22">
        <v>2777.0693256854333</v>
      </c>
      <c r="R197" s="22">
        <f t="shared" si="37"/>
        <v>574.85335041688461</v>
      </c>
      <c r="S197" s="22">
        <f t="shared" si="38"/>
        <v>2586.755091804353</v>
      </c>
      <c r="T197" s="23">
        <v>0.55859868298040061</v>
      </c>
      <c r="U197" s="24">
        <v>0.1</v>
      </c>
      <c r="V197" s="25">
        <f t="shared" si="35"/>
        <v>4434.8843872070211</v>
      </c>
      <c r="W197" s="26" t="s">
        <v>29</v>
      </c>
    </row>
    <row r="198" spans="1:23" ht="89.25" x14ac:dyDescent="0.25">
      <c r="A198" s="17">
        <f t="shared" ca="1" si="39"/>
        <v>194</v>
      </c>
      <c r="B198" s="18" t="s">
        <v>139</v>
      </c>
      <c r="C198" s="18" t="s">
        <v>416</v>
      </c>
      <c r="D198" s="18"/>
      <c r="E198" s="18"/>
      <c r="F198" s="18"/>
      <c r="G198" s="18"/>
      <c r="H198" s="19" t="s">
        <v>417</v>
      </c>
      <c r="I198" s="18" t="s">
        <v>161</v>
      </c>
      <c r="J198" s="20">
        <v>1</v>
      </c>
      <c r="K198" s="20">
        <v>1.1499999999999999</v>
      </c>
      <c r="L198" s="21" t="s">
        <v>28</v>
      </c>
      <c r="M198" s="22">
        <v>2.5717999999999996</v>
      </c>
      <c r="N198" s="22">
        <v>0.44999999999999996</v>
      </c>
      <c r="O198" s="22">
        <v>1017.1985435894751</v>
      </c>
      <c r="P198" s="22">
        <f t="shared" si="36"/>
        <v>3008.4358965639231</v>
      </c>
      <c r="Q198" s="22">
        <v>2777.0693256854333</v>
      </c>
      <c r="R198" s="22">
        <f t="shared" si="37"/>
        <v>1437.1333760422117</v>
      </c>
      <c r="S198" s="22">
        <f t="shared" si="38"/>
        <v>4445.5692726061352</v>
      </c>
      <c r="T198" s="23">
        <v>0.55859868298040061</v>
      </c>
      <c r="U198" s="24">
        <v>0.1</v>
      </c>
      <c r="V198" s="25">
        <f t="shared" si="35"/>
        <v>7621.7442547202663</v>
      </c>
      <c r="W198" s="26" t="s">
        <v>29</v>
      </c>
    </row>
    <row r="199" spans="1:23" ht="89.25" x14ac:dyDescent="0.25">
      <c r="A199" s="17">
        <f t="shared" ca="1" si="39"/>
        <v>195</v>
      </c>
      <c r="B199" s="18" t="s">
        <v>139</v>
      </c>
      <c r="C199" s="18" t="s">
        <v>418</v>
      </c>
      <c r="D199" s="18"/>
      <c r="E199" s="18"/>
      <c r="F199" s="18"/>
      <c r="G199" s="18"/>
      <c r="H199" s="19" t="s">
        <v>419</v>
      </c>
      <c r="I199" s="18" t="s">
        <v>161</v>
      </c>
      <c r="J199" s="20">
        <v>1</v>
      </c>
      <c r="K199" s="20">
        <v>1.1499999999999999</v>
      </c>
      <c r="L199" s="21" t="s">
        <v>28</v>
      </c>
      <c r="M199" s="22">
        <v>0.42000000000000004</v>
      </c>
      <c r="N199" s="22">
        <v>4.4999999999999998E-2</v>
      </c>
      <c r="O199" s="22">
        <v>1017.1985435894751</v>
      </c>
      <c r="P199" s="22">
        <f t="shared" si="36"/>
        <v>491.30689655371646</v>
      </c>
      <c r="Q199" s="22">
        <v>2777.0693256854333</v>
      </c>
      <c r="R199" s="22">
        <f t="shared" si="37"/>
        <v>143.71333760422115</v>
      </c>
      <c r="S199" s="22">
        <f t="shared" si="38"/>
        <v>635.02023415793758</v>
      </c>
      <c r="T199" s="23">
        <v>0.55859868298040061</v>
      </c>
      <c r="U199" s="24">
        <v>0.1</v>
      </c>
      <c r="V199" s="25">
        <f t="shared" si="35"/>
        <v>1088.7158706869138</v>
      </c>
      <c r="W199" s="26" t="s">
        <v>29</v>
      </c>
    </row>
    <row r="200" spans="1:23" ht="89.25" x14ac:dyDescent="0.25">
      <c r="A200" s="17">
        <f t="shared" ca="1" si="39"/>
        <v>196</v>
      </c>
      <c r="B200" s="18" t="s">
        <v>139</v>
      </c>
      <c r="C200" s="18" t="s">
        <v>420</v>
      </c>
      <c r="D200" s="18"/>
      <c r="E200" s="18"/>
      <c r="F200" s="18"/>
      <c r="G200" s="18"/>
      <c r="H200" s="19" t="s">
        <v>421</v>
      </c>
      <c r="I200" s="18" t="s">
        <v>161</v>
      </c>
      <c r="J200" s="20">
        <v>1</v>
      </c>
      <c r="K200" s="20">
        <v>1.1499999999999999</v>
      </c>
      <c r="L200" s="21" t="s">
        <v>28</v>
      </c>
      <c r="M200" s="22">
        <v>0.59010000000000007</v>
      </c>
      <c r="N200" s="22">
        <v>4.4999999999999998E-2</v>
      </c>
      <c r="O200" s="22">
        <v>1017.1985435894751</v>
      </c>
      <c r="P200" s="22">
        <f t="shared" si="36"/>
        <v>690.28618965797159</v>
      </c>
      <c r="Q200" s="22">
        <v>2777.0693256854333</v>
      </c>
      <c r="R200" s="22">
        <f t="shared" si="37"/>
        <v>143.71333760422115</v>
      </c>
      <c r="S200" s="22">
        <f t="shared" si="38"/>
        <v>833.99952726219271</v>
      </c>
      <c r="T200" s="23">
        <v>0.55859868298040061</v>
      </c>
      <c r="U200" s="24">
        <v>0.1</v>
      </c>
      <c r="V200" s="25">
        <f t="shared" si="35"/>
        <v>1429.8576212768435</v>
      </c>
      <c r="W200" s="26" t="s">
        <v>29</v>
      </c>
    </row>
    <row r="201" spans="1:23" ht="89.25" x14ac:dyDescent="0.25">
      <c r="A201" s="17">
        <f t="shared" ca="1" si="39"/>
        <v>197</v>
      </c>
      <c r="B201" s="18" t="s">
        <v>139</v>
      </c>
      <c r="C201" s="18" t="s">
        <v>422</v>
      </c>
      <c r="D201" s="18"/>
      <c r="E201" s="18"/>
      <c r="F201" s="18"/>
      <c r="G201" s="18"/>
      <c r="H201" s="19" t="s">
        <v>423</v>
      </c>
      <c r="I201" s="18" t="s">
        <v>161</v>
      </c>
      <c r="J201" s="20">
        <v>1</v>
      </c>
      <c r="K201" s="20">
        <v>1.1499999999999999</v>
      </c>
      <c r="L201" s="21" t="s">
        <v>28</v>
      </c>
      <c r="M201" s="22">
        <v>0.67130000000000001</v>
      </c>
      <c r="N201" s="22">
        <v>4.4999999999999998E-2</v>
      </c>
      <c r="O201" s="22">
        <v>1017.1985435894751</v>
      </c>
      <c r="P201" s="22">
        <f t="shared" si="36"/>
        <v>785.27218965835687</v>
      </c>
      <c r="Q201" s="22">
        <v>2777.0693256854333</v>
      </c>
      <c r="R201" s="22">
        <f t="shared" si="37"/>
        <v>143.71333760422115</v>
      </c>
      <c r="S201" s="22">
        <f t="shared" si="38"/>
        <v>928.98552726257799</v>
      </c>
      <c r="T201" s="23">
        <v>0.55859868298040061</v>
      </c>
      <c r="U201" s="24">
        <v>0.1</v>
      </c>
      <c r="V201" s="25">
        <f t="shared" si="35"/>
        <v>1592.7071812292379</v>
      </c>
      <c r="W201" s="26" t="s">
        <v>29</v>
      </c>
    </row>
    <row r="202" spans="1:23" ht="89.25" x14ac:dyDescent="0.25">
      <c r="A202" s="17">
        <f t="shared" ca="1" si="39"/>
        <v>198</v>
      </c>
      <c r="B202" s="18" t="s">
        <v>139</v>
      </c>
      <c r="C202" s="18" t="s">
        <v>424</v>
      </c>
      <c r="D202" s="18"/>
      <c r="E202" s="18"/>
      <c r="F202" s="18"/>
      <c r="G202" s="18"/>
      <c r="H202" s="19" t="s">
        <v>425</v>
      </c>
      <c r="I202" s="18" t="s">
        <v>161</v>
      </c>
      <c r="J202" s="20">
        <v>1</v>
      </c>
      <c r="K202" s="20">
        <v>1.1499999999999999</v>
      </c>
      <c r="L202" s="21" t="s">
        <v>28</v>
      </c>
      <c r="M202" s="22">
        <v>0.75319999999999987</v>
      </c>
      <c r="N202" s="22">
        <v>4.4999999999999998E-2</v>
      </c>
      <c r="O202" s="22">
        <v>1017.1985435894751</v>
      </c>
      <c r="P202" s="22">
        <f t="shared" si="36"/>
        <v>881.07703448633129</v>
      </c>
      <c r="Q202" s="22">
        <v>2777.0693256854333</v>
      </c>
      <c r="R202" s="22">
        <f t="shared" si="37"/>
        <v>143.71333760422115</v>
      </c>
      <c r="S202" s="22">
        <f t="shared" si="38"/>
        <v>1024.7903720905524</v>
      </c>
      <c r="T202" s="23">
        <v>0.55859868298040061</v>
      </c>
      <c r="U202" s="24">
        <v>0.1</v>
      </c>
      <c r="V202" s="25">
        <f t="shared" si="35"/>
        <v>1756.9606166984629</v>
      </c>
      <c r="W202" s="26" t="s">
        <v>29</v>
      </c>
    </row>
    <row r="203" spans="1:23" ht="89.25" x14ac:dyDescent="0.25">
      <c r="A203" s="17">
        <f t="shared" ca="1" si="39"/>
        <v>199</v>
      </c>
      <c r="B203" s="18" t="s">
        <v>139</v>
      </c>
      <c r="C203" s="18" t="s">
        <v>426</v>
      </c>
      <c r="D203" s="18"/>
      <c r="E203" s="18"/>
      <c r="F203" s="18"/>
      <c r="G203" s="18"/>
      <c r="H203" s="19" t="s">
        <v>427</v>
      </c>
      <c r="I203" s="18" t="s">
        <v>161</v>
      </c>
      <c r="J203" s="20">
        <v>1</v>
      </c>
      <c r="K203" s="20">
        <v>1.1499999999999999</v>
      </c>
      <c r="L203" s="21" t="s">
        <v>28</v>
      </c>
      <c r="M203" s="22">
        <v>1.6743999999999999</v>
      </c>
      <c r="N203" s="22">
        <v>4.4999999999999998E-2</v>
      </c>
      <c r="O203" s="22">
        <v>1017.1985435894751</v>
      </c>
      <c r="P203" s="22">
        <f t="shared" si="36"/>
        <v>1958.6768275941495</v>
      </c>
      <c r="Q203" s="22">
        <v>2777.0693256854333</v>
      </c>
      <c r="R203" s="22">
        <f t="shared" si="37"/>
        <v>143.71333760422115</v>
      </c>
      <c r="S203" s="22">
        <f t="shared" si="38"/>
        <v>2102.3901651983706</v>
      </c>
      <c r="T203" s="23">
        <v>0.55859868298040061</v>
      </c>
      <c r="U203" s="24">
        <v>0.1</v>
      </c>
      <c r="V203" s="25">
        <f t="shared" si="35"/>
        <v>3604.4607968480395</v>
      </c>
      <c r="W203" s="26" t="s">
        <v>29</v>
      </c>
    </row>
    <row r="204" spans="1:23" ht="89.25" x14ac:dyDescent="0.25">
      <c r="A204" s="17">
        <f t="shared" ca="1" si="39"/>
        <v>200</v>
      </c>
      <c r="B204" s="18" t="s">
        <v>139</v>
      </c>
      <c r="C204" s="18" t="s">
        <v>428</v>
      </c>
      <c r="D204" s="18"/>
      <c r="E204" s="18"/>
      <c r="F204" s="18"/>
      <c r="G204" s="18"/>
      <c r="H204" s="19" t="s">
        <v>429</v>
      </c>
      <c r="I204" s="18" t="s">
        <v>161</v>
      </c>
      <c r="J204" s="20">
        <v>1</v>
      </c>
      <c r="K204" s="20">
        <v>1.1499999999999999</v>
      </c>
      <c r="L204" s="21" t="s">
        <v>28</v>
      </c>
      <c r="M204" s="22">
        <v>1.8409999999999997</v>
      </c>
      <c r="N204" s="22">
        <v>4.4999999999999998E-2</v>
      </c>
      <c r="O204" s="22">
        <v>1017.1985435894751</v>
      </c>
      <c r="P204" s="22">
        <f t="shared" si="36"/>
        <v>2153.5618965604567</v>
      </c>
      <c r="Q204" s="22">
        <v>2777.0693256854333</v>
      </c>
      <c r="R204" s="22">
        <f t="shared" si="37"/>
        <v>143.71333760422115</v>
      </c>
      <c r="S204" s="22">
        <f t="shared" si="38"/>
        <v>2297.2752341646778</v>
      </c>
      <c r="T204" s="23">
        <v>0.55859868298040061</v>
      </c>
      <c r="U204" s="24">
        <v>0.1</v>
      </c>
      <c r="V204" s="25">
        <f t="shared" si="35"/>
        <v>3938.5831698538141</v>
      </c>
      <c r="W204" s="26" t="s">
        <v>29</v>
      </c>
    </row>
    <row r="205" spans="1:23" ht="89.25" x14ac:dyDescent="0.25">
      <c r="A205" s="17">
        <f t="shared" ca="1" si="39"/>
        <v>201</v>
      </c>
      <c r="B205" s="18" t="s">
        <v>139</v>
      </c>
      <c r="C205" s="18" t="s">
        <v>430</v>
      </c>
      <c r="D205" s="18"/>
      <c r="E205" s="18"/>
      <c r="F205" s="18"/>
      <c r="G205" s="18"/>
      <c r="H205" s="19" t="s">
        <v>431</v>
      </c>
      <c r="I205" s="18" t="s">
        <v>161</v>
      </c>
      <c r="J205" s="20">
        <v>1</v>
      </c>
      <c r="K205" s="20">
        <v>1.1499999999999999</v>
      </c>
      <c r="L205" s="21" t="s">
        <v>28</v>
      </c>
      <c r="M205" s="22">
        <v>2.3225999999999996</v>
      </c>
      <c r="N205" s="22">
        <v>0.18</v>
      </c>
      <c r="O205" s="22">
        <v>1017.1985435894751</v>
      </c>
      <c r="P205" s="22">
        <f t="shared" si="36"/>
        <v>2716.9271379420516</v>
      </c>
      <c r="Q205" s="22">
        <v>2777.0693256854333</v>
      </c>
      <c r="R205" s="22">
        <f t="shared" si="37"/>
        <v>574.85335041688461</v>
      </c>
      <c r="S205" s="22">
        <f t="shared" si="38"/>
        <v>3291.7804883589361</v>
      </c>
      <c r="T205" s="23">
        <v>0.55859868298040061</v>
      </c>
      <c r="U205" s="24">
        <v>0.1</v>
      </c>
      <c r="V205" s="25">
        <f t="shared" si="35"/>
        <v>5643.6212071984992</v>
      </c>
      <c r="W205" s="26" t="s">
        <v>29</v>
      </c>
    </row>
    <row r="206" spans="1:23" ht="89.25" x14ac:dyDescent="0.25">
      <c r="A206" s="17">
        <f t="shared" ca="1" si="39"/>
        <v>202</v>
      </c>
      <c r="B206" s="18" t="s">
        <v>139</v>
      </c>
      <c r="C206" s="18" t="s">
        <v>432</v>
      </c>
      <c r="D206" s="18"/>
      <c r="E206" s="18"/>
      <c r="F206" s="18"/>
      <c r="G206" s="18"/>
      <c r="H206" s="19" t="s">
        <v>433</v>
      </c>
      <c r="I206" s="18" t="s">
        <v>161</v>
      </c>
      <c r="J206" s="20">
        <v>1</v>
      </c>
      <c r="K206" s="20">
        <v>1.1499999999999999</v>
      </c>
      <c r="L206" s="21" t="s">
        <v>28</v>
      </c>
      <c r="M206" s="22">
        <v>2.4891999999999994</v>
      </c>
      <c r="N206" s="22">
        <v>0.18</v>
      </c>
      <c r="O206" s="22">
        <v>1017.1985435894751</v>
      </c>
      <c r="P206" s="22">
        <f t="shared" si="36"/>
        <v>2911.8122069083588</v>
      </c>
      <c r="Q206" s="22">
        <v>2777.0693256854333</v>
      </c>
      <c r="R206" s="22">
        <f t="shared" si="37"/>
        <v>574.85335041688461</v>
      </c>
      <c r="S206" s="22">
        <f t="shared" si="38"/>
        <v>3486.6655573252433</v>
      </c>
      <c r="T206" s="23">
        <v>0.55859868298040061</v>
      </c>
      <c r="U206" s="24">
        <v>0.1</v>
      </c>
      <c r="V206" s="25">
        <f t="shared" si="35"/>
        <v>5977.7435802042728</v>
      </c>
      <c r="W206" s="26" t="s">
        <v>29</v>
      </c>
    </row>
    <row r="207" spans="1:23" ht="89.25" x14ac:dyDescent="0.25">
      <c r="A207" s="17">
        <f t="shared" ca="1" si="39"/>
        <v>203</v>
      </c>
      <c r="B207" s="18" t="s">
        <v>139</v>
      </c>
      <c r="C207" s="18" t="s">
        <v>434</v>
      </c>
      <c r="D207" s="18"/>
      <c r="E207" s="18"/>
      <c r="F207" s="18"/>
      <c r="G207" s="18"/>
      <c r="H207" s="19" t="s">
        <v>435</v>
      </c>
      <c r="I207" s="18" t="s">
        <v>161</v>
      </c>
      <c r="J207" s="20">
        <v>1</v>
      </c>
      <c r="K207" s="20">
        <v>1.1499999999999999</v>
      </c>
      <c r="L207" s="21" t="s">
        <v>28</v>
      </c>
      <c r="M207" s="22">
        <v>2.6564999999999999</v>
      </c>
      <c r="N207" s="22">
        <v>0.18</v>
      </c>
      <c r="O207" s="22">
        <v>1017.1985435894751</v>
      </c>
      <c r="P207" s="22">
        <f t="shared" si="36"/>
        <v>3107.5161207022566</v>
      </c>
      <c r="Q207" s="22">
        <v>2777.0693256854333</v>
      </c>
      <c r="R207" s="22">
        <f t="shared" si="37"/>
        <v>574.85335041688461</v>
      </c>
      <c r="S207" s="22">
        <f t="shared" si="38"/>
        <v>3682.3694711191411</v>
      </c>
      <c r="T207" s="23">
        <v>0.55859868298040061</v>
      </c>
      <c r="U207" s="24">
        <v>0.1</v>
      </c>
      <c r="V207" s="25">
        <f t="shared" si="35"/>
        <v>6313.2698287268804</v>
      </c>
      <c r="W207" s="26" t="s">
        <v>29</v>
      </c>
    </row>
    <row r="208" spans="1:23" ht="89.25" x14ac:dyDescent="0.25">
      <c r="A208" s="17">
        <f t="shared" ca="1" si="39"/>
        <v>204</v>
      </c>
      <c r="B208" s="18" t="s">
        <v>139</v>
      </c>
      <c r="C208" s="18" t="s">
        <v>436</v>
      </c>
      <c r="D208" s="18"/>
      <c r="E208" s="18"/>
      <c r="F208" s="18"/>
      <c r="G208" s="18"/>
      <c r="H208" s="19" t="s">
        <v>437</v>
      </c>
      <c r="I208" s="18" t="s">
        <v>161</v>
      </c>
      <c r="J208" s="20">
        <v>1</v>
      </c>
      <c r="K208" s="20">
        <v>1.1499999999999999</v>
      </c>
      <c r="L208" s="21" t="s">
        <v>28</v>
      </c>
      <c r="M208" s="22">
        <v>3.1234000000000002</v>
      </c>
      <c r="N208" s="22">
        <v>0.18</v>
      </c>
      <c r="O208" s="22">
        <v>1017.1985435894751</v>
      </c>
      <c r="P208" s="22">
        <f t="shared" si="36"/>
        <v>3653.6856207044716</v>
      </c>
      <c r="Q208" s="22">
        <v>2777.0693256854333</v>
      </c>
      <c r="R208" s="22">
        <f t="shared" si="37"/>
        <v>574.85335041688461</v>
      </c>
      <c r="S208" s="22">
        <f t="shared" si="38"/>
        <v>4228.5389711213566</v>
      </c>
      <c r="T208" s="23">
        <v>0.55859868298040061</v>
      </c>
      <c r="U208" s="24">
        <v>0.1</v>
      </c>
      <c r="V208" s="25">
        <f t="shared" si="35"/>
        <v>7249.6547984531489</v>
      </c>
      <c r="W208" s="26" t="s">
        <v>29</v>
      </c>
    </row>
    <row r="209" spans="1:23" ht="89.25" x14ac:dyDescent="0.25">
      <c r="A209" s="17">
        <f t="shared" ca="1" si="39"/>
        <v>205</v>
      </c>
      <c r="B209" s="18" t="s">
        <v>139</v>
      </c>
      <c r="C209" s="18" t="s">
        <v>438</v>
      </c>
      <c r="D209" s="18"/>
      <c r="E209" s="18"/>
      <c r="F209" s="18"/>
      <c r="G209" s="18"/>
      <c r="H209" s="19" t="s">
        <v>439</v>
      </c>
      <c r="I209" s="18" t="s">
        <v>161</v>
      </c>
      <c r="J209" s="20">
        <v>1</v>
      </c>
      <c r="K209" s="20">
        <v>1.1499999999999999</v>
      </c>
      <c r="L209" s="21" t="s">
        <v>28</v>
      </c>
      <c r="M209" s="22">
        <v>3.29</v>
      </c>
      <c r="N209" s="22">
        <v>0.18</v>
      </c>
      <c r="O209" s="22">
        <v>1017.1985435894751</v>
      </c>
      <c r="P209" s="22">
        <f t="shared" si="36"/>
        <v>3848.5706896707788</v>
      </c>
      <c r="Q209" s="22">
        <v>2777.0693256854333</v>
      </c>
      <c r="R209" s="22">
        <f t="shared" si="37"/>
        <v>574.85335041688461</v>
      </c>
      <c r="S209" s="22">
        <f t="shared" si="38"/>
        <v>4423.4240400876633</v>
      </c>
      <c r="T209" s="23">
        <v>0.55859868298040061</v>
      </c>
      <c r="U209" s="24">
        <v>0.1</v>
      </c>
      <c r="V209" s="25">
        <f t="shared" si="35"/>
        <v>7583.7771714589217</v>
      </c>
      <c r="W209" s="26" t="s">
        <v>29</v>
      </c>
    </row>
    <row r="210" spans="1:23" ht="89.25" x14ac:dyDescent="0.25">
      <c r="A210" s="17">
        <f t="shared" ca="1" si="39"/>
        <v>206</v>
      </c>
      <c r="B210" s="18" t="s">
        <v>139</v>
      </c>
      <c r="C210" s="18" t="s">
        <v>440</v>
      </c>
      <c r="D210" s="18"/>
      <c r="E210" s="18"/>
      <c r="F210" s="18"/>
      <c r="G210" s="18"/>
      <c r="H210" s="19" t="s">
        <v>441</v>
      </c>
      <c r="I210" s="18" t="s">
        <v>161</v>
      </c>
      <c r="J210" s="20">
        <v>1</v>
      </c>
      <c r="K210" s="20">
        <v>1.1499999999999999</v>
      </c>
      <c r="L210" s="21" t="s">
        <v>28</v>
      </c>
      <c r="M210" s="22">
        <v>4.0865999999999998</v>
      </c>
      <c r="N210" s="22">
        <v>0.44999999999999996</v>
      </c>
      <c r="O210" s="22">
        <v>1017.1985435894751</v>
      </c>
      <c r="P210" s="22">
        <f t="shared" si="36"/>
        <v>4780.4161034676608</v>
      </c>
      <c r="Q210" s="22">
        <v>2777.0693256854333</v>
      </c>
      <c r="R210" s="22">
        <f t="shared" si="37"/>
        <v>1437.1333760422117</v>
      </c>
      <c r="S210" s="22">
        <f t="shared" si="38"/>
        <v>6217.549479509873</v>
      </c>
      <c r="T210" s="23">
        <v>0.55859868298040061</v>
      </c>
      <c r="U210" s="24">
        <v>0.1</v>
      </c>
      <c r="V210" s="25">
        <f t="shared" si="35"/>
        <v>10659.73087314252</v>
      </c>
      <c r="W210" s="26" t="s">
        <v>29</v>
      </c>
    </row>
    <row r="211" spans="1:23" ht="89.25" x14ac:dyDescent="0.25">
      <c r="A211" s="17">
        <f t="shared" ca="1" si="39"/>
        <v>207</v>
      </c>
      <c r="B211" s="18" t="s">
        <v>139</v>
      </c>
      <c r="C211" s="18" t="s">
        <v>442</v>
      </c>
      <c r="D211" s="18"/>
      <c r="E211" s="18"/>
      <c r="F211" s="18"/>
      <c r="G211" s="18"/>
      <c r="H211" s="19" t="s">
        <v>443</v>
      </c>
      <c r="I211" s="18" t="s">
        <v>161</v>
      </c>
      <c r="J211" s="20">
        <v>1</v>
      </c>
      <c r="K211" s="20">
        <v>1.1499999999999999</v>
      </c>
      <c r="L211" s="21" t="s">
        <v>28</v>
      </c>
      <c r="M211" s="22">
        <v>4.2538999999999998</v>
      </c>
      <c r="N211" s="22">
        <v>0.44999999999999996</v>
      </c>
      <c r="O211" s="22">
        <v>1017.1985435894751</v>
      </c>
      <c r="P211" s="22">
        <f t="shared" si="36"/>
        <v>4976.1200172615572</v>
      </c>
      <c r="Q211" s="22">
        <v>2777.0693256854333</v>
      </c>
      <c r="R211" s="22">
        <f t="shared" si="37"/>
        <v>1437.1333760422117</v>
      </c>
      <c r="S211" s="22">
        <f t="shared" si="38"/>
        <v>6413.2533933037685</v>
      </c>
      <c r="T211" s="23">
        <v>0.55859868298040061</v>
      </c>
      <c r="U211" s="24">
        <v>0.1</v>
      </c>
      <c r="V211" s="25">
        <f t="shared" si="35"/>
        <v>10995.257121665121</v>
      </c>
      <c r="W211" s="26" t="s">
        <v>29</v>
      </c>
    </row>
    <row r="212" spans="1:23" ht="89.25" x14ac:dyDescent="0.25">
      <c r="A212" s="17">
        <f t="shared" ca="1" si="39"/>
        <v>208</v>
      </c>
      <c r="B212" s="18" t="s">
        <v>139</v>
      </c>
      <c r="C212" s="18" t="s">
        <v>444</v>
      </c>
      <c r="D212" s="18"/>
      <c r="E212" s="18"/>
      <c r="F212" s="18"/>
      <c r="G212" s="18"/>
      <c r="H212" s="19" t="s">
        <v>445</v>
      </c>
      <c r="I212" s="18" t="s">
        <v>161</v>
      </c>
      <c r="J212" s="20">
        <v>1</v>
      </c>
      <c r="K212" s="20">
        <v>1.1499999999999999</v>
      </c>
      <c r="L212" s="21" t="s">
        <v>28</v>
      </c>
      <c r="M212" s="22">
        <v>4.7207999999999997</v>
      </c>
      <c r="N212" s="22">
        <v>0.44999999999999996</v>
      </c>
      <c r="O212" s="22">
        <v>1017.1985435894751</v>
      </c>
      <c r="P212" s="22">
        <f t="shared" si="36"/>
        <v>5522.2895172637718</v>
      </c>
      <c r="Q212" s="22">
        <v>2777.0693256854333</v>
      </c>
      <c r="R212" s="22">
        <f t="shared" si="37"/>
        <v>1437.1333760422117</v>
      </c>
      <c r="S212" s="22">
        <f t="shared" si="38"/>
        <v>6959.422893305984</v>
      </c>
      <c r="T212" s="23">
        <v>0.55859868298040061</v>
      </c>
      <c r="U212" s="24">
        <v>0.1</v>
      </c>
      <c r="V212" s="25">
        <f t="shared" si="35"/>
        <v>11931.642091391392</v>
      </c>
      <c r="W212" s="26" t="s">
        <v>29</v>
      </c>
    </row>
    <row r="213" spans="1:23" ht="89.25" x14ac:dyDescent="0.25">
      <c r="A213" s="17">
        <f t="shared" ca="1" si="39"/>
        <v>209</v>
      </c>
      <c r="B213" s="18" t="s">
        <v>139</v>
      </c>
      <c r="C213" s="18" t="s">
        <v>446</v>
      </c>
      <c r="D213" s="18"/>
      <c r="E213" s="18"/>
      <c r="F213" s="18"/>
      <c r="G213" s="18"/>
      <c r="H213" s="19" t="s">
        <v>447</v>
      </c>
      <c r="I213" s="18" t="s">
        <v>161</v>
      </c>
      <c r="J213" s="20">
        <v>1</v>
      </c>
      <c r="K213" s="20">
        <v>1.1499999999999999</v>
      </c>
      <c r="L213" s="21" t="s">
        <v>28</v>
      </c>
      <c r="M213" s="22">
        <v>4.8873999999999995</v>
      </c>
      <c r="N213" s="22">
        <v>0.44999999999999996</v>
      </c>
      <c r="O213" s="22">
        <v>1017.1985435894751</v>
      </c>
      <c r="P213" s="22">
        <f t="shared" si="36"/>
        <v>5717.1745862300795</v>
      </c>
      <c r="Q213" s="22">
        <v>2777.0693256854333</v>
      </c>
      <c r="R213" s="22">
        <f t="shared" si="37"/>
        <v>1437.1333760422117</v>
      </c>
      <c r="S213" s="22">
        <f t="shared" si="38"/>
        <v>7154.3079622722908</v>
      </c>
      <c r="T213" s="23">
        <v>0.55859868298040061</v>
      </c>
      <c r="U213" s="24">
        <v>0.1</v>
      </c>
      <c r="V213" s="25">
        <f t="shared" si="35"/>
        <v>12265.764464397165</v>
      </c>
      <c r="W213" s="26" t="s">
        <v>29</v>
      </c>
    </row>
    <row r="214" spans="1:23" ht="89.25" x14ac:dyDescent="0.25">
      <c r="A214" s="17">
        <f t="shared" ca="1" si="39"/>
        <v>210</v>
      </c>
      <c r="B214" s="18" t="s">
        <v>139</v>
      </c>
      <c r="C214" s="18" t="s">
        <v>448</v>
      </c>
      <c r="D214" s="18"/>
      <c r="E214" s="18"/>
      <c r="F214" s="18"/>
      <c r="G214" s="18"/>
      <c r="H214" s="19" t="s">
        <v>449</v>
      </c>
      <c r="I214" s="18" t="s">
        <v>161</v>
      </c>
      <c r="J214" s="20">
        <v>1</v>
      </c>
      <c r="K214" s="20">
        <v>1.1499999999999999</v>
      </c>
      <c r="L214" s="21" t="s">
        <v>28</v>
      </c>
      <c r="M214" s="22">
        <v>1.9753999999999998</v>
      </c>
      <c r="N214" s="22">
        <v>4.4999999999999998E-2</v>
      </c>
      <c r="O214" s="22">
        <v>1017.1985435894751</v>
      </c>
      <c r="P214" s="22">
        <f t="shared" si="36"/>
        <v>2310.780103457646</v>
      </c>
      <c r="Q214" s="22">
        <v>2777.0693256854333</v>
      </c>
      <c r="R214" s="22">
        <f t="shared" si="37"/>
        <v>143.71333760422115</v>
      </c>
      <c r="S214" s="22">
        <f t="shared" si="38"/>
        <v>2454.4934410618671</v>
      </c>
      <c r="T214" s="23">
        <v>0.55859868298040061</v>
      </c>
      <c r="U214" s="24">
        <v>0.1</v>
      </c>
      <c r="V214" s="25">
        <f t="shared" si="35"/>
        <v>4208.127269085363</v>
      </c>
      <c r="W214" s="26" t="s">
        <v>29</v>
      </c>
    </row>
    <row r="215" spans="1:23" ht="89.25" x14ac:dyDescent="0.25">
      <c r="A215" s="17">
        <f t="shared" ca="1" si="39"/>
        <v>211</v>
      </c>
      <c r="B215" s="18" t="s">
        <v>139</v>
      </c>
      <c r="C215" s="18" t="s">
        <v>450</v>
      </c>
      <c r="D215" s="18"/>
      <c r="E215" s="18"/>
      <c r="F215" s="18"/>
      <c r="G215" s="18"/>
      <c r="H215" s="19" t="s">
        <v>451</v>
      </c>
      <c r="I215" s="18" t="s">
        <v>161</v>
      </c>
      <c r="J215" s="20">
        <v>1</v>
      </c>
      <c r="K215" s="20">
        <v>1.1499999999999999</v>
      </c>
      <c r="L215" s="21" t="s">
        <v>28</v>
      </c>
      <c r="M215" s="22">
        <v>2.198</v>
      </c>
      <c r="N215" s="22">
        <v>4.4999999999999998E-2</v>
      </c>
      <c r="O215" s="22">
        <v>1017.1985435894751</v>
      </c>
      <c r="P215" s="22">
        <f t="shared" si="36"/>
        <v>2571.1727586311158</v>
      </c>
      <c r="Q215" s="22">
        <v>2777.0693256854333</v>
      </c>
      <c r="R215" s="22">
        <f t="shared" si="37"/>
        <v>143.71333760422115</v>
      </c>
      <c r="S215" s="22">
        <f t="shared" si="38"/>
        <v>2714.8860962353369</v>
      </c>
      <c r="T215" s="23">
        <v>0.55859868298040061</v>
      </c>
      <c r="U215" s="24">
        <v>0.1</v>
      </c>
      <c r="V215" s="25">
        <f t="shared" si="35"/>
        <v>4654.5596834376165</v>
      </c>
      <c r="W215" s="26" t="s">
        <v>29</v>
      </c>
    </row>
    <row r="216" spans="1:23" ht="89.25" x14ac:dyDescent="0.25">
      <c r="A216" s="17">
        <f t="shared" ca="1" si="39"/>
        <v>212</v>
      </c>
      <c r="B216" s="18" t="s">
        <v>139</v>
      </c>
      <c r="C216" s="18" t="s">
        <v>452</v>
      </c>
      <c r="D216" s="18"/>
      <c r="E216" s="18"/>
      <c r="F216" s="18"/>
      <c r="G216" s="18"/>
      <c r="H216" s="19" t="s">
        <v>453</v>
      </c>
      <c r="I216" s="18" t="s">
        <v>161</v>
      </c>
      <c r="J216" s="20">
        <v>1</v>
      </c>
      <c r="K216" s="20">
        <v>1.1499999999999999</v>
      </c>
      <c r="L216" s="21" t="s">
        <v>28</v>
      </c>
      <c r="M216" s="22">
        <v>2.7355999999999998</v>
      </c>
      <c r="N216" s="22">
        <v>0.18</v>
      </c>
      <c r="O216" s="22">
        <v>1017.1985435894751</v>
      </c>
      <c r="P216" s="22">
        <f t="shared" si="36"/>
        <v>3200.0455862198728</v>
      </c>
      <c r="Q216" s="22">
        <v>2777.0693256854333</v>
      </c>
      <c r="R216" s="22">
        <f t="shared" si="37"/>
        <v>574.85335041688461</v>
      </c>
      <c r="S216" s="22">
        <f t="shared" si="38"/>
        <v>3774.8989366367573</v>
      </c>
      <c r="T216" s="23">
        <v>0.55859868298040061</v>
      </c>
      <c r="U216" s="24">
        <v>0.1</v>
      </c>
      <c r="V216" s="25">
        <f t="shared" si="35"/>
        <v>6471.9077621287806</v>
      </c>
      <c r="W216" s="26" t="s">
        <v>29</v>
      </c>
    </row>
    <row r="217" spans="1:23" ht="89.25" x14ac:dyDescent="0.25">
      <c r="A217" s="17">
        <f t="shared" ca="1" si="39"/>
        <v>213</v>
      </c>
      <c r="B217" s="18" t="s">
        <v>139</v>
      </c>
      <c r="C217" s="18" t="s">
        <v>454</v>
      </c>
      <c r="D217" s="18"/>
      <c r="E217" s="18"/>
      <c r="F217" s="18"/>
      <c r="G217" s="18"/>
      <c r="H217" s="19" t="s">
        <v>455</v>
      </c>
      <c r="I217" s="18" t="s">
        <v>161</v>
      </c>
      <c r="J217" s="20">
        <v>1</v>
      </c>
      <c r="K217" s="20">
        <v>1.1499999999999999</v>
      </c>
      <c r="L217" s="21" t="s">
        <v>28</v>
      </c>
      <c r="M217" s="22">
        <v>2.9575</v>
      </c>
      <c r="N217" s="22">
        <v>0.18</v>
      </c>
      <c r="O217" s="22">
        <v>1017.1985435894751</v>
      </c>
      <c r="P217" s="22">
        <f t="shared" si="36"/>
        <v>3459.619396565753</v>
      </c>
      <c r="Q217" s="22">
        <v>2777.0693256854333</v>
      </c>
      <c r="R217" s="22">
        <f t="shared" si="37"/>
        <v>574.85335041688461</v>
      </c>
      <c r="S217" s="22">
        <f t="shared" si="38"/>
        <v>4034.4727469826375</v>
      </c>
      <c r="T217" s="23">
        <v>0.55859868298040061</v>
      </c>
      <c r="U217" s="24">
        <v>0.1</v>
      </c>
      <c r="V217" s="25">
        <f t="shared" si="35"/>
        <v>6916.9363009642047</v>
      </c>
      <c r="W217" s="26" t="s">
        <v>29</v>
      </c>
    </row>
    <row r="218" spans="1:23" ht="89.25" x14ac:dyDescent="0.25">
      <c r="A218" s="17">
        <f t="shared" ca="1" si="39"/>
        <v>214</v>
      </c>
      <c r="B218" s="18" t="s">
        <v>139</v>
      </c>
      <c r="C218" s="18" t="s">
        <v>456</v>
      </c>
      <c r="D218" s="18"/>
      <c r="E218" s="18"/>
      <c r="F218" s="18"/>
      <c r="G218" s="18"/>
      <c r="H218" s="19" t="s">
        <v>457</v>
      </c>
      <c r="I218" s="18" t="s">
        <v>161</v>
      </c>
      <c r="J218" s="20">
        <v>1</v>
      </c>
      <c r="K218" s="20">
        <v>1.1499999999999999</v>
      </c>
      <c r="L218" s="21" t="s">
        <v>28</v>
      </c>
      <c r="M218" s="22">
        <v>3.4803999999999999</v>
      </c>
      <c r="N218" s="22">
        <v>0.18</v>
      </c>
      <c r="O218" s="22">
        <v>1017.1985435894751</v>
      </c>
      <c r="P218" s="22">
        <f t="shared" si="36"/>
        <v>4071.2964827751302</v>
      </c>
      <c r="Q218" s="22">
        <v>2777.0693256854333</v>
      </c>
      <c r="R218" s="22">
        <f t="shared" si="37"/>
        <v>574.85335041688461</v>
      </c>
      <c r="S218" s="22">
        <f t="shared" si="38"/>
        <v>4646.1498331920147</v>
      </c>
      <c r="T218" s="23">
        <v>0.55859868298040061</v>
      </c>
      <c r="U218" s="24">
        <v>0.1</v>
      </c>
      <c r="V218" s="25">
        <f t="shared" si="35"/>
        <v>7965.6313120369505</v>
      </c>
      <c r="W218" s="26" t="s">
        <v>29</v>
      </c>
    </row>
    <row r="219" spans="1:23" ht="89.25" x14ac:dyDescent="0.25">
      <c r="A219" s="17">
        <f t="shared" ca="1" si="39"/>
        <v>215</v>
      </c>
      <c r="B219" s="18" t="s">
        <v>139</v>
      </c>
      <c r="C219" s="18" t="s">
        <v>458</v>
      </c>
      <c r="D219" s="18"/>
      <c r="E219" s="18"/>
      <c r="F219" s="18"/>
      <c r="G219" s="18"/>
      <c r="H219" s="19" t="s">
        <v>459</v>
      </c>
      <c r="I219" s="18" t="s">
        <v>161</v>
      </c>
      <c r="J219" s="20">
        <v>1</v>
      </c>
      <c r="K219" s="20">
        <v>1.1499999999999999</v>
      </c>
      <c r="L219" s="21" t="s">
        <v>28</v>
      </c>
      <c r="M219" s="22">
        <v>3.7029999999999998</v>
      </c>
      <c r="N219" s="22">
        <v>0.18</v>
      </c>
      <c r="O219" s="22">
        <v>1017.1985435894751</v>
      </c>
      <c r="P219" s="22">
        <f t="shared" si="36"/>
        <v>4331.6891379485996</v>
      </c>
      <c r="Q219" s="22">
        <v>2777.0693256854333</v>
      </c>
      <c r="R219" s="22">
        <f t="shared" si="37"/>
        <v>574.85335041688461</v>
      </c>
      <c r="S219" s="22">
        <f t="shared" si="38"/>
        <v>4906.5424883654841</v>
      </c>
      <c r="T219" s="23">
        <v>0.55859868298040061</v>
      </c>
      <c r="U219" s="24">
        <v>0.1</v>
      </c>
      <c r="V219" s="25">
        <f t="shared" si="35"/>
        <v>8412.063726389204</v>
      </c>
      <c r="W219" s="26" t="s">
        <v>29</v>
      </c>
    </row>
    <row r="220" spans="1:23" ht="89.25" x14ac:dyDescent="0.25">
      <c r="A220" s="17">
        <f t="shared" ca="1" si="39"/>
        <v>216</v>
      </c>
      <c r="B220" s="18" t="s">
        <v>139</v>
      </c>
      <c r="C220" s="18" t="s">
        <v>460</v>
      </c>
      <c r="D220" s="18"/>
      <c r="E220" s="18"/>
      <c r="F220" s="18"/>
      <c r="G220" s="18"/>
      <c r="H220" s="19" t="s">
        <v>461</v>
      </c>
      <c r="I220" s="18" t="s">
        <v>161</v>
      </c>
      <c r="J220" s="20">
        <v>1</v>
      </c>
      <c r="K220" s="20">
        <v>1.1499999999999999</v>
      </c>
      <c r="L220" s="21" t="s">
        <v>28</v>
      </c>
      <c r="M220" s="22">
        <v>3.9249000000000001</v>
      </c>
      <c r="N220" s="22">
        <v>0.18</v>
      </c>
      <c r="O220" s="22">
        <v>1017.1985435894751</v>
      </c>
      <c r="P220" s="22">
        <f t="shared" si="36"/>
        <v>4591.2629482944803</v>
      </c>
      <c r="Q220" s="22">
        <v>2777.0693256854333</v>
      </c>
      <c r="R220" s="22">
        <f t="shared" si="37"/>
        <v>574.85335041688461</v>
      </c>
      <c r="S220" s="22">
        <f t="shared" si="38"/>
        <v>5166.1162987113648</v>
      </c>
      <c r="T220" s="23">
        <v>0.55859868298040061</v>
      </c>
      <c r="U220" s="24">
        <v>0.1</v>
      </c>
      <c r="V220" s="25">
        <f t="shared" si="35"/>
        <v>8857.0922652246263</v>
      </c>
      <c r="W220" s="26" t="s">
        <v>29</v>
      </c>
    </row>
    <row r="221" spans="1:23" ht="89.25" x14ac:dyDescent="0.25">
      <c r="A221" s="17">
        <f t="shared" ca="1" si="39"/>
        <v>217</v>
      </c>
      <c r="B221" s="18" t="s">
        <v>139</v>
      </c>
      <c r="C221" s="18" t="s">
        <v>462</v>
      </c>
      <c r="D221" s="18"/>
      <c r="E221" s="18"/>
      <c r="F221" s="18"/>
      <c r="G221" s="18"/>
      <c r="H221" s="19" t="s">
        <v>463</v>
      </c>
      <c r="I221" s="18" t="s">
        <v>161</v>
      </c>
      <c r="J221" s="20">
        <v>1</v>
      </c>
      <c r="K221" s="20">
        <v>1.1499999999999999</v>
      </c>
      <c r="L221" s="21" t="s">
        <v>28</v>
      </c>
      <c r="M221" s="22">
        <v>4.7774999999999999</v>
      </c>
      <c r="N221" s="22">
        <v>0.44999999999999996</v>
      </c>
      <c r="O221" s="22">
        <v>1017.1985435894751</v>
      </c>
      <c r="P221" s="22">
        <f t="shared" si="36"/>
        <v>5588.6159482985249</v>
      </c>
      <c r="Q221" s="22">
        <v>2777.0693256854333</v>
      </c>
      <c r="R221" s="22">
        <f t="shared" si="37"/>
        <v>1437.1333760422117</v>
      </c>
      <c r="S221" s="22">
        <f t="shared" si="38"/>
        <v>7025.7493243407371</v>
      </c>
      <c r="T221" s="23">
        <v>0.55859868298040061</v>
      </c>
      <c r="U221" s="24">
        <v>0.1</v>
      </c>
      <c r="V221" s="25">
        <f t="shared" si="35"/>
        <v>12045.356008254703</v>
      </c>
      <c r="W221" s="26" t="s">
        <v>29</v>
      </c>
    </row>
    <row r="222" spans="1:23" ht="89.25" x14ac:dyDescent="0.25">
      <c r="A222" s="17">
        <f t="shared" ca="1" si="39"/>
        <v>218</v>
      </c>
      <c r="B222" s="18" t="s">
        <v>139</v>
      </c>
      <c r="C222" s="18" t="s">
        <v>464</v>
      </c>
      <c r="D222" s="18"/>
      <c r="E222" s="18"/>
      <c r="F222" s="18"/>
      <c r="G222" s="18"/>
      <c r="H222" s="19" t="s">
        <v>465</v>
      </c>
      <c r="I222" s="18" t="s">
        <v>161</v>
      </c>
      <c r="J222" s="20">
        <v>1</v>
      </c>
      <c r="K222" s="20">
        <v>1.1499999999999999</v>
      </c>
      <c r="L222" s="21" t="s">
        <v>28</v>
      </c>
      <c r="M222" s="22">
        <v>5.3003999999999998</v>
      </c>
      <c r="N222" s="22">
        <v>0.44999999999999996</v>
      </c>
      <c r="O222" s="22">
        <v>1017.1985435894751</v>
      </c>
      <c r="P222" s="22">
        <f t="shared" si="36"/>
        <v>6200.2930345079003</v>
      </c>
      <c r="Q222" s="22">
        <v>2777.0693256854333</v>
      </c>
      <c r="R222" s="22">
        <f t="shared" si="37"/>
        <v>1437.1333760422117</v>
      </c>
      <c r="S222" s="22">
        <f t="shared" si="38"/>
        <v>7637.4264105501115</v>
      </c>
      <c r="T222" s="23">
        <v>0.55859868298040061</v>
      </c>
      <c r="U222" s="24">
        <v>0.1</v>
      </c>
      <c r="V222" s="25">
        <f t="shared" si="35"/>
        <v>13094.051019327446</v>
      </c>
      <c r="W222" s="26" t="s">
        <v>29</v>
      </c>
    </row>
    <row r="223" spans="1:23" ht="89.25" x14ac:dyDescent="0.25">
      <c r="A223" s="17">
        <f t="shared" ca="1" si="39"/>
        <v>219</v>
      </c>
      <c r="B223" s="18" t="s">
        <v>139</v>
      </c>
      <c r="C223" s="18" t="s">
        <v>466</v>
      </c>
      <c r="D223" s="18"/>
      <c r="E223" s="18"/>
      <c r="F223" s="18"/>
      <c r="G223" s="18"/>
      <c r="H223" s="19" t="s">
        <v>467</v>
      </c>
      <c r="I223" s="18" t="s">
        <v>161</v>
      </c>
      <c r="J223" s="20">
        <v>1</v>
      </c>
      <c r="K223" s="20">
        <v>1.1499999999999999</v>
      </c>
      <c r="L223" s="21" t="s">
        <v>28</v>
      </c>
      <c r="M223" s="22">
        <v>5.5222999999999995</v>
      </c>
      <c r="N223" s="22">
        <v>0.44999999999999996</v>
      </c>
      <c r="O223" s="22">
        <v>1017.1985435894751</v>
      </c>
      <c r="P223" s="22">
        <f t="shared" si="36"/>
        <v>6459.8668448537819</v>
      </c>
      <c r="Q223" s="22">
        <v>2777.0693256854333</v>
      </c>
      <c r="R223" s="22">
        <f t="shared" si="37"/>
        <v>1437.1333760422117</v>
      </c>
      <c r="S223" s="22">
        <f t="shared" si="38"/>
        <v>7897.0002208959941</v>
      </c>
      <c r="T223" s="23">
        <v>0.55859868298040061</v>
      </c>
      <c r="U223" s="24">
        <v>0.1</v>
      </c>
      <c r="V223" s="25">
        <f t="shared" si="35"/>
        <v>13539.079558162874</v>
      </c>
      <c r="W223" s="26" t="s">
        <v>29</v>
      </c>
    </row>
    <row r="224" spans="1:23" ht="89.25" x14ac:dyDescent="0.25">
      <c r="A224" s="17">
        <f t="shared" ca="1" si="39"/>
        <v>220</v>
      </c>
      <c r="B224" s="18" t="s">
        <v>139</v>
      </c>
      <c r="C224" s="18" t="s">
        <v>468</v>
      </c>
      <c r="D224" s="18"/>
      <c r="E224" s="18"/>
      <c r="F224" s="18"/>
      <c r="G224" s="18"/>
      <c r="H224" s="19" t="s">
        <v>469</v>
      </c>
      <c r="I224" s="18" t="s">
        <v>161</v>
      </c>
      <c r="J224" s="20">
        <v>1</v>
      </c>
      <c r="K224" s="20">
        <v>1.1499999999999999</v>
      </c>
      <c r="L224" s="21" t="s">
        <v>28</v>
      </c>
      <c r="M224" s="22">
        <v>5.7449000000000003</v>
      </c>
      <c r="N224" s="22">
        <v>0.44999999999999996</v>
      </c>
      <c r="O224" s="22">
        <v>1017.1985435894751</v>
      </c>
      <c r="P224" s="22">
        <f t="shared" si="36"/>
        <v>6720.2595000272513</v>
      </c>
      <c r="Q224" s="22">
        <v>2777.0693256854333</v>
      </c>
      <c r="R224" s="22">
        <f t="shared" si="37"/>
        <v>1437.1333760422117</v>
      </c>
      <c r="S224" s="22">
        <f t="shared" si="38"/>
        <v>8157.3928760694635</v>
      </c>
      <c r="T224" s="23">
        <v>0.55859868298040061</v>
      </c>
      <c r="U224" s="24">
        <v>0.1</v>
      </c>
      <c r="V224" s="25">
        <f t="shared" si="35"/>
        <v>13985.511972515125</v>
      </c>
      <c r="W224" s="26" t="s">
        <v>29</v>
      </c>
    </row>
    <row r="225" spans="1:23" ht="89.25" x14ac:dyDescent="0.25">
      <c r="A225" s="17">
        <f t="shared" ca="1" si="39"/>
        <v>221</v>
      </c>
      <c r="B225" s="18" t="s">
        <v>139</v>
      </c>
      <c r="C225" s="18" t="s">
        <v>470</v>
      </c>
      <c r="D225" s="18"/>
      <c r="E225" s="18"/>
      <c r="F225" s="18"/>
      <c r="G225" s="18"/>
      <c r="H225" s="19" t="s">
        <v>471</v>
      </c>
      <c r="I225" s="18" t="s">
        <v>161</v>
      </c>
      <c r="J225" s="20">
        <v>1</v>
      </c>
      <c r="K225" s="20">
        <v>1.1499999999999999</v>
      </c>
      <c r="L225" s="21" t="s">
        <v>28</v>
      </c>
      <c r="M225" s="22">
        <v>2.2770999999999999</v>
      </c>
      <c r="N225" s="22">
        <v>4.4999999999999998E-2</v>
      </c>
      <c r="O225" s="22">
        <v>1017.1985435894751</v>
      </c>
      <c r="P225" s="22">
        <f t="shared" si="36"/>
        <v>2663.7022241487321</v>
      </c>
      <c r="Q225" s="22">
        <v>2777.0693256854333</v>
      </c>
      <c r="R225" s="22">
        <f t="shared" si="37"/>
        <v>143.71333760422115</v>
      </c>
      <c r="S225" s="22">
        <f t="shared" si="38"/>
        <v>2807.4155617529532</v>
      </c>
      <c r="T225" s="23">
        <v>0.55859868298040061</v>
      </c>
      <c r="U225" s="24">
        <v>0.1</v>
      </c>
      <c r="V225" s="25">
        <f t="shared" si="35"/>
        <v>4813.1976168395177</v>
      </c>
      <c r="W225" s="26" t="s">
        <v>29</v>
      </c>
    </row>
    <row r="226" spans="1:23" ht="89.25" x14ac:dyDescent="0.25">
      <c r="A226" s="17">
        <f t="shared" ca="1" si="39"/>
        <v>222</v>
      </c>
      <c r="B226" s="18" t="s">
        <v>139</v>
      </c>
      <c r="C226" s="18" t="s">
        <v>472</v>
      </c>
      <c r="D226" s="18"/>
      <c r="E226" s="18"/>
      <c r="F226" s="18"/>
      <c r="G226" s="18"/>
      <c r="H226" s="19" t="s">
        <v>473</v>
      </c>
      <c r="I226" s="18" t="s">
        <v>161</v>
      </c>
      <c r="J226" s="20">
        <v>1</v>
      </c>
      <c r="K226" s="20">
        <v>1.1499999999999999</v>
      </c>
      <c r="L226" s="21" t="s">
        <v>28</v>
      </c>
      <c r="M226" s="22">
        <v>2.5549999999999997</v>
      </c>
      <c r="N226" s="22">
        <v>4.4999999999999998E-2</v>
      </c>
      <c r="O226" s="22">
        <v>1017.1985435894751</v>
      </c>
      <c r="P226" s="22">
        <f t="shared" si="36"/>
        <v>2988.7836207017745</v>
      </c>
      <c r="Q226" s="22">
        <v>2777.0693256854333</v>
      </c>
      <c r="R226" s="22">
        <f t="shared" si="37"/>
        <v>143.71333760422115</v>
      </c>
      <c r="S226" s="22">
        <f t="shared" si="38"/>
        <v>3132.4969583059956</v>
      </c>
      <c r="T226" s="23">
        <v>0.55859868298040061</v>
      </c>
      <c r="U226" s="24">
        <v>0.1</v>
      </c>
      <c r="V226" s="25">
        <f t="shared" si="35"/>
        <v>5370.536197021419</v>
      </c>
      <c r="W226" s="26" t="s">
        <v>29</v>
      </c>
    </row>
    <row r="227" spans="1:23" ht="89.25" x14ac:dyDescent="0.25">
      <c r="A227" s="17">
        <f t="shared" ca="1" si="39"/>
        <v>223</v>
      </c>
      <c r="B227" s="18" t="s">
        <v>139</v>
      </c>
      <c r="C227" s="18" t="s">
        <v>474</v>
      </c>
      <c r="D227" s="18"/>
      <c r="E227" s="18"/>
      <c r="F227" s="18"/>
      <c r="G227" s="18"/>
      <c r="H227" s="19" t="s">
        <v>475</v>
      </c>
      <c r="I227" s="18" t="s">
        <v>161</v>
      </c>
      <c r="J227" s="20">
        <v>1</v>
      </c>
      <c r="K227" s="20">
        <v>1.1499999999999999</v>
      </c>
      <c r="L227" s="21" t="s">
        <v>28</v>
      </c>
      <c r="M227" s="22">
        <v>3.1478999999999999</v>
      </c>
      <c r="N227" s="22">
        <v>0.18</v>
      </c>
      <c r="O227" s="22">
        <v>1017.1985435894751</v>
      </c>
      <c r="P227" s="22">
        <f t="shared" si="36"/>
        <v>3682.3451896701044</v>
      </c>
      <c r="Q227" s="22">
        <v>2777.0693256854333</v>
      </c>
      <c r="R227" s="22">
        <f t="shared" si="37"/>
        <v>574.85335041688461</v>
      </c>
      <c r="S227" s="22">
        <f t="shared" si="38"/>
        <v>4257.1985400869889</v>
      </c>
      <c r="T227" s="23">
        <v>0.55859868298040061</v>
      </c>
      <c r="U227" s="24">
        <v>0.1</v>
      </c>
      <c r="V227" s="25">
        <f t="shared" si="35"/>
        <v>7298.7904415422317</v>
      </c>
      <c r="W227" s="26" t="s">
        <v>29</v>
      </c>
    </row>
    <row r="228" spans="1:23" ht="89.25" x14ac:dyDescent="0.25">
      <c r="A228" s="17">
        <f t="shared" ca="1" si="39"/>
        <v>224</v>
      </c>
      <c r="B228" s="18" t="s">
        <v>139</v>
      </c>
      <c r="C228" s="18" t="s">
        <v>476</v>
      </c>
      <c r="D228" s="18"/>
      <c r="E228" s="18"/>
      <c r="F228" s="18"/>
      <c r="G228" s="18"/>
      <c r="H228" s="19" t="s">
        <v>477</v>
      </c>
      <c r="I228" s="18" t="s">
        <v>161</v>
      </c>
      <c r="J228" s="20">
        <v>1</v>
      </c>
      <c r="K228" s="20">
        <v>1.1499999999999999</v>
      </c>
      <c r="L228" s="21" t="s">
        <v>28</v>
      </c>
      <c r="M228" s="22">
        <v>3.7261000000000002</v>
      </c>
      <c r="N228" s="22">
        <v>0.18</v>
      </c>
      <c r="O228" s="22">
        <v>1017.1985435894751</v>
      </c>
      <c r="P228" s="22">
        <f t="shared" si="36"/>
        <v>4358.7110172590546</v>
      </c>
      <c r="Q228" s="22">
        <v>2777.0693256854333</v>
      </c>
      <c r="R228" s="22">
        <f t="shared" si="37"/>
        <v>574.85335041688461</v>
      </c>
      <c r="S228" s="22">
        <f t="shared" si="38"/>
        <v>4933.5643676759391</v>
      </c>
      <c r="T228" s="23">
        <v>0.55859868298040061</v>
      </c>
      <c r="U228" s="24">
        <v>0.1</v>
      </c>
      <c r="V228" s="25">
        <f t="shared" si="35"/>
        <v>8458.3916184446261</v>
      </c>
      <c r="W228" s="26" t="s">
        <v>29</v>
      </c>
    </row>
    <row r="229" spans="1:23" ht="89.25" x14ac:dyDescent="0.25">
      <c r="A229" s="17">
        <f t="shared" ca="1" si="39"/>
        <v>225</v>
      </c>
      <c r="B229" s="18" t="s">
        <v>139</v>
      </c>
      <c r="C229" s="18" t="s">
        <v>478</v>
      </c>
      <c r="D229" s="18"/>
      <c r="E229" s="18"/>
      <c r="F229" s="18"/>
      <c r="G229" s="18"/>
      <c r="H229" s="19" t="s">
        <v>479</v>
      </c>
      <c r="I229" s="18" t="s">
        <v>161</v>
      </c>
      <c r="J229" s="20">
        <v>1</v>
      </c>
      <c r="K229" s="20">
        <v>1.1499999999999999</v>
      </c>
      <c r="L229" s="21" t="s">
        <v>28</v>
      </c>
      <c r="M229" s="22">
        <v>4.0040000000000004</v>
      </c>
      <c r="N229" s="22">
        <v>0.18</v>
      </c>
      <c r="O229" s="22">
        <v>1017.1985435894751</v>
      </c>
      <c r="P229" s="22">
        <f t="shared" si="36"/>
        <v>4683.792413812097</v>
      </c>
      <c r="Q229" s="22">
        <v>2777.0693256854333</v>
      </c>
      <c r="R229" s="22">
        <f t="shared" si="37"/>
        <v>574.85335041688461</v>
      </c>
      <c r="S229" s="22">
        <f t="shared" si="38"/>
        <v>5258.6457642289815</v>
      </c>
      <c r="T229" s="23">
        <v>0.55859868298040061</v>
      </c>
      <c r="U229" s="24">
        <v>0.1</v>
      </c>
      <c r="V229" s="25">
        <f t="shared" si="35"/>
        <v>9015.7301986265284</v>
      </c>
      <c r="W229" s="26" t="s">
        <v>29</v>
      </c>
    </row>
    <row r="230" spans="1:23" ht="89.25" x14ac:dyDescent="0.25">
      <c r="A230" s="17">
        <f t="shared" ca="1" si="39"/>
        <v>226</v>
      </c>
      <c r="B230" s="18" t="s">
        <v>139</v>
      </c>
      <c r="C230" s="18" t="s">
        <v>480</v>
      </c>
      <c r="D230" s="18"/>
      <c r="E230" s="18"/>
      <c r="F230" s="18"/>
      <c r="G230" s="18"/>
      <c r="H230" s="19" t="s">
        <v>481</v>
      </c>
      <c r="I230" s="18" t="s">
        <v>161</v>
      </c>
      <c r="J230" s="20">
        <v>1</v>
      </c>
      <c r="K230" s="20">
        <v>1.1499999999999999</v>
      </c>
      <c r="L230" s="21" t="s">
        <v>28</v>
      </c>
      <c r="M230" s="22">
        <v>4.2825999999999995</v>
      </c>
      <c r="N230" s="22">
        <v>0.18</v>
      </c>
      <c r="O230" s="22">
        <v>1017.1985435894751</v>
      </c>
      <c r="P230" s="22">
        <f t="shared" si="36"/>
        <v>5009.6926551927281</v>
      </c>
      <c r="Q230" s="22">
        <v>2777.0693256854333</v>
      </c>
      <c r="R230" s="22">
        <f t="shared" si="37"/>
        <v>574.85335041688461</v>
      </c>
      <c r="S230" s="22">
        <f t="shared" si="38"/>
        <v>5584.5460056096126</v>
      </c>
      <c r="T230" s="23">
        <v>0.55859868298040061</v>
      </c>
      <c r="U230" s="24">
        <v>0.1</v>
      </c>
      <c r="V230" s="25">
        <f t="shared" si="35"/>
        <v>9574.4726543252582</v>
      </c>
      <c r="W230" s="26" t="s">
        <v>29</v>
      </c>
    </row>
    <row r="231" spans="1:23" ht="89.25" x14ac:dyDescent="0.25">
      <c r="A231" s="17">
        <f t="shared" ca="1" si="39"/>
        <v>227</v>
      </c>
      <c r="B231" s="18" t="s">
        <v>139</v>
      </c>
      <c r="C231" s="18" t="s">
        <v>482</v>
      </c>
      <c r="D231" s="18"/>
      <c r="E231" s="18"/>
      <c r="F231" s="18"/>
      <c r="G231" s="18"/>
      <c r="H231" s="19" t="s">
        <v>483</v>
      </c>
      <c r="I231" s="18" t="s">
        <v>161</v>
      </c>
      <c r="J231" s="20">
        <v>1</v>
      </c>
      <c r="K231" s="20">
        <v>1.1499999999999999</v>
      </c>
      <c r="L231" s="21" t="s">
        <v>28</v>
      </c>
      <c r="M231" s="22">
        <v>4.5605000000000002</v>
      </c>
      <c r="N231" s="22">
        <v>0.18</v>
      </c>
      <c r="O231" s="22">
        <v>1017.1985435894751</v>
      </c>
      <c r="P231" s="22">
        <f t="shared" si="36"/>
        <v>5334.7740517457714</v>
      </c>
      <c r="Q231" s="22">
        <v>2777.0693256854333</v>
      </c>
      <c r="R231" s="22">
        <f t="shared" si="37"/>
        <v>574.85335041688461</v>
      </c>
      <c r="S231" s="22">
        <f t="shared" si="38"/>
        <v>5909.6274021626559</v>
      </c>
      <c r="T231" s="23">
        <v>0.55859868298040061</v>
      </c>
      <c r="U231" s="24">
        <v>0.1</v>
      </c>
      <c r="V231" s="25">
        <f t="shared" si="35"/>
        <v>10131.81123450716</v>
      </c>
      <c r="W231" s="26" t="s">
        <v>29</v>
      </c>
    </row>
    <row r="232" spans="1:23" ht="89.25" x14ac:dyDescent="0.25">
      <c r="A232" s="17">
        <f t="shared" ca="1" si="39"/>
        <v>228</v>
      </c>
      <c r="B232" s="18" t="s">
        <v>139</v>
      </c>
      <c r="C232" s="18" t="s">
        <v>484</v>
      </c>
      <c r="D232" s="18"/>
      <c r="E232" s="18"/>
      <c r="F232" s="18"/>
      <c r="G232" s="18"/>
      <c r="H232" s="19" t="s">
        <v>485</v>
      </c>
      <c r="I232" s="18" t="s">
        <v>161</v>
      </c>
      <c r="J232" s="20">
        <v>1</v>
      </c>
      <c r="K232" s="20">
        <v>1.1499999999999999</v>
      </c>
      <c r="L232" s="21" t="s">
        <v>28</v>
      </c>
      <c r="M232" s="22">
        <v>5.7687000000000008</v>
      </c>
      <c r="N232" s="22">
        <v>0.44999999999999996</v>
      </c>
      <c r="O232" s="22">
        <v>1017.1985435894751</v>
      </c>
      <c r="P232" s="22">
        <f t="shared" si="36"/>
        <v>6748.1002241652968</v>
      </c>
      <c r="Q232" s="22">
        <v>2777.0693256854333</v>
      </c>
      <c r="R232" s="22">
        <f t="shared" si="37"/>
        <v>1437.1333760422117</v>
      </c>
      <c r="S232" s="22">
        <f t="shared" si="38"/>
        <v>8185.2336002075081</v>
      </c>
      <c r="T232" s="23">
        <v>0.55859868298040061</v>
      </c>
      <c r="U232" s="24">
        <v>0.1</v>
      </c>
      <c r="V232" s="25">
        <f t="shared" si="35"/>
        <v>14033.243740087381</v>
      </c>
      <c r="W232" s="26" t="s">
        <v>29</v>
      </c>
    </row>
    <row r="233" spans="1:23" ht="89.25" x14ac:dyDescent="0.25">
      <c r="A233" s="17">
        <f t="shared" ca="1" si="39"/>
        <v>229</v>
      </c>
      <c r="B233" s="18" t="s">
        <v>139</v>
      </c>
      <c r="C233" s="18" t="s">
        <v>486</v>
      </c>
      <c r="D233" s="18"/>
      <c r="E233" s="18"/>
      <c r="F233" s="18"/>
      <c r="G233" s="18"/>
      <c r="H233" s="19" t="s">
        <v>487</v>
      </c>
      <c r="I233" s="18" t="s">
        <v>161</v>
      </c>
      <c r="J233" s="20">
        <v>1</v>
      </c>
      <c r="K233" s="20">
        <v>1.1499999999999999</v>
      </c>
      <c r="L233" s="21" t="s">
        <v>28</v>
      </c>
      <c r="M233" s="22">
        <v>6.0465999999999998</v>
      </c>
      <c r="N233" s="22">
        <v>0.44999999999999996</v>
      </c>
      <c r="O233" s="22">
        <v>1017.1985435894751</v>
      </c>
      <c r="P233" s="22">
        <f t="shared" si="36"/>
        <v>7073.1816207183374</v>
      </c>
      <c r="Q233" s="22">
        <v>2777.0693256854333</v>
      </c>
      <c r="R233" s="22">
        <f t="shared" si="37"/>
        <v>1437.1333760422117</v>
      </c>
      <c r="S233" s="22">
        <f t="shared" si="38"/>
        <v>8510.3149967605495</v>
      </c>
      <c r="T233" s="23">
        <v>0.55859868298040061</v>
      </c>
      <c r="U233" s="24">
        <v>0.1</v>
      </c>
      <c r="V233" s="25">
        <f t="shared" si="35"/>
        <v>14590.582320269281</v>
      </c>
      <c r="W233" s="26" t="s">
        <v>29</v>
      </c>
    </row>
    <row r="234" spans="1:23" ht="89.25" x14ac:dyDescent="0.25">
      <c r="A234" s="17">
        <f t="shared" ca="1" si="39"/>
        <v>230</v>
      </c>
      <c r="B234" s="18" t="s">
        <v>139</v>
      </c>
      <c r="C234" s="18" t="s">
        <v>488</v>
      </c>
      <c r="D234" s="18"/>
      <c r="E234" s="18"/>
      <c r="F234" s="18"/>
      <c r="G234" s="18"/>
      <c r="H234" s="19" t="s">
        <v>489</v>
      </c>
      <c r="I234" s="18" t="s">
        <v>161</v>
      </c>
      <c r="J234" s="20">
        <v>1</v>
      </c>
      <c r="K234" s="20">
        <v>1.1499999999999999</v>
      </c>
      <c r="L234" s="21" t="s">
        <v>28</v>
      </c>
      <c r="M234" s="22">
        <v>6.3244999999999996</v>
      </c>
      <c r="N234" s="22">
        <v>0.44999999999999996</v>
      </c>
      <c r="O234" s="22">
        <v>1017.1985435894751</v>
      </c>
      <c r="P234" s="22">
        <f t="shared" si="36"/>
        <v>7398.2630172713789</v>
      </c>
      <c r="Q234" s="22">
        <v>2777.0693256854333</v>
      </c>
      <c r="R234" s="22">
        <f t="shared" si="37"/>
        <v>1437.1333760422117</v>
      </c>
      <c r="S234" s="22">
        <f t="shared" si="38"/>
        <v>8835.396393313591</v>
      </c>
      <c r="T234" s="23">
        <v>0.55859868298040061</v>
      </c>
      <c r="U234" s="24">
        <v>0.1</v>
      </c>
      <c r="V234" s="25">
        <f t="shared" si="35"/>
        <v>15147.920900451179</v>
      </c>
      <c r="W234" s="26" t="s">
        <v>29</v>
      </c>
    </row>
    <row r="235" spans="1:23" ht="89.25" x14ac:dyDescent="0.25">
      <c r="A235" s="17">
        <f t="shared" ca="1" si="39"/>
        <v>231</v>
      </c>
      <c r="B235" s="18" t="s">
        <v>139</v>
      </c>
      <c r="C235" s="18" t="s">
        <v>490</v>
      </c>
      <c r="D235" s="18"/>
      <c r="E235" s="18"/>
      <c r="F235" s="18"/>
      <c r="G235" s="18"/>
      <c r="H235" s="19" t="s">
        <v>491</v>
      </c>
      <c r="I235" s="18" t="s">
        <v>161</v>
      </c>
      <c r="J235" s="20">
        <v>1</v>
      </c>
      <c r="K235" s="20">
        <v>1.1499999999999999</v>
      </c>
      <c r="L235" s="21" t="s">
        <v>28</v>
      </c>
      <c r="M235" s="22">
        <v>6.9027000000000003</v>
      </c>
      <c r="N235" s="22">
        <v>0.44999999999999996</v>
      </c>
      <c r="O235" s="22">
        <v>1017.1985435894751</v>
      </c>
      <c r="P235" s="22">
        <f t="shared" si="36"/>
        <v>8074.62884486033</v>
      </c>
      <c r="Q235" s="22">
        <v>2777.0693256854333</v>
      </c>
      <c r="R235" s="22">
        <f t="shared" si="37"/>
        <v>1437.1333760422117</v>
      </c>
      <c r="S235" s="22">
        <f t="shared" si="38"/>
        <v>9511.7622209025412</v>
      </c>
      <c r="T235" s="23">
        <v>0.55859868298040061</v>
      </c>
      <c r="U235" s="24">
        <v>0.1</v>
      </c>
      <c r="V235" s="25">
        <f t="shared" si="35"/>
        <v>16307.522077353577</v>
      </c>
      <c r="W235" s="26" t="s">
        <v>29</v>
      </c>
    </row>
    <row r="236" spans="1:23" ht="89.25" x14ac:dyDescent="0.25">
      <c r="A236" s="17">
        <f t="shared" ca="1" si="39"/>
        <v>232</v>
      </c>
      <c r="B236" s="18" t="s">
        <v>139</v>
      </c>
      <c r="C236" s="18" t="s">
        <v>492</v>
      </c>
      <c r="D236" s="18"/>
      <c r="E236" s="18"/>
      <c r="F236" s="18"/>
      <c r="G236" s="18"/>
      <c r="H236" s="19" t="s">
        <v>493</v>
      </c>
      <c r="I236" s="18" t="s">
        <v>161</v>
      </c>
      <c r="J236" s="20">
        <v>1</v>
      </c>
      <c r="K236" s="20">
        <v>1.1499999999999999</v>
      </c>
      <c r="L236" s="21" t="s">
        <v>28</v>
      </c>
      <c r="M236" s="22">
        <v>0.47249999999999998</v>
      </c>
      <c r="N236" s="22">
        <v>4.4999999999999998E-2</v>
      </c>
      <c r="O236" s="22">
        <v>1017.1985435894751</v>
      </c>
      <c r="P236" s="22">
        <f t="shared" si="36"/>
        <v>552.72025862293094</v>
      </c>
      <c r="Q236" s="22">
        <v>2777.0693256854333</v>
      </c>
      <c r="R236" s="22">
        <f t="shared" si="37"/>
        <v>143.71333760422115</v>
      </c>
      <c r="S236" s="22">
        <f t="shared" si="38"/>
        <v>696.43359622715207</v>
      </c>
      <c r="T236" s="23">
        <v>0.55859868298040061</v>
      </c>
      <c r="U236" s="24">
        <v>0.1</v>
      </c>
      <c r="V236" s="25">
        <f t="shared" si="35"/>
        <v>1194.0065344492375</v>
      </c>
      <c r="W236" s="26" t="s">
        <v>29</v>
      </c>
    </row>
    <row r="237" spans="1:23" ht="89.25" x14ac:dyDescent="0.25">
      <c r="A237" s="17">
        <f t="shared" ca="1" si="39"/>
        <v>233</v>
      </c>
      <c r="B237" s="18" t="s">
        <v>139</v>
      </c>
      <c r="C237" s="18" t="s">
        <v>494</v>
      </c>
      <c r="D237" s="18"/>
      <c r="E237" s="18"/>
      <c r="F237" s="18"/>
      <c r="G237" s="18"/>
      <c r="H237" s="19" t="s">
        <v>495</v>
      </c>
      <c r="I237" s="18" t="s">
        <v>161</v>
      </c>
      <c r="J237" s="20">
        <v>1</v>
      </c>
      <c r="K237" s="20">
        <v>1.1499999999999999</v>
      </c>
      <c r="L237" s="21" t="s">
        <v>28</v>
      </c>
      <c r="M237" s="22">
        <v>0.50050000000000006</v>
      </c>
      <c r="N237" s="22">
        <v>4.4999999999999998E-2</v>
      </c>
      <c r="O237" s="22">
        <v>1017.1985435894751</v>
      </c>
      <c r="P237" s="22">
        <f t="shared" si="36"/>
        <v>585.47405172651213</v>
      </c>
      <c r="Q237" s="22">
        <v>2777.0693256854333</v>
      </c>
      <c r="R237" s="22">
        <f t="shared" si="37"/>
        <v>143.71333760422115</v>
      </c>
      <c r="S237" s="22">
        <f t="shared" si="38"/>
        <v>729.18738933073325</v>
      </c>
      <c r="T237" s="23">
        <v>0.55859868298040061</v>
      </c>
      <c r="U237" s="24">
        <v>0.1</v>
      </c>
      <c r="V237" s="25">
        <f t="shared" si="35"/>
        <v>1250.161555122477</v>
      </c>
      <c r="W237" s="26" t="s">
        <v>29</v>
      </c>
    </row>
    <row r="238" spans="1:23" x14ac:dyDescent="0.25">
      <c r="A238" s="12">
        <f t="shared" ca="1" si="39"/>
        <v>234</v>
      </c>
      <c r="B238" s="13" t="s">
        <v>139</v>
      </c>
      <c r="C238" s="13" t="s">
        <v>496</v>
      </c>
      <c r="D238" s="13"/>
      <c r="E238" s="13"/>
      <c r="F238" s="13"/>
      <c r="G238" s="13"/>
      <c r="H238" s="15" t="s">
        <v>497</v>
      </c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27"/>
      <c r="U238" s="16"/>
      <c r="V238" s="13"/>
      <c r="W238" s="13"/>
    </row>
    <row r="239" spans="1:23" ht="89.25" x14ac:dyDescent="0.25">
      <c r="A239" s="17">
        <f t="shared" ca="1" si="39"/>
        <v>235</v>
      </c>
      <c r="B239" s="18" t="s">
        <v>139</v>
      </c>
      <c r="C239" s="18" t="s">
        <v>498</v>
      </c>
      <c r="D239" s="18"/>
      <c r="E239" s="18"/>
      <c r="F239" s="18"/>
      <c r="G239" s="18"/>
      <c r="H239" s="19" t="s">
        <v>499</v>
      </c>
      <c r="I239" s="18" t="s">
        <v>161</v>
      </c>
      <c r="J239" s="20">
        <v>1</v>
      </c>
      <c r="K239" s="20">
        <v>1.1499999999999999</v>
      </c>
      <c r="L239" s="21" t="s">
        <v>28</v>
      </c>
      <c r="M239" s="22">
        <v>0.79659999999999986</v>
      </c>
      <c r="N239" s="22">
        <v>4.4999999999999998E-2</v>
      </c>
      <c r="O239" s="22">
        <v>1017.1985435894751</v>
      </c>
      <c r="P239" s="22">
        <f t="shared" si="36"/>
        <v>931.84541379688199</v>
      </c>
      <c r="Q239" s="22">
        <v>2777.0693256854333</v>
      </c>
      <c r="R239" s="22">
        <f t="shared" si="37"/>
        <v>143.71333760422115</v>
      </c>
      <c r="S239" s="22">
        <f t="shared" si="38"/>
        <v>1075.5587514011031</v>
      </c>
      <c r="T239" s="23">
        <v>0.55859868298040061</v>
      </c>
      <c r="U239" s="24">
        <v>0.1</v>
      </c>
      <c r="V239" s="25">
        <f t="shared" ref="V239:V288" si="40">S239+S239*T239+(S239+S239*T239)*U239</f>
        <v>1844.000898741984</v>
      </c>
      <c r="W239" s="26" t="s">
        <v>29</v>
      </c>
    </row>
    <row r="240" spans="1:23" ht="89.25" x14ac:dyDescent="0.25">
      <c r="A240" s="17">
        <f t="shared" ca="1" si="39"/>
        <v>236</v>
      </c>
      <c r="B240" s="18" t="s">
        <v>139</v>
      </c>
      <c r="C240" s="18" t="s">
        <v>500</v>
      </c>
      <c r="D240" s="18"/>
      <c r="E240" s="18"/>
      <c r="F240" s="18"/>
      <c r="G240" s="18"/>
      <c r="H240" s="19" t="s">
        <v>501</v>
      </c>
      <c r="I240" s="18" t="s">
        <v>161</v>
      </c>
      <c r="J240" s="20">
        <v>1</v>
      </c>
      <c r="K240" s="20">
        <v>1.1499999999999999</v>
      </c>
      <c r="L240" s="21" t="s">
        <v>28</v>
      </c>
      <c r="M240" s="22">
        <v>0.44449999999999995</v>
      </c>
      <c r="N240" s="22">
        <v>1.2E-2</v>
      </c>
      <c r="O240" s="22">
        <v>1017.1985435894751</v>
      </c>
      <c r="P240" s="22">
        <f t="shared" si="36"/>
        <v>519.96646551934987</v>
      </c>
      <c r="Q240" s="22">
        <v>2777.0693256854333</v>
      </c>
      <c r="R240" s="22">
        <f t="shared" si="37"/>
        <v>38.323556694458979</v>
      </c>
      <c r="S240" s="22">
        <f t="shared" si="38"/>
        <v>558.29002221380881</v>
      </c>
      <c r="T240" s="23">
        <v>0.55859868298040061</v>
      </c>
      <c r="U240" s="24">
        <v>0.1</v>
      </c>
      <c r="V240" s="25">
        <f t="shared" si="40"/>
        <v>957.16510267789511</v>
      </c>
      <c r="W240" s="26" t="s">
        <v>29</v>
      </c>
    </row>
    <row r="241" spans="1:23" ht="89.25" x14ac:dyDescent="0.25">
      <c r="A241" s="17">
        <f t="shared" ca="1" si="39"/>
        <v>237</v>
      </c>
      <c r="B241" s="18" t="s">
        <v>139</v>
      </c>
      <c r="C241" s="18" t="s">
        <v>502</v>
      </c>
      <c r="D241" s="18"/>
      <c r="E241" s="18"/>
      <c r="F241" s="18"/>
      <c r="G241" s="18"/>
      <c r="H241" s="19" t="s">
        <v>503</v>
      </c>
      <c r="I241" s="18" t="s">
        <v>161</v>
      </c>
      <c r="J241" s="20">
        <v>1</v>
      </c>
      <c r="K241" s="20">
        <v>1.1499999999999999</v>
      </c>
      <c r="L241" s="21" t="s">
        <v>28</v>
      </c>
      <c r="M241" s="22">
        <v>0.45779999999999998</v>
      </c>
      <c r="N241" s="22">
        <v>1.2E-2</v>
      </c>
      <c r="O241" s="22">
        <v>1017.1985435894751</v>
      </c>
      <c r="P241" s="22">
        <f t="shared" si="36"/>
        <v>535.52451724355092</v>
      </c>
      <c r="Q241" s="22">
        <v>2777.0693256854333</v>
      </c>
      <c r="R241" s="22">
        <f t="shared" si="37"/>
        <v>38.323556694458979</v>
      </c>
      <c r="S241" s="22">
        <f t="shared" si="38"/>
        <v>573.84807393800986</v>
      </c>
      <c r="T241" s="23">
        <v>0.55859868298040061</v>
      </c>
      <c r="U241" s="24">
        <v>0.1</v>
      </c>
      <c r="V241" s="25">
        <f t="shared" si="40"/>
        <v>983.83873749768395</v>
      </c>
      <c r="W241" s="26" t="s">
        <v>29</v>
      </c>
    </row>
    <row r="242" spans="1:23" ht="89.25" x14ac:dyDescent="0.25">
      <c r="A242" s="17">
        <f t="shared" ca="1" si="39"/>
        <v>238</v>
      </c>
      <c r="B242" s="18" t="s">
        <v>139</v>
      </c>
      <c r="C242" s="18" t="s">
        <v>504</v>
      </c>
      <c r="D242" s="18"/>
      <c r="E242" s="18"/>
      <c r="F242" s="18"/>
      <c r="G242" s="18"/>
      <c r="H242" s="19" t="s">
        <v>505</v>
      </c>
      <c r="I242" s="18" t="s">
        <v>161</v>
      </c>
      <c r="J242" s="20">
        <v>1</v>
      </c>
      <c r="K242" s="20">
        <v>1.1499999999999999</v>
      </c>
      <c r="L242" s="21" t="s">
        <v>28</v>
      </c>
      <c r="M242" s="22">
        <v>0.49769999999999992</v>
      </c>
      <c r="N242" s="22">
        <v>1.2E-2</v>
      </c>
      <c r="O242" s="22">
        <v>1017.1985435894751</v>
      </c>
      <c r="P242" s="22">
        <f t="shared" si="36"/>
        <v>582.19867241615384</v>
      </c>
      <c r="Q242" s="22">
        <v>2777.0693256854333</v>
      </c>
      <c r="R242" s="22">
        <f t="shared" si="37"/>
        <v>38.323556694458979</v>
      </c>
      <c r="S242" s="22">
        <f t="shared" si="38"/>
        <v>620.52222911061278</v>
      </c>
      <c r="T242" s="23">
        <v>0.55859868298040061</v>
      </c>
      <c r="U242" s="24">
        <v>0.1</v>
      </c>
      <c r="V242" s="25">
        <f t="shared" si="40"/>
        <v>1063.8596419570499</v>
      </c>
      <c r="W242" s="26" t="s">
        <v>29</v>
      </c>
    </row>
    <row r="243" spans="1:23" ht="89.25" x14ac:dyDescent="0.25">
      <c r="A243" s="17">
        <f t="shared" ca="1" si="39"/>
        <v>239</v>
      </c>
      <c r="B243" s="18" t="s">
        <v>139</v>
      </c>
      <c r="C243" s="18" t="s">
        <v>506</v>
      </c>
      <c r="D243" s="18"/>
      <c r="E243" s="18"/>
      <c r="F243" s="18"/>
      <c r="G243" s="18"/>
      <c r="H243" s="19" t="s">
        <v>507</v>
      </c>
      <c r="I243" s="18" t="s">
        <v>161</v>
      </c>
      <c r="J243" s="20">
        <v>1</v>
      </c>
      <c r="K243" s="20">
        <v>1.1499999999999999</v>
      </c>
      <c r="L243" s="21" t="s">
        <v>28</v>
      </c>
      <c r="M243" s="22">
        <v>0.51169999999999993</v>
      </c>
      <c r="N243" s="22">
        <v>1.2E-2</v>
      </c>
      <c r="O243" s="22">
        <v>1017.1985435894751</v>
      </c>
      <c r="P243" s="22">
        <f t="shared" si="36"/>
        <v>598.57556896794438</v>
      </c>
      <c r="Q243" s="22">
        <v>2777.0693256854333</v>
      </c>
      <c r="R243" s="22">
        <f t="shared" si="37"/>
        <v>38.323556694458979</v>
      </c>
      <c r="S243" s="22">
        <f t="shared" si="38"/>
        <v>636.89912566240332</v>
      </c>
      <c r="T243" s="23">
        <v>0.55859868298040061</v>
      </c>
      <c r="U243" s="24">
        <v>0.1</v>
      </c>
      <c r="V243" s="25">
        <f t="shared" si="40"/>
        <v>1091.9371522936697</v>
      </c>
      <c r="W243" s="26" t="s">
        <v>29</v>
      </c>
    </row>
    <row r="244" spans="1:23" ht="89.25" x14ac:dyDescent="0.25">
      <c r="A244" s="17">
        <f t="shared" ca="1" si="39"/>
        <v>240</v>
      </c>
      <c r="B244" s="18" t="s">
        <v>139</v>
      </c>
      <c r="C244" s="18" t="s">
        <v>508</v>
      </c>
      <c r="D244" s="18"/>
      <c r="E244" s="18"/>
      <c r="F244" s="18"/>
      <c r="G244" s="18"/>
      <c r="H244" s="19" t="s">
        <v>509</v>
      </c>
      <c r="I244" s="18" t="s">
        <v>161</v>
      </c>
      <c r="J244" s="20">
        <v>1</v>
      </c>
      <c r="K244" s="20">
        <v>1.1499999999999999</v>
      </c>
      <c r="L244" s="21" t="s">
        <v>28</v>
      </c>
      <c r="M244" s="22">
        <v>0.55159999999999998</v>
      </c>
      <c r="N244" s="22">
        <v>1.2E-2</v>
      </c>
      <c r="O244" s="22">
        <v>1017.1985435894751</v>
      </c>
      <c r="P244" s="22">
        <f t="shared" si="36"/>
        <v>645.24972414054753</v>
      </c>
      <c r="Q244" s="22">
        <v>2777.0693256854333</v>
      </c>
      <c r="R244" s="22">
        <f t="shared" si="37"/>
        <v>38.323556694458979</v>
      </c>
      <c r="S244" s="22">
        <f t="shared" si="38"/>
        <v>683.57328083500647</v>
      </c>
      <c r="T244" s="23">
        <v>0.55859868298040061</v>
      </c>
      <c r="U244" s="24">
        <v>0.1</v>
      </c>
      <c r="V244" s="25">
        <f t="shared" si="40"/>
        <v>1171.9580567530361</v>
      </c>
      <c r="W244" s="26" t="s">
        <v>29</v>
      </c>
    </row>
    <row r="245" spans="1:23" ht="89.25" x14ac:dyDescent="0.25">
      <c r="A245" s="17">
        <f t="shared" ca="1" si="39"/>
        <v>241</v>
      </c>
      <c r="B245" s="18" t="s">
        <v>139</v>
      </c>
      <c r="C245" s="18" t="s">
        <v>510</v>
      </c>
      <c r="D245" s="18"/>
      <c r="E245" s="18"/>
      <c r="F245" s="18"/>
      <c r="G245" s="18"/>
      <c r="H245" s="19" t="s">
        <v>511</v>
      </c>
      <c r="I245" s="18" t="s">
        <v>161</v>
      </c>
      <c r="J245" s="20">
        <v>1</v>
      </c>
      <c r="K245" s="20">
        <v>1.1499999999999999</v>
      </c>
      <c r="L245" s="21" t="s">
        <v>28</v>
      </c>
      <c r="M245" s="22">
        <v>1.5189999999999999</v>
      </c>
      <c r="N245" s="22">
        <v>0.18</v>
      </c>
      <c r="O245" s="22">
        <v>1017.1985435894751</v>
      </c>
      <c r="P245" s="22">
        <f t="shared" si="36"/>
        <v>1776.8932758692745</v>
      </c>
      <c r="Q245" s="22">
        <v>2777.0693256854333</v>
      </c>
      <c r="R245" s="22">
        <f t="shared" si="37"/>
        <v>574.85335041688461</v>
      </c>
      <c r="S245" s="22">
        <f t="shared" si="38"/>
        <v>2351.746626286159</v>
      </c>
      <c r="T245" s="23">
        <v>0.55859868298040061</v>
      </c>
      <c r="U245" s="24">
        <v>0.1</v>
      </c>
      <c r="V245" s="25">
        <f t="shared" si="40"/>
        <v>4031.972113876529</v>
      </c>
      <c r="W245" s="26" t="s">
        <v>29</v>
      </c>
    </row>
    <row r="246" spans="1:23" ht="89.25" x14ac:dyDescent="0.25">
      <c r="A246" s="17">
        <f t="shared" ca="1" si="39"/>
        <v>242</v>
      </c>
      <c r="B246" s="18" t="s">
        <v>139</v>
      </c>
      <c r="C246" s="18" t="s">
        <v>512</v>
      </c>
      <c r="D246" s="18"/>
      <c r="E246" s="18"/>
      <c r="F246" s="18"/>
      <c r="G246" s="18"/>
      <c r="H246" s="19" t="s">
        <v>513</v>
      </c>
      <c r="I246" s="18" t="s">
        <v>161</v>
      </c>
      <c r="J246" s="20">
        <v>1</v>
      </c>
      <c r="K246" s="20">
        <v>1.1499999999999999</v>
      </c>
      <c r="L246" s="21" t="s">
        <v>28</v>
      </c>
      <c r="M246" s="22">
        <v>2.0524</v>
      </c>
      <c r="N246" s="22">
        <v>0.18</v>
      </c>
      <c r="O246" s="22">
        <v>1017.1985435894751</v>
      </c>
      <c r="P246" s="22">
        <f t="shared" si="36"/>
        <v>2400.8530344924943</v>
      </c>
      <c r="Q246" s="22">
        <v>2777.0693256854333</v>
      </c>
      <c r="R246" s="22">
        <f t="shared" si="37"/>
        <v>574.85335041688461</v>
      </c>
      <c r="S246" s="22">
        <f t="shared" si="38"/>
        <v>2975.7063849093788</v>
      </c>
      <c r="T246" s="23">
        <v>0.55859868298040061</v>
      </c>
      <c r="U246" s="24">
        <v>0.1</v>
      </c>
      <c r="V246" s="25">
        <f t="shared" si="40"/>
        <v>5101.7252577017398</v>
      </c>
      <c r="W246" s="26" t="s">
        <v>29</v>
      </c>
    </row>
    <row r="247" spans="1:23" ht="89.25" x14ac:dyDescent="0.25">
      <c r="A247" s="17">
        <f t="shared" ca="1" si="39"/>
        <v>243</v>
      </c>
      <c r="B247" s="18" t="s">
        <v>139</v>
      </c>
      <c r="C247" s="18" t="s">
        <v>514</v>
      </c>
      <c r="D247" s="18"/>
      <c r="E247" s="18"/>
      <c r="F247" s="18"/>
      <c r="G247" s="18"/>
      <c r="H247" s="19" t="s">
        <v>515</v>
      </c>
      <c r="I247" s="18" t="s">
        <v>161</v>
      </c>
      <c r="J247" s="20">
        <v>1</v>
      </c>
      <c r="K247" s="20">
        <v>1.1499999999999999</v>
      </c>
      <c r="L247" s="21" t="s">
        <v>28</v>
      </c>
      <c r="M247" s="22">
        <v>2.1076999999999995</v>
      </c>
      <c r="N247" s="22">
        <v>0.18</v>
      </c>
      <c r="O247" s="22">
        <v>1017.1985435894751</v>
      </c>
      <c r="P247" s="22">
        <f t="shared" si="36"/>
        <v>2465.5417758720664</v>
      </c>
      <c r="Q247" s="22">
        <v>2777.0693256854333</v>
      </c>
      <c r="R247" s="22">
        <f t="shared" si="37"/>
        <v>574.85335041688461</v>
      </c>
      <c r="S247" s="22">
        <f t="shared" si="38"/>
        <v>3040.3951262889509</v>
      </c>
      <c r="T247" s="23">
        <v>0.55859868298040061</v>
      </c>
      <c r="U247" s="24">
        <v>0.1</v>
      </c>
      <c r="V247" s="25">
        <f t="shared" si="40"/>
        <v>5212.6314235313866</v>
      </c>
      <c r="W247" s="26" t="s">
        <v>29</v>
      </c>
    </row>
    <row r="248" spans="1:23" ht="89.25" x14ac:dyDescent="0.25">
      <c r="A248" s="17">
        <f t="shared" ca="1" si="39"/>
        <v>244</v>
      </c>
      <c r="B248" s="18" t="s">
        <v>139</v>
      </c>
      <c r="C248" s="18" t="s">
        <v>516</v>
      </c>
      <c r="D248" s="18"/>
      <c r="E248" s="18"/>
      <c r="F248" s="18"/>
      <c r="G248" s="18"/>
      <c r="H248" s="19" t="s">
        <v>517</v>
      </c>
      <c r="I248" s="18" t="s">
        <v>161</v>
      </c>
      <c r="J248" s="20">
        <v>1</v>
      </c>
      <c r="K248" s="20">
        <v>1.1499999999999999</v>
      </c>
      <c r="L248" s="21" t="s">
        <v>28</v>
      </c>
      <c r="M248" s="22">
        <v>2.1636999999999995</v>
      </c>
      <c r="N248" s="22">
        <v>0.18</v>
      </c>
      <c r="O248" s="22">
        <v>1017.1985435894751</v>
      </c>
      <c r="P248" s="22">
        <f t="shared" si="36"/>
        <v>2531.0493620792286</v>
      </c>
      <c r="Q248" s="22">
        <v>2777.0693256854333</v>
      </c>
      <c r="R248" s="22">
        <f t="shared" si="37"/>
        <v>574.85335041688461</v>
      </c>
      <c r="S248" s="22">
        <f t="shared" si="38"/>
        <v>3105.9027124961131</v>
      </c>
      <c r="T248" s="23">
        <v>0.55859868298040061</v>
      </c>
      <c r="U248" s="24">
        <v>0.1</v>
      </c>
      <c r="V248" s="25">
        <f t="shared" si="40"/>
        <v>5324.9414648778647</v>
      </c>
      <c r="W248" s="26" t="s">
        <v>29</v>
      </c>
    </row>
    <row r="249" spans="1:23" ht="89.25" x14ac:dyDescent="0.25">
      <c r="A249" s="17">
        <f t="shared" ca="1" si="39"/>
        <v>245</v>
      </c>
      <c r="B249" s="18" t="s">
        <v>139</v>
      </c>
      <c r="C249" s="18" t="s">
        <v>518</v>
      </c>
      <c r="D249" s="18"/>
      <c r="E249" s="18"/>
      <c r="F249" s="18"/>
      <c r="G249" s="18"/>
      <c r="H249" s="19" t="s">
        <v>519</v>
      </c>
      <c r="I249" s="18" t="s">
        <v>161</v>
      </c>
      <c r="J249" s="20">
        <v>1</v>
      </c>
      <c r="K249" s="20">
        <v>1.1499999999999999</v>
      </c>
      <c r="L249" s="21" t="s">
        <v>28</v>
      </c>
      <c r="M249" s="22">
        <v>3.0162999999999998</v>
      </c>
      <c r="N249" s="22">
        <v>0.44999999999999996</v>
      </c>
      <c r="O249" s="22">
        <v>1017.1985435894751</v>
      </c>
      <c r="P249" s="22">
        <f t="shared" si="36"/>
        <v>3528.4023620832731</v>
      </c>
      <c r="Q249" s="22">
        <v>2777.0693256854333</v>
      </c>
      <c r="R249" s="22">
        <f t="shared" si="37"/>
        <v>1437.1333760422117</v>
      </c>
      <c r="S249" s="22">
        <f t="shared" si="38"/>
        <v>4965.5357381254853</v>
      </c>
      <c r="T249" s="23">
        <v>0.55859868298040061</v>
      </c>
      <c r="U249" s="24">
        <v>0.1</v>
      </c>
      <c r="V249" s="25">
        <f t="shared" si="40"/>
        <v>8513.2052079079422</v>
      </c>
      <c r="W249" s="26" t="s">
        <v>29</v>
      </c>
    </row>
    <row r="250" spans="1:23" ht="89.25" x14ac:dyDescent="0.25">
      <c r="A250" s="17">
        <f t="shared" ca="1" si="39"/>
        <v>246</v>
      </c>
      <c r="B250" s="18" t="s">
        <v>139</v>
      </c>
      <c r="C250" s="18" t="s">
        <v>520</v>
      </c>
      <c r="D250" s="18"/>
      <c r="E250" s="18"/>
      <c r="F250" s="18"/>
      <c r="G250" s="18"/>
      <c r="H250" s="19" t="s">
        <v>521</v>
      </c>
      <c r="I250" s="18" t="s">
        <v>161</v>
      </c>
      <c r="J250" s="20">
        <v>1</v>
      </c>
      <c r="K250" s="20">
        <v>1.1499999999999999</v>
      </c>
      <c r="L250" s="21" t="s">
        <v>28</v>
      </c>
      <c r="M250" s="22">
        <v>0.99959999999999971</v>
      </c>
      <c r="N250" s="22">
        <v>4.4999999999999998E-2</v>
      </c>
      <c r="O250" s="22">
        <v>1017.1985435894751</v>
      </c>
      <c r="P250" s="22">
        <f t="shared" si="36"/>
        <v>1169.3104137978448</v>
      </c>
      <c r="Q250" s="22">
        <v>2777.0693256854333</v>
      </c>
      <c r="R250" s="22">
        <f t="shared" si="37"/>
        <v>143.71333760422115</v>
      </c>
      <c r="S250" s="22">
        <f t="shared" si="38"/>
        <v>1313.023751402066</v>
      </c>
      <c r="T250" s="23">
        <v>0.55859868298040061</v>
      </c>
      <c r="U250" s="24">
        <v>0.1</v>
      </c>
      <c r="V250" s="25">
        <f t="shared" si="40"/>
        <v>2251.1247986229696</v>
      </c>
      <c r="W250" s="26" t="s">
        <v>29</v>
      </c>
    </row>
    <row r="251" spans="1:23" ht="89.25" x14ac:dyDescent="0.25">
      <c r="A251" s="17">
        <f t="shared" ca="1" si="39"/>
        <v>247</v>
      </c>
      <c r="B251" s="18" t="s">
        <v>139</v>
      </c>
      <c r="C251" s="18" t="s">
        <v>522</v>
      </c>
      <c r="D251" s="18"/>
      <c r="E251" s="18"/>
      <c r="F251" s="18"/>
      <c r="G251" s="18"/>
      <c r="H251" s="19" t="s">
        <v>523</v>
      </c>
      <c r="I251" s="18" t="s">
        <v>161</v>
      </c>
      <c r="J251" s="20">
        <v>1</v>
      </c>
      <c r="K251" s="20">
        <v>1.1499999999999999</v>
      </c>
      <c r="L251" s="21" t="s">
        <v>28</v>
      </c>
      <c r="M251" s="22">
        <v>1.0401999999999998</v>
      </c>
      <c r="N251" s="22">
        <v>4.4999999999999998E-2</v>
      </c>
      <c r="O251" s="22">
        <v>1017.1985435894751</v>
      </c>
      <c r="P251" s="22">
        <f t="shared" si="36"/>
        <v>1216.8034137980374</v>
      </c>
      <c r="Q251" s="22">
        <v>2777.0693256854333</v>
      </c>
      <c r="R251" s="22">
        <f t="shared" si="37"/>
        <v>143.71333760422115</v>
      </c>
      <c r="S251" s="22">
        <f t="shared" si="38"/>
        <v>1360.5167514022585</v>
      </c>
      <c r="T251" s="23">
        <v>0.55859868298040061</v>
      </c>
      <c r="U251" s="24">
        <v>0.1</v>
      </c>
      <c r="V251" s="25">
        <f t="shared" si="40"/>
        <v>2332.5495785991666</v>
      </c>
      <c r="W251" s="26" t="s">
        <v>29</v>
      </c>
    </row>
    <row r="252" spans="1:23" ht="89.25" x14ac:dyDescent="0.25">
      <c r="A252" s="17">
        <f t="shared" ca="1" si="39"/>
        <v>248</v>
      </c>
      <c r="B252" s="18" t="s">
        <v>139</v>
      </c>
      <c r="C252" s="18" t="s">
        <v>524</v>
      </c>
      <c r="D252" s="18"/>
      <c r="E252" s="18"/>
      <c r="F252" s="18"/>
      <c r="G252" s="18"/>
      <c r="H252" s="19" t="s">
        <v>525</v>
      </c>
      <c r="I252" s="18" t="s">
        <v>161</v>
      </c>
      <c r="J252" s="20">
        <v>1</v>
      </c>
      <c r="K252" s="20">
        <v>1.1499999999999999</v>
      </c>
      <c r="L252" s="21" t="s">
        <v>28</v>
      </c>
      <c r="M252" s="22">
        <v>1.6814</v>
      </c>
      <c r="N252" s="22">
        <v>4.4999999999999998E-2</v>
      </c>
      <c r="O252" s="22">
        <v>1017.1985435894751</v>
      </c>
      <c r="P252" s="22">
        <f t="shared" si="36"/>
        <v>1966.8652758700448</v>
      </c>
      <c r="Q252" s="22">
        <v>2777.0693256854333</v>
      </c>
      <c r="R252" s="22">
        <f t="shared" si="37"/>
        <v>143.71333760422115</v>
      </c>
      <c r="S252" s="22">
        <f t="shared" si="38"/>
        <v>2110.5786134742661</v>
      </c>
      <c r="T252" s="23">
        <v>0.55859868298040061</v>
      </c>
      <c r="U252" s="24">
        <v>0.1</v>
      </c>
      <c r="V252" s="25">
        <f t="shared" si="40"/>
        <v>3618.4995520163502</v>
      </c>
      <c r="W252" s="26" t="s">
        <v>29</v>
      </c>
    </row>
    <row r="253" spans="1:23" ht="89.25" x14ac:dyDescent="0.25">
      <c r="A253" s="17">
        <f t="shared" ca="1" si="39"/>
        <v>249</v>
      </c>
      <c r="B253" s="18" t="s">
        <v>139</v>
      </c>
      <c r="C253" s="18" t="s">
        <v>526</v>
      </c>
      <c r="D253" s="18"/>
      <c r="E253" s="18"/>
      <c r="F253" s="18"/>
      <c r="G253" s="18"/>
      <c r="H253" s="19" t="s">
        <v>527</v>
      </c>
      <c r="I253" s="18" t="s">
        <v>161</v>
      </c>
      <c r="J253" s="20">
        <v>1</v>
      </c>
      <c r="K253" s="20">
        <v>1.1499999999999999</v>
      </c>
      <c r="L253" s="21" t="s">
        <v>28</v>
      </c>
      <c r="M253" s="22">
        <v>1.8452</v>
      </c>
      <c r="N253" s="22">
        <v>4.4999999999999998E-2</v>
      </c>
      <c r="O253" s="22">
        <v>1017.1985435894751</v>
      </c>
      <c r="P253" s="22">
        <f t="shared" si="36"/>
        <v>2158.4749655259943</v>
      </c>
      <c r="Q253" s="22">
        <v>2777.0693256854333</v>
      </c>
      <c r="R253" s="22">
        <f t="shared" si="37"/>
        <v>143.71333760422115</v>
      </c>
      <c r="S253" s="22">
        <f t="shared" si="38"/>
        <v>2302.1883031302154</v>
      </c>
      <c r="T253" s="23">
        <v>0.55859868298040061</v>
      </c>
      <c r="U253" s="24">
        <v>0.1</v>
      </c>
      <c r="V253" s="25">
        <f t="shared" si="40"/>
        <v>3947.0064229548007</v>
      </c>
      <c r="W253" s="26" t="s">
        <v>29</v>
      </c>
    </row>
    <row r="254" spans="1:23" ht="89.25" x14ac:dyDescent="0.25">
      <c r="A254" s="17">
        <f t="shared" ca="1" si="39"/>
        <v>250</v>
      </c>
      <c r="B254" s="18" t="s">
        <v>139</v>
      </c>
      <c r="C254" s="18" t="s">
        <v>528</v>
      </c>
      <c r="D254" s="18"/>
      <c r="E254" s="18"/>
      <c r="F254" s="18"/>
      <c r="G254" s="18"/>
      <c r="H254" s="19" t="s">
        <v>529</v>
      </c>
      <c r="I254" s="18" t="s">
        <v>161</v>
      </c>
      <c r="J254" s="20">
        <v>1</v>
      </c>
      <c r="K254" s="20">
        <v>1.1499999999999999</v>
      </c>
      <c r="L254" s="21" t="s">
        <v>28</v>
      </c>
      <c r="M254" s="22">
        <v>2.1181999999999999</v>
      </c>
      <c r="N254" s="22">
        <v>4.4999999999999998E-2</v>
      </c>
      <c r="O254" s="22">
        <v>1017.1985435894751</v>
      </c>
      <c r="P254" s="22">
        <f t="shared" si="36"/>
        <v>2477.8244482859095</v>
      </c>
      <c r="Q254" s="22">
        <v>2777.0693256854333</v>
      </c>
      <c r="R254" s="22">
        <f t="shared" si="37"/>
        <v>143.71333760422115</v>
      </c>
      <c r="S254" s="22">
        <f t="shared" si="38"/>
        <v>2621.5377858901306</v>
      </c>
      <c r="T254" s="23">
        <v>0.55859868298040061</v>
      </c>
      <c r="U254" s="24">
        <v>0.1</v>
      </c>
      <c r="V254" s="25">
        <f t="shared" si="40"/>
        <v>4494.5178745188841</v>
      </c>
      <c r="W254" s="26" t="s">
        <v>29</v>
      </c>
    </row>
    <row r="255" spans="1:23" ht="89.25" x14ac:dyDescent="0.25">
      <c r="A255" s="17">
        <f t="shared" ca="1" si="39"/>
        <v>251</v>
      </c>
      <c r="B255" s="18" t="s">
        <v>139</v>
      </c>
      <c r="C255" s="18" t="s">
        <v>530</v>
      </c>
      <c r="D255" s="18"/>
      <c r="E255" s="18"/>
      <c r="F255" s="18"/>
      <c r="G255" s="18"/>
      <c r="H255" s="19" t="s">
        <v>531</v>
      </c>
      <c r="I255" s="18" t="s">
        <v>161</v>
      </c>
      <c r="J255" s="20">
        <v>1</v>
      </c>
      <c r="K255" s="20">
        <v>1.1499999999999999</v>
      </c>
      <c r="L255" s="21" t="s">
        <v>28</v>
      </c>
      <c r="M255" s="22">
        <v>2.2848000000000002</v>
      </c>
      <c r="N255" s="22">
        <v>4.4999999999999998E-2</v>
      </c>
      <c r="O255" s="22">
        <v>1017.1985435894751</v>
      </c>
      <c r="P255" s="22">
        <f t="shared" ref="P255:P318" si="41">O255*M255*K255</f>
        <v>2672.7095172522177</v>
      </c>
      <c r="Q255" s="22">
        <v>2777.0693256854333</v>
      </c>
      <c r="R255" s="22">
        <f t="shared" ref="R255:R318" si="42">N255*Q255*K255</f>
        <v>143.71333760422115</v>
      </c>
      <c r="S255" s="22">
        <f t="shared" ref="S255:S318" si="43">P255+R255</f>
        <v>2816.4228548564388</v>
      </c>
      <c r="T255" s="23">
        <v>0.55859868298040061</v>
      </c>
      <c r="U255" s="24">
        <v>0.1</v>
      </c>
      <c r="V255" s="25">
        <f t="shared" si="40"/>
        <v>4828.6402475246596</v>
      </c>
      <c r="W255" s="26" t="s">
        <v>29</v>
      </c>
    </row>
    <row r="256" spans="1:23" ht="89.25" x14ac:dyDescent="0.25">
      <c r="A256" s="17">
        <f t="shared" ca="1" si="39"/>
        <v>252</v>
      </c>
      <c r="B256" s="18" t="s">
        <v>139</v>
      </c>
      <c r="C256" s="18" t="s">
        <v>532</v>
      </c>
      <c r="D256" s="18"/>
      <c r="E256" s="18"/>
      <c r="F256" s="18"/>
      <c r="G256" s="18"/>
      <c r="H256" s="19" t="s">
        <v>533</v>
      </c>
      <c r="I256" s="18" t="s">
        <v>161</v>
      </c>
      <c r="J256" s="20">
        <v>1</v>
      </c>
      <c r="K256" s="20">
        <v>1.1499999999999999</v>
      </c>
      <c r="L256" s="21" t="s">
        <v>28</v>
      </c>
      <c r="M256" s="22">
        <v>2.7664</v>
      </c>
      <c r="N256" s="22">
        <v>0.18</v>
      </c>
      <c r="O256" s="22">
        <v>1017.1985435894751</v>
      </c>
      <c r="P256" s="22">
        <f t="shared" si="41"/>
        <v>3236.0747586338121</v>
      </c>
      <c r="Q256" s="22">
        <v>2777.0693256854333</v>
      </c>
      <c r="R256" s="22">
        <f t="shared" si="42"/>
        <v>574.85335041688461</v>
      </c>
      <c r="S256" s="22">
        <f t="shared" si="43"/>
        <v>3810.9281090506965</v>
      </c>
      <c r="T256" s="23">
        <v>0.55859868298040061</v>
      </c>
      <c r="U256" s="24">
        <v>0.1</v>
      </c>
      <c r="V256" s="25">
        <f t="shared" si="40"/>
        <v>6533.6782848693447</v>
      </c>
      <c r="W256" s="26" t="s">
        <v>29</v>
      </c>
    </row>
    <row r="257" spans="1:23" ht="89.25" x14ac:dyDescent="0.25">
      <c r="A257" s="17">
        <f t="shared" ca="1" si="39"/>
        <v>253</v>
      </c>
      <c r="B257" s="18" t="s">
        <v>139</v>
      </c>
      <c r="C257" s="18" t="s">
        <v>534</v>
      </c>
      <c r="D257" s="18"/>
      <c r="E257" s="18"/>
      <c r="F257" s="18"/>
      <c r="G257" s="18"/>
      <c r="H257" s="19" t="s">
        <v>535</v>
      </c>
      <c r="I257" s="18" t="s">
        <v>161</v>
      </c>
      <c r="J257" s="20">
        <v>1</v>
      </c>
      <c r="K257" s="20">
        <v>1.1499999999999999</v>
      </c>
      <c r="L257" s="21" t="s">
        <v>28</v>
      </c>
      <c r="M257" s="22">
        <v>2.9336999999999995</v>
      </c>
      <c r="N257" s="22">
        <v>0.18</v>
      </c>
      <c r="O257" s="22">
        <v>1017.1985435894751</v>
      </c>
      <c r="P257" s="22">
        <f t="shared" si="41"/>
        <v>3431.7786724277084</v>
      </c>
      <c r="Q257" s="22">
        <v>2777.0693256854333</v>
      </c>
      <c r="R257" s="22">
        <f t="shared" si="42"/>
        <v>574.85335041688461</v>
      </c>
      <c r="S257" s="22">
        <f t="shared" si="43"/>
        <v>4006.6320228445929</v>
      </c>
      <c r="T257" s="23">
        <v>0.55859868298040061</v>
      </c>
      <c r="U257" s="24">
        <v>0.1</v>
      </c>
      <c r="V257" s="25">
        <f t="shared" si="40"/>
        <v>6869.2045333919486</v>
      </c>
      <c r="W257" s="26" t="s">
        <v>29</v>
      </c>
    </row>
    <row r="258" spans="1:23" ht="89.25" x14ac:dyDescent="0.25">
      <c r="A258" s="17">
        <f t="shared" ca="1" si="39"/>
        <v>254</v>
      </c>
      <c r="B258" s="18" t="s">
        <v>139</v>
      </c>
      <c r="C258" s="18" t="s">
        <v>536</v>
      </c>
      <c r="D258" s="18"/>
      <c r="E258" s="18"/>
      <c r="F258" s="18"/>
      <c r="G258" s="18"/>
      <c r="H258" s="19" t="s">
        <v>537</v>
      </c>
      <c r="I258" s="18" t="s">
        <v>161</v>
      </c>
      <c r="J258" s="20">
        <v>1</v>
      </c>
      <c r="K258" s="20">
        <v>1.1499999999999999</v>
      </c>
      <c r="L258" s="21" t="s">
        <v>28</v>
      </c>
      <c r="M258" s="22">
        <v>3.1002999999999998</v>
      </c>
      <c r="N258" s="22">
        <v>0.18</v>
      </c>
      <c r="O258" s="22">
        <v>1017.1985435894751</v>
      </c>
      <c r="P258" s="22">
        <f t="shared" si="41"/>
        <v>3626.6637413940166</v>
      </c>
      <c r="Q258" s="22">
        <v>2777.0693256854333</v>
      </c>
      <c r="R258" s="22">
        <f t="shared" si="42"/>
        <v>574.85335041688461</v>
      </c>
      <c r="S258" s="22">
        <f t="shared" si="43"/>
        <v>4201.5170918109015</v>
      </c>
      <c r="T258" s="23">
        <v>0.55859868298040061</v>
      </c>
      <c r="U258" s="24">
        <v>0.1</v>
      </c>
      <c r="V258" s="25">
        <f t="shared" si="40"/>
        <v>7203.3269063977259</v>
      </c>
      <c r="W258" s="26" t="s">
        <v>29</v>
      </c>
    </row>
    <row r="259" spans="1:23" ht="89.25" x14ac:dyDescent="0.25">
      <c r="A259" s="17">
        <f t="shared" ref="A259:A322" ca="1" si="44">CELL("строка",A259)-4</f>
        <v>255</v>
      </c>
      <c r="B259" s="18" t="s">
        <v>139</v>
      </c>
      <c r="C259" s="18" t="s">
        <v>538</v>
      </c>
      <c r="D259" s="18"/>
      <c r="E259" s="18"/>
      <c r="F259" s="18"/>
      <c r="G259" s="18"/>
      <c r="H259" s="19" t="s">
        <v>539</v>
      </c>
      <c r="I259" s="18" t="s">
        <v>161</v>
      </c>
      <c r="J259" s="20">
        <v>1</v>
      </c>
      <c r="K259" s="20">
        <v>1.1499999999999999</v>
      </c>
      <c r="L259" s="21" t="s">
        <v>28</v>
      </c>
      <c r="M259" s="22">
        <v>3.7450000000000001</v>
      </c>
      <c r="N259" s="22">
        <v>0.18</v>
      </c>
      <c r="O259" s="22">
        <v>1017.1985435894751</v>
      </c>
      <c r="P259" s="22">
        <f t="shared" si="41"/>
        <v>4380.819827603972</v>
      </c>
      <c r="Q259" s="22">
        <v>2777.0693256854333</v>
      </c>
      <c r="R259" s="22">
        <f t="shared" si="42"/>
        <v>574.85335041688461</v>
      </c>
      <c r="S259" s="22">
        <f t="shared" si="43"/>
        <v>4955.6731780208565</v>
      </c>
      <c r="T259" s="23">
        <v>0.55859868298040061</v>
      </c>
      <c r="U259" s="24">
        <v>0.1</v>
      </c>
      <c r="V259" s="25">
        <f t="shared" si="40"/>
        <v>8496.2962573990644</v>
      </c>
      <c r="W259" s="26" t="s">
        <v>29</v>
      </c>
    </row>
    <row r="260" spans="1:23" ht="89.25" x14ac:dyDescent="0.25">
      <c r="A260" s="17">
        <f t="shared" ca="1" si="44"/>
        <v>256</v>
      </c>
      <c r="B260" s="18" t="s">
        <v>139</v>
      </c>
      <c r="C260" s="18" t="s">
        <v>540</v>
      </c>
      <c r="D260" s="18"/>
      <c r="E260" s="18"/>
      <c r="F260" s="18"/>
      <c r="G260" s="18"/>
      <c r="H260" s="19" t="s">
        <v>541</v>
      </c>
      <c r="I260" s="18" t="s">
        <v>161</v>
      </c>
      <c r="J260" s="20">
        <v>1</v>
      </c>
      <c r="K260" s="20">
        <v>1.1499999999999999</v>
      </c>
      <c r="L260" s="21" t="s">
        <v>28</v>
      </c>
      <c r="M260" s="22">
        <v>3.9123000000000001</v>
      </c>
      <c r="N260" s="22">
        <v>0.18</v>
      </c>
      <c r="O260" s="22">
        <v>1017.1985435894751</v>
      </c>
      <c r="P260" s="22">
        <f t="shared" si="41"/>
        <v>4576.5237413978684</v>
      </c>
      <c r="Q260" s="22">
        <v>2777.0693256854333</v>
      </c>
      <c r="R260" s="22">
        <f t="shared" si="42"/>
        <v>574.85335041688461</v>
      </c>
      <c r="S260" s="22">
        <f t="shared" si="43"/>
        <v>5151.3770918147529</v>
      </c>
      <c r="T260" s="23">
        <v>0.55859868298040061</v>
      </c>
      <c r="U260" s="24">
        <v>0.1</v>
      </c>
      <c r="V260" s="25">
        <f t="shared" si="40"/>
        <v>8831.8225059216675</v>
      </c>
      <c r="W260" s="26" t="s">
        <v>29</v>
      </c>
    </row>
    <row r="261" spans="1:23" ht="89.25" x14ac:dyDescent="0.25">
      <c r="A261" s="17">
        <f t="shared" ca="1" si="44"/>
        <v>257</v>
      </c>
      <c r="B261" s="18" t="s">
        <v>139</v>
      </c>
      <c r="C261" s="18" t="s">
        <v>542</v>
      </c>
      <c r="D261" s="18"/>
      <c r="E261" s="18"/>
      <c r="F261" s="18"/>
      <c r="G261" s="18"/>
      <c r="H261" s="19" t="s">
        <v>543</v>
      </c>
      <c r="I261" s="18" t="s">
        <v>161</v>
      </c>
      <c r="J261" s="20">
        <v>1</v>
      </c>
      <c r="K261" s="20">
        <v>1.1499999999999999</v>
      </c>
      <c r="L261" s="21" t="s">
        <v>28</v>
      </c>
      <c r="M261" s="22">
        <v>4.7088999999999999</v>
      </c>
      <c r="N261" s="22">
        <v>0.44999999999999996</v>
      </c>
      <c r="O261" s="22">
        <v>1017.1985435894751</v>
      </c>
      <c r="P261" s="22">
        <f t="shared" si="41"/>
        <v>5508.3691551947513</v>
      </c>
      <c r="Q261" s="22">
        <v>2777.0693256854333</v>
      </c>
      <c r="R261" s="22">
        <f t="shared" si="42"/>
        <v>1437.1333760422117</v>
      </c>
      <c r="S261" s="22">
        <f t="shared" si="43"/>
        <v>6945.5025312369635</v>
      </c>
      <c r="T261" s="23">
        <v>0.55859868298040061</v>
      </c>
      <c r="U261" s="24">
        <v>0.1</v>
      </c>
      <c r="V261" s="25">
        <f t="shared" si="40"/>
        <v>11907.776207605266</v>
      </c>
      <c r="W261" s="26" t="s">
        <v>29</v>
      </c>
    </row>
    <row r="262" spans="1:23" ht="89.25" x14ac:dyDescent="0.25">
      <c r="A262" s="17">
        <f t="shared" ca="1" si="44"/>
        <v>258</v>
      </c>
      <c r="B262" s="18" t="s">
        <v>139</v>
      </c>
      <c r="C262" s="18" t="s">
        <v>544</v>
      </c>
      <c r="D262" s="18"/>
      <c r="E262" s="18"/>
      <c r="F262" s="18"/>
      <c r="G262" s="18"/>
      <c r="H262" s="19" t="s">
        <v>545</v>
      </c>
      <c r="I262" s="18" t="s">
        <v>161</v>
      </c>
      <c r="J262" s="20">
        <v>1</v>
      </c>
      <c r="K262" s="20">
        <v>1.1499999999999999</v>
      </c>
      <c r="L262" s="21" t="s">
        <v>28</v>
      </c>
      <c r="M262" s="22">
        <v>4.8754999999999997</v>
      </c>
      <c r="N262" s="22">
        <v>0.44999999999999996</v>
      </c>
      <c r="O262" s="22">
        <v>1017.1985435894751</v>
      </c>
      <c r="P262" s="22">
        <f t="shared" si="41"/>
        <v>5703.2542241610581</v>
      </c>
      <c r="Q262" s="22">
        <v>2777.0693256854333</v>
      </c>
      <c r="R262" s="22">
        <f t="shared" si="42"/>
        <v>1437.1333760422117</v>
      </c>
      <c r="S262" s="22">
        <f t="shared" si="43"/>
        <v>7140.3876002032703</v>
      </c>
      <c r="T262" s="23">
        <v>0.55859868298040061</v>
      </c>
      <c r="U262" s="24">
        <v>0.1</v>
      </c>
      <c r="V262" s="25">
        <f t="shared" si="40"/>
        <v>12241.89858061104</v>
      </c>
      <c r="W262" s="26" t="s">
        <v>29</v>
      </c>
    </row>
    <row r="263" spans="1:23" ht="89.25" x14ac:dyDescent="0.25">
      <c r="A263" s="17">
        <f t="shared" ca="1" si="44"/>
        <v>259</v>
      </c>
      <c r="B263" s="18" t="s">
        <v>139</v>
      </c>
      <c r="C263" s="18" t="s">
        <v>546</v>
      </c>
      <c r="D263" s="18"/>
      <c r="E263" s="18"/>
      <c r="F263" s="18"/>
      <c r="G263" s="18"/>
      <c r="H263" s="19" t="s">
        <v>547</v>
      </c>
      <c r="I263" s="18" t="s">
        <v>161</v>
      </c>
      <c r="J263" s="20">
        <v>1</v>
      </c>
      <c r="K263" s="20">
        <v>1.1499999999999999</v>
      </c>
      <c r="L263" s="21" t="s">
        <v>28</v>
      </c>
      <c r="M263" s="22">
        <v>5.5209000000000001</v>
      </c>
      <c r="N263" s="22">
        <v>0.44999999999999996</v>
      </c>
      <c r="O263" s="22">
        <v>1017.1985435894751</v>
      </c>
      <c r="P263" s="22">
        <f t="shared" si="41"/>
        <v>6458.2291551986018</v>
      </c>
      <c r="Q263" s="22">
        <v>2777.0693256854333</v>
      </c>
      <c r="R263" s="22">
        <f t="shared" si="42"/>
        <v>1437.1333760422117</v>
      </c>
      <c r="S263" s="22">
        <f t="shared" si="43"/>
        <v>7895.362531240813</v>
      </c>
      <c r="T263" s="23">
        <v>0.55859868298040061</v>
      </c>
      <c r="U263" s="24">
        <v>0.1</v>
      </c>
      <c r="V263" s="25">
        <f t="shared" si="40"/>
        <v>13536.271807129207</v>
      </c>
      <c r="W263" s="26" t="s">
        <v>29</v>
      </c>
    </row>
    <row r="264" spans="1:23" ht="89.25" x14ac:dyDescent="0.25">
      <c r="A264" s="17">
        <f t="shared" ca="1" si="44"/>
        <v>260</v>
      </c>
      <c r="B264" s="18" t="s">
        <v>139</v>
      </c>
      <c r="C264" s="18" t="s">
        <v>548</v>
      </c>
      <c r="D264" s="18"/>
      <c r="E264" s="18"/>
      <c r="F264" s="18"/>
      <c r="G264" s="18"/>
      <c r="H264" s="19" t="s">
        <v>549</v>
      </c>
      <c r="I264" s="18" t="s">
        <v>161</v>
      </c>
      <c r="J264" s="20">
        <v>1</v>
      </c>
      <c r="K264" s="20">
        <v>1.1499999999999999</v>
      </c>
      <c r="L264" s="21" t="s">
        <v>28</v>
      </c>
      <c r="M264" s="22">
        <v>5.6875</v>
      </c>
      <c r="N264" s="22">
        <v>0.44999999999999996</v>
      </c>
      <c r="O264" s="22">
        <v>1017.1985435894751</v>
      </c>
      <c r="P264" s="22">
        <f t="shared" si="41"/>
        <v>6653.1142241649095</v>
      </c>
      <c r="Q264" s="22">
        <v>2777.0693256854333</v>
      </c>
      <c r="R264" s="22">
        <f t="shared" si="42"/>
        <v>1437.1333760422117</v>
      </c>
      <c r="S264" s="22">
        <f t="shared" si="43"/>
        <v>8090.2476002071216</v>
      </c>
      <c r="T264" s="23">
        <v>0.55859868298040061</v>
      </c>
      <c r="U264" s="24">
        <v>0.1</v>
      </c>
      <c r="V264" s="25">
        <f t="shared" si="40"/>
        <v>13870.394180134983</v>
      </c>
      <c r="W264" s="26" t="s">
        <v>29</v>
      </c>
    </row>
    <row r="265" spans="1:23" ht="89.25" x14ac:dyDescent="0.25">
      <c r="A265" s="17">
        <f t="shared" ca="1" si="44"/>
        <v>261</v>
      </c>
      <c r="B265" s="18" t="s">
        <v>139</v>
      </c>
      <c r="C265" s="18" t="s">
        <v>550</v>
      </c>
      <c r="D265" s="18"/>
      <c r="E265" s="18"/>
      <c r="F265" s="18"/>
      <c r="G265" s="18"/>
      <c r="H265" s="19" t="s">
        <v>551</v>
      </c>
      <c r="I265" s="18" t="s">
        <v>161</v>
      </c>
      <c r="J265" s="20">
        <v>1</v>
      </c>
      <c r="K265" s="20">
        <v>1.1499999999999999</v>
      </c>
      <c r="L265" s="21" t="s">
        <v>28</v>
      </c>
      <c r="M265" s="22">
        <v>2.4198999999999997</v>
      </c>
      <c r="N265" s="22">
        <v>4.4999999999999998E-2</v>
      </c>
      <c r="O265" s="22">
        <v>1017.1985435894751</v>
      </c>
      <c r="P265" s="22">
        <f t="shared" si="41"/>
        <v>2830.7465689769956</v>
      </c>
      <c r="Q265" s="22">
        <v>2777.0693256854333</v>
      </c>
      <c r="R265" s="22">
        <f t="shared" si="42"/>
        <v>143.71333760422115</v>
      </c>
      <c r="S265" s="22">
        <f t="shared" si="43"/>
        <v>2974.4599065812167</v>
      </c>
      <c r="T265" s="23">
        <v>0.55859868298040061</v>
      </c>
      <c r="U265" s="24">
        <v>0.1</v>
      </c>
      <c r="V265" s="25">
        <f t="shared" si="40"/>
        <v>5099.5882222730388</v>
      </c>
      <c r="W265" s="26" t="s">
        <v>29</v>
      </c>
    </row>
    <row r="266" spans="1:23" ht="89.25" x14ac:dyDescent="0.25">
      <c r="A266" s="17">
        <f t="shared" ca="1" si="44"/>
        <v>262</v>
      </c>
      <c r="B266" s="18" t="s">
        <v>139</v>
      </c>
      <c r="C266" s="18" t="s">
        <v>552</v>
      </c>
      <c r="D266" s="18"/>
      <c r="E266" s="18"/>
      <c r="F266" s="18"/>
      <c r="G266" s="18"/>
      <c r="H266" s="19" t="s">
        <v>553</v>
      </c>
      <c r="I266" s="18" t="s">
        <v>161</v>
      </c>
      <c r="J266" s="20">
        <v>1</v>
      </c>
      <c r="K266" s="20">
        <v>1.1499999999999999</v>
      </c>
      <c r="L266" s="21" t="s">
        <v>28</v>
      </c>
      <c r="M266" s="22">
        <v>2.6424999999999996</v>
      </c>
      <c r="N266" s="22">
        <v>4.4999999999999998E-2</v>
      </c>
      <c r="O266" s="22">
        <v>1017.1985435894751</v>
      </c>
      <c r="P266" s="22">
        <f t="shared" si="41"/>
        <v>3091.1392241504655</v>
      </c>
      <c r="Q266" s="22">
        <v>2777.0693256854333</v>
      </c>
      <c r="R266" s="22">
        <f t="shared" si="42"/>
        <v>143.71333760422115</v>
      </c>
      <c r="S266" s="22">
        <f t="shared" si="43"/>
        <v>3234.8525617546866</v>
      </c>
      <c r="T266" s="23">
        <v>0.55859868298040061</v>
      </c>
      <c r="U266" s="24">
        <v>0.1</v>
      </c>
      <c r="V266" s="25">
        <f t="shared" si="40"/>
        <v>5546.0206366252924</v>
      </c>
      <c r="W266" s="26" t="s">
        <v>29</v>
      </c>
    </row>
    <row r="267" spans="1:23" ht="89.25" x14ac:dyDescent="0.25">
      <c r="A267" s="17">
        <f t="shared" ca="1" si="44"/>
        <v>263</v>
      </c>
      <c r="B267" s="18" t="s">
        <v>139</v>
      </c>
      <c r="C267" s="18" t="s">
        <v>554</v>
      </c>
      <c r="D267" s="18"/>
      <c r="E267" s="18"/>
      <c r="F267" s="18"/>
      <c r="G267" s="18"/>
      <c r="H267" s="19" t="s">
        <v>555</v>
      </c>
      <c r="I267" s="18" t="s">
        <v>161</v>
      </c>
      <c r="J267" s="20">
        <v>1</v>
      </c>
      <c r="K267" s="20">
        <v>1.1499999999999999</v>
      </c>
      <c r="L267" s="21" t="s">
        <v>28</v>
      </c>
      <c r="M267" s="22">
        <v>3.1794000000000002</v>
      </c>
      <c r="N267" s="22">
        <v>0.18</v>
      </c>
      <c r="O267" s="22">
        <v>1017.1985435894751</v>
      </c>
      <c r="P267" s="22">
        <f t="shared" si="41"/>
        <v>3719.1932069116333</v>
      </c>
      <c r="Q267" s="22">
        <v>2777.0693256854333</v>
      </c>
      <c r="R267" s="22">
        <f t="shared" si="42"/>
        <v>574.85335041688461</v>
      </c>
      <c r="S267" s="22">
        <f t="shared" si="43"/>
        <v>4294.0465573285182</v>
      </c>
      <c r="T267" s="23">
        <v>0.55859868298040061</v>
      </c>
      <c r="U267" s="24">
        <v>0.1</v>
      </c>
      <c r="V267" s="25">
        <f t="shared" si="40"/>
        <v>7361.964839799627</v>
      </c>
      <c r="W267" s="26" t="s">
        <v>29</v>
      </c>
    </row>
    <row r="268" spans="1:23" ht="89.25" x14ac:dyDescent="0.25">
      <c r="A268" s="17">
        <f t="shared" ca="1" si="44"/>
        <v>264</v>
      </c>
      <c r="B268" s="18" t="s">
        <v>139</v>
      </c>
      <c r="C268" s="18" t="s">
        <v>556</v>
      </c>
      <c r="D268" s="18"/>
      <c r="E268" s="18"/>
      <c r="F268" s="18"/>
      <c r="G268" s="18"/>
      <c r="H268" s="19" t="s">
        <v>557</v>
      </c>
      <c r="I268" s="18" t="s">
        <v>161</v>
      </c>
      <c r="J268" s="20">
        <v>1</v>
      </c>
      <c r="K268" s="20">
        <v>1.1499999999999999</v>
      </c>
      <c r="L268" s="21" t="s">
        <v>28</v>
      </c>
      <c r="M268" s="22">
        <v>3.4020000000000001</v>
      </c>
      <c r="N268" s="22">
        <v>0.18</v>
      </c>
      <c r="O268" s="22">
        <v>1017.1985435894751</v>
      </c>
      <c r="P268" s="22">
        <f t="shared" si="41"/>
        <v>3979.5858620851036</v>
      </c>
      <c r="Q268" s="22">
        <v>2777.0693256854333</v>
      </c>
      <c r="R268" s="22">
        <f t="shared" si="42"/>
        <v>574.85335041688461</v>
      </c>
      <c r="S268" s="22">
        <f t="shared" si="43"/>
        <v>4554.4392125019885</v>
      </c>
      <c r="T268" s="23">
        <v>0.55859868298040061</v>
      </c>
      <c r="U268" s="24">
        <v>0.1</v>
      </c>
      <c r="V268" s="25">
        <f t="shared" si="40"/>
        <v>7808.3972541518815</v>
      </c>
      <c r="W268" s="26" t="s">
        <v>29</v>
      </c>
    </row>
    <row r="269" spans="1:23" ht="89.25" x14ac:dyDescent="0.25">
      <c r="A269" s="17">
        <f t="shared" ca="1" si="44"/>
        <v>265</v>
      </c>
      <c r="B269" s="18" t="s">
        <v>139</v>
      </c>
      <c r="C269" s="18" t="s">
        <v>558</v>
      </c>
      <c r="D269" s="18"/>
      <c r="E269" s="18"/>
      <c r="F269" s="18"/>
      <c r="G269" s="18"/>
      <c r="H269" s="19" t="s">
        <v>559</v>
      </c>
      <c r="I269" s="18" t="s">
        <v>161</v>
      </c>
      <c r="J269" s="20">
        <v>1</v>
      </c>
      <c r="K269" s="20">
        <v>1.1499999999999999</v>
      </c>
      <c r="L269" s="21" t="s">
        <v>28</v>
      </c>
      <c r="M269" s="22">
        <v>4.1020000000000003</v>
      </c>
      <c r="N269" s="22">
        <v>0.18</v>
      </c>
      <c r="O269" s="22">
        <v>1017.1985435894751</v>
      </c>
      <c r="P269" s="22">
        <f t="shared" si="41"/>
        <v>4798.4306896746302</v>
      </c>
      <c r="Q269" s="22">
        <v>2777.0693256854333</v>
      </c>
      <c r="R269" s="22">
        <f t="shared" si="42"/>
        <v>574.85335041688461</v>
      </c>
      <c r="S269" s="22">
        <f t="shared" si="43"/>
        <v>5373.2840400915147</v>
      </c>
      <c r="T269" s="23">
        <v>0.55859868298040061</v>
      </c>
      <c r="U269" s="24">
        <v>0.1</v>
      </c>
      <c r="V269" s="25">
        <f t="shared" si="40"/>
        <v>9212.2727709828669</v>
      </c>
      <c r="W269" s="26" t="s">
        <v>29</v>
      </c>
    </row>
    <row r="270" spans="1:23" ht="89.25" x14ac:dyDescent="0.25">
      <c r="A270" s="17">
        <f t="shared" ca="1" si="44"/>
        <v>266</v>
      </c>
      <c r="B270" s="18" t="s">
        <v>139</v>
      </c>
      <c r="C270" s="18" t="s">
        <v>560</v>
      </c>
      <c r="D270" s="18"/>
      <c r="E270" s="18"/>
      <c r="F270" s="18"/>
      <c r="G270" s="18"/>
      <c r="H270" s="19" t="s">
        <v>561</v>
      </c>
      <c r="I270" s="18" t="s">
        <v>161</v>
      </c>
      <c r="J270" s="20">
        <v>1</v>
      </c>
      <c r="K270" s="20">
        <v>1.1499999999999999</v>
      </c>
      <c r="L270" s="21" t="s">
        <v>28</v>
      </c>
      <c r="M270" s="22">
        <v>4.3245999999999993</v>
      </c>
      <c r="N270" s="22">
        <v>0.18</v>
      </c>
      <c r="O270" s="22">
        <v>1017.1985435894751</v>
      </c>
      <c r="P270" s="22">
        <f t="shared" si="41"/>
        <v>5058.8233448480996</v>
      </c>
      <c r="Q270" s="22">
        <v>2777.0693256854333</v>
      </c>
      <c r="R270" s="22">
        <f t="shared" si="42"/>
        <v>574.85335041688461</v>
      </c>
      <c r="S270" s="22">
        <f t="shared" si="43"/>
        <v>5633.6766952649841</v>
      </c>
      <c r="T270" s="23">
        <v>0.55859868298040061</v>
      </c>
      <c r="U270" s="24">
        <v>0.1</v>
      </c>
      <c r="V270" s="25">
        <f t="shared" si="40"/>
        <v>9658.7051853351186</v>
      </c>
      <c r="W270" s="26" t="s">
        <v>29</v>
      </c>
    </row>
    <row r="271" spans="1:23" ht="89.25" x14ac:dyDescent="0.25">
      <c r="A271" s="17">
        <f t="shared" ca="1" si="44"/>
        <v>267</v>
      </c>
      <c r="B271" s="18" t="s">
        <v>139</v>
      </c>
      <c r="C271" s="18" t="s">
        <v>562</v>
      </c>
      <c r="D271" s="18"/>
      <c r="E271" s="18"/>
      <c r="F271" s="18"/>
      <c r="G271" s="18"/>
      <c r="H271" s="19" t="s">
        <v>563</v>
      </c>
      <c r="I271" s="18" t="s">
        <v>161</v>
      </c>
      <c r="J271" s="20">
        <v>1</v>
      </c>
      <c r="K271" s="20">
        <v>1.1499999999999999</v>
      </c>
      <c r="L271" s="21" t="s">
        <v>28</v>
      </c>
      <c r="M271" s="22">
        <v>4.5472000000000001</v>
      </c>
      <c r="N271" s="22">
        <v>0.18</v>
      </c>
      <c r="O271" s="22">
        <v>1017.1985435894751</v>
      </c>
      <c r="P271" s="22">
        <f t="shared" si="41"/>
        <v>5319.2160000215708</v>
      </c>
      <c r="Q271" s="22">
        <v>2777.0693256854333</v>
      </c>
      <c r="R271" s="22">
        <f t="shared" si="42"/>
        <v>574.85335041688461</v>
      </c>
      <c r="S271" s="22">
        <f t="shared" si="43"/>
        <v>5894.0693504384553</v>
      </c>
      <c r="T271" s="23">
        <v>0.55859868298040061</v>
      </c>
      <c r="U271" s="24">
        <v>0.1</v>
      </c>
      <c r="V271" s="25">
        <f t="shared" si="40"/>
        <v>10105.137599687374</v>
      </c>
      <c r="W271" s="26" t="s">
        <v>29</v>
      </c>
    </row>
    <row r="272" spans="1:23" ht="89.25" x14ac:dyDescent="0.25">
      <c r="A272" s="17">
        <f t="shared" ca="1" si="44"/>
        <v>268</v>
      </c>
      <c r="B272" s="18" t="s">
        <v>139</v>
      </c>
      <c r="C272" s="18" t="s">
        <v>564</v>
      </c>
      <c r="D272" s="18"/>
      <c r="E272" s="18"/>
      <c r="F272" s="18"/>
      <c r="G272" s="18"/>
      <c r="H272" s="19" t="s">
        <v>565</v>
      </c>
      <c r="I272" s="18" t="s">
        <v>161</v>
      </c>
      <c r="J272" s="20">
        <v>1</v>
      </c>
      <c r="K272" s="20">
        <v>1.1499999999999999</v>
      </c>
      <c r="L272" s="21" t="s">
        <v>28</v>
      </c>
      <c r="M272" s="22">
        <v>5.3997999999999999</v>
      </c>
      <c r="N272" s="22">
        <v>0.44999999999999996</v>
      </c>
      <c r="O272" s="22">
        <v>1017.1985435894751</v>
      </c>
      <c r="P272" s="22">
        <f t="shared" si="41"/>
        <v>6316.5690000256145</v>
      </c>
      <c r="Q272" s="22">
        <v>2777.0693256854333</v>
      </c>
      <c r="R272" s="22">
        <f t="shared" si="42"/>
        <v>1437.1333760422117</v>
      </c>
      <c r="S272" s="22">
        <f t="shared" si="43"/>
        <v>7753.7023760678258</v>
      </c>
      <c r="T272" s="23">
        <v>0.55859868298040061</v>
      </c>
      <c r="U272" s="24">
        <v>0.1</v>
      </c>
      <c r="V272" s="25">
        <f t="shared" si="40"/>
        <v>13293.401342717447</v>
      </c>
      <c r="W272" s="26" t="s">
        <v>29</v>
      </c>
    </row>
    <row r="273" spans="1:23" ht="89.25" x14ac:dyDescent="0.25">
      <c r="A273" s="17">
        <f t="shared" ca="1" si="44"/>
        <v>269</v>
      </c>
      <c r="B273" s="18" t="s">
        <v>139</v>
      </c>
      <c r="C273" s="18" t="s">
        <v>566</v>
      </c>
      <c r="D273" s="18"/>
      <c r="E273" s="18"/>
      <c r="F273" s="18"/>
      <c r="G273" s="18"/>
      <c r="H273" s="19" t="s">
        <v>567</v>
      </c>
      <c r="I273" s="18" t="s">
        <v>161</v>
      </c>
      <c r="J273" s="20">
        <v>1</v>
      </c>
      <c r="K273" s="20">
        <v>1.1499999999999999</v>
      </c>
      <c r="L273" s="21" t="s">
        <v>28</v>
      </c>
      <c r="M273" s="22">
        <v>6.1004999999999994</v>
      </c>
      <c r="N273" s="22">
        <v>0.44999999999999996</v>
      </c>
      <c r="O273" s="22">
        <v>1017.1985435894751</v>
      </c>
      <c r="P273" s="22">
        <f t="shared" si="41"/>
        <v>7136.2326724427312</v>
      </c>
      <c r="Q273" s="22">
        <v>2777.0693256854333</v>
      </c>
      <c r="R273" s="22">
        <f t="shared" si="42"/>
        <v>1437.1333760422117</v>
      </c>
      <c r="S273" s="22">
        <f t="shared" si="43"/>
        <v>8573.3660484849424</v>
      </c>
      <c r="T273" s="23">
        <v>0.55859868298040061</v>
      </c>
      <c r="U273" s="24">
        <v>0.1</v>
      </c>
      <c r="V273" s="25">
        <f t="shared" si="40"/>
        <v>14698.680735065263</v>
      </c>
      <c r="W273" s="26" t="s">
        <v>29</v>
      </c>
    </row>
    <row r="274" spans="1:23" ht="89.25" x14ac:dyDescent="0.25">
      <c r="A274" s="17">
        <f t="shared" ca="1" si="44"/>
        <v>270</v>
      </c>
      <c r="B274" s="18" t="s">
        <v>139</v>
      </c>
      <c r="C274" s="18" t="s">
        <v>568</v>
      </c>
      <c r="D274" s="18"/>
      <c r="E274" s="18"/>
      <c r="F274" s="18"/>
      <c r="G274" s="18"/>
      <c r="H274" s="19" t="s">
        <v>569</v>
      </c>
      <c r="I274" s="18" t="s">
        <v>161</v>
      </c>
      <c r="J274" s="20">
        <v>1</v>
      </c>
      <c r="K274" s="20">
        <v>1.1499999999999999</v>
      </c>
      <c r="L274" s="21" t="s">
        <v>28</v>
      </c>
      <c r="M274" s="22">
        <v>6.3224</v>
      </c>
      <c r="N274" s="22">
        <v>0.44999999999999996</v>
      </c>
      <c r="O274" s="22">
        <v>1017.1985435894751</v>
      </c>
      <c r="P274" s="22">
        <f t="shared" si="41"/>
        <v>7395.8064827886119</v>
      </c>
      <c r="Q274" s="22">
        <v>2777.0693256854333</v>
      </c>
      <c r="R274" s="22">
        <f t="shared" si="42"/>
        <v>1437.1333760422117</v>
      </c>
      <c r="S274" s="22">
        <f t="shared" si="43"/>
        <v>8832.9398588308231</v>
      </c>
      <c r="T274" s="23">
        <v>0.55859868298040061</v>
      </c>
      <c r="U274" s="24">
        <v>0.1</v>
      </c>
      <c r="V274" s="25">
        <f t="shared" si="40"/>
        <v>15143.709273900688</v>
      </c>
      <c r="W274" s="26" t="s">
        <v>29</v>
      </c>
    </row>
    <row r="275" spans="1:23" ht="89.25" x14ac:dyDescent="0.25">
      <c r="A275" s="17">
        <f t="shared" ca="1" si="44"/>
        <v>271</v>
      </c>
      <c r="B275" s="18" t="s">
        <v>139</v>
      </c>
      <c r="C275" s="18" t="s">
        <v>570</v>
      </c>
      <c r="D275" s="18"/>
      <c r="E275" s="18"/>
      <c r="F275" s="18"/>
      <c r="G275" s="18"/>
      <c r="H275" s="19" t="s">
        <v>571</v>
      </c>
      <c r="I275" s="18" t="s">
        <v>161</v>
      </c>
      <c r="J275" s="20">
        <v>1</v>
      </c>
      <c r="K275" s="20">
        <v>1.1499999999999999</v>
      </c>
      <c r="L275" s="21" t="s">
        <v>28</v>
      </c>
      <c r="M275" s="22">
        <v>6.544999999999999</v>
      </c>
      <c r="N275" s="22">
        <v>0.44999999999999996</v>
      </c>
      <c r="O275" s="22">
        <v>1017.1985435894751</v>
      </c>
      <c r="P275" s="22">
        <f t="shared" si="41"/>
        <v>7656.1991379620795</v>
      </c>
      <c r="Q275" s="22">
        <v>2777.0693256854333</v>
      </c>
      <c r="R275" s="22">
        <f t="shared" si="42"/>
        <v>1437.1333760422117</v>
      </c>
      <c r="S275" s="22">
        <f t="shared" si="43"/>
        <v>9093.3325140042907</v>
      </c>
      <c r="T275" s="23">
        <v>0.55859868298040061</v>
      </c>
      <c r="U275" s="24">
        <v>0.1</v>
      </c>
      <c r="V275" s="25">
        <f t="shared" si="40"/>
        <v>15590.141688252937</v>
      </c>
      <c r="W275" s="26" t="s">
        <v>29</v>
      </c>
    </row>
    <row r="276" spans="1:23" ht="89.25" x14ac:dyDescent="0.25">
      <c r="A276" s="17">
        <f t="shared" ca="1" si="44"/>
        <v>272</v>
      </c>
      <c r="B276" s="18" t="s">
        <v>139</v>
      </c>
      <c r="C276" s="18" t="s">
        <v>572</v>
      </c>
      <c r="D276" s="18"/>
      <c r="E276" s="18"/>
      <c r="F276" s="18"/>
      <c r="G276" s="18"/>
      <c r="H276" s="19" t="s">
        <v>573</v>
      </c>
      <c r="I276" s="18" t="s">
        <v>161</v>
      </c>
      <c r="J276" s="20">
        <v>1</v>
      </c>
      <c r="K276" s="20">
        <v>1.1499999999999999</v>
      </c>
      <c r="L276" s="21" t="s">
        <v>28</v>
      </c>
      <c r="M276" s="22">
        <v>2.7208999999999999</v>
      </c>
      <c r="N276" s="22">
        <v>4.4999999999999998E-2</v>
      </c>
      <c r="O276" s="22">
        <v>1017.1985435894751</v>
      </c>
      <c r="P276" s="22">
        <f t="shared" si="41"/>
        <v>3182.849844840493</v>
      </c>
      <c r="Q276" s="22">
        <v>2777.0693256854333</v>
      </c>
      <c r="R276" s="22">
        <f t="shared" si="42"/>
        <v>143.71333760422115</v>
      </c>
      <c r="S276" s="22">
        <f t="shared" si="43"/>
        <v>3326.5631824447141</v>
      </c>
      <c r="T276" s="23">
        <v>0.55859868298040061</v>
      </c>
      <c r="U276" s="24">
        <v>0.1</v>
      </c>
      <c r="V276" s="25">
        <f t="shared" si="40"/>
        <v>5703.2546945103641</v>
      </c>
      <c r="W276" s="26" t="s">
        <v>29</v>
      </c>
    </row>
    <row r="277" spans="1:23" ht="89.25" x14ac:dyDescent="0.25">
      <c r="A277" s="17">
        <f t="shared" ca="1" si="44"/>
        <v>273</v>
      </c>
      <c r="B277" s="18" t="s">
        <v>139</v>
      </c>
      <c r="C277" s="18" t="s">
        <v>574</v>
      </c>
      <c r="D277" s="18"/>
      <c r="E277" s="18"/>
      <c r="F277" s="18"/>
      <c r="G277" s="18"/>
      <c r="H277" s="19" t="s">
        <v>575</v>
      </c>
      <c r="I277" s="18" t="s">
        <v>161</v>
      </c>
      <c r="J277" s="20">
        <v>1</v>
      </c>
      <c r="K277" s="20">
        <v>1.1499999999999999</v>
      </c>
      <c r="L277" s="21" t="s">
        <v>28</v>
      </c>
      <c r="M277" s="22">
        <v>2.9994999999999998</v>
      </c>
      <c r="N277" s="22">
        <v>4.4999999999999998E-2</v>
      </c>
      <c r="O277" s="22">
        <v>1017.1985435894751</v>
      </c>
      <c r="P277" s="22">
        <f t="shared" si="41"/>
        <v>3508.750086221125</v>
      </c>
      <c r="Q277" s="22">
        <v>2777.0693256854333</v>
      </c>
      <c r="R277" s="22">
        <f t="shared" si="42"/>
        <v>143.71333760422115</v>
      </c>
      <c r="S277" s="22">
        <f t="shared" si="43"/>
        <v>3652.4634238253461</v>
      </c>
      <c r="T277" s="23">
        <v>0.55859868298040061</v>
      </c>
      <c r="U277" s="24">
        <v>0.1</v>
      </c>
      <c r="V277" s="25">
        <f t="shared" si="40"/>
        <v>6261.9971502090957</v>
      </c>
      <c r="W277" s="26" t="s">
        <v>29</v>
      </c>
    </row>
    <row r="278" spans="1:23" ht="89.25" x14ac:dyDescent="0.25">
      <c r="A278" s="17">
        <f t="shared" ca="1" si="44"/>
        <v>274</v>
      </c>
      <c r="B278" s="18" t="s">
        <v>139</v>
      </c>
      <c r="C278" s="18" t="s">
        <v>576</v>
      </c>
      <c r="D278" s="18"/>
      <c r="E278" s="18"/>
      <c r="F278" s="18"/>
      <c r="G278" s="18"/>
      <c r="H278" s="19" t="s">
        <v>577</v>
      </c>
      <c r="I278" s="18" t="s">
        <v>161</v>
      </c>
      <c r="J278" s="20">
        <v>1</v>
      </c>
      <c r="K278" s="20">
        <v>1.1499999999999999</v>
      </c>
      <c r="L278" s="21" t="s">
        <v>28</v>
      </c>
      <c r="M278" s="22">
        <v>3.5924</v>
      </c>
      <c r="N278" s="22">
        <v>0.18</v>
      </c>
      <c r="O278" s="22">
        <v>1017.1985435894751</v>
      </c>
      <c r="P278" s="22">
        <f t="shared" si="41"/>
        <v>4202.3116551894545</v>
      </c>
      <c r="Q278" s="22">
        <v>2777.0693256854333</v>
      </c>
      <c r="R278" s="22">
        <f t="shared" si="42"/>
        <v>574.85335041688461</v>
      </c>
      <c r="S278" s="22">
        <f t="shared" si="43"/>
        <v>4777.165005606339</v>
      </c>
      <c r="T278" s="23">
        <v>0.55859868298040061</v>
      </c>
      <c r="U278" s="24">
        <v>0.1</v>
      </c>
      <c r="V278" s="25">
        <f t="shared" si="40"/>
        <v>8190.2513947299076</v>
      </c>
      <c r="W278" s="26" t="s">
        <v>29</v>
      </c>
    </row>
    <row r="279" spans="1:23" ht="89.25" x14ac:dyDescent="0.25">
      <c r="A279" s="17">
        <f t="shared" ca="1" si="44"/>
        <v>275</v>
      </c>
      <c r="B279" s="18" t="s">
        <v>139</v>
      </c>
      <c r="C279" s="18" t="s">
        <v>578</v>
      </c>
      <c r="D279" s="18"/>
      <c r="E279" s="18"/>
      <c r="F279" s="18"/>
      <c r="G279" s="18"/>
      <c r="H279" s="19" t="s">
        <v>579</v>
      </c>
      <c r="I279" s="18" t="s">
        <v>161</v>
      </c>
      <c r="J279" s="20">
        <v>1</v>
      </c>
      <c r="K279" s="20">
        <v>1.1499999999999999</v>
      </c>
      <c r="L279" s="21" t="s">
        <v>28</v>
      </c>
      <c r="M279" s="22">
        <v>4.3483999999999998</v>
      </c>
      <c r="N279" s="22">
        <v>0.18</v>
      </c>
      <c r="O279" s="22">
        <v>1017.1985435894751</v>
      </c>
      <c r="P279" s="22">
        <f t="shared" si="41"/>
        <v>5086.6640689861433</v>
      </c>
      <c r="Q279" s="22">
        <v>2777.0693256854333</v>
      </c>
      <c r="R279" s="22">
        <f t="shared" si="42"/>
        <v>574.85335041688461</v>
      </c>
      <c r="S279" s="22">
        <f t="shared" si="43"/>
        <v>5661.5174194030278</v>
      </c>
      <c r="T279" s="23">
        <v>0.55859868298040061</v>
      </c>
      <c r="U279" s="24">
        <v>0.1</v>
      </c>
      <c r="V279" s="25">
        <f t="shared" si="40"/>
        <v>9706.436952907372</v>
      </c>
      <c r="W279" s="26" t="s">
        <v>29</v>
      </c>
    </row>
    <row r="280" spans="1:23" ht="89.25" x14ac:dyDescent="0.25">
      <c r="A280" s="17">
        <f t="shared" ca="1" si="44"/>
        <v>276</v>
      </c>
      <c r="B280" s="18" t="s">
        <v>139</v>
      </c>
      <c r="C280" s="18" t="s">
        <v>580</v>
      </c>
      <c r="D280" s="18"/>
      <c r="E280" s="18"/>
      <c r="F280" s="18"/>
      <c r="G280" s="18"/>
      <c r="H280" s="19" t="s">
        <v>581</v>
      </c>
      <c r="I280" s="18" t="s">
        <v>161</v>
      </c>
      <c r="J280" s="20">
        <v>1</v>
      </c>
      <c r="K280" s="20">
        <v>1.1499999999999999</v>
      </c>
      <c r="L280" s="21" t="s">
        <v>28</v>
      </c>
      <c r="M280" s="22">
        <v>4.6262999999999996</v>
      </c>
      <c r="N280" s="22">
        <v>0.18</v>
      </c>
      <c r="O280" s="22">
        <v>1017.1985435894751</v>
      </c>
      <c r="P280" s="22">
        <f t="shared" si="41"/>
        <v>5411.7454655391857</v>
      </c>
      <c r="Q280" s="22">
        <v>2777.0693256854333</v>
      </c>
      <c r="R280" s="22">
        <f t="shared" si="42"/>
        <v>574.85335041688461</v>
      </c>
      <c r="S280" s="22">
        <f t="shared" si="43"/>
        <v>5986.5988159560702</v>
      </c>
      <c r="T280" s="23">
        <v>0.55859868298040061</v>
      </c>
      <c r="U280" s="24">
        <v>0.1</v>
      </c>
      <c r="V280" s="25">
        <f t="shared" si="40"/>
        <v>10263.775533089272</v>
      </c>
      <c r="W280" s="26" t="s">
        <v>29</v>
      </c>
    </row>
    <row r="281" spans="1:23" ht="89.25" x14ac:dyDescent="0.25">
      <c r="A281" s="17">
        <f t="shared" ca="1" si="44"/>
        <v>277</v>
      </c>
      <c r="B281" s="18" t="s">
        <v>139</v>
      </c>
      <c r="C281" s="18" t="s">
        <v>582</v>
      </c>
      <c r="D281" s="18"/>
      <c r="E281" s="18"/>
      <c r="F281" s="18"/>
      <c r="G281" s="18"/>
      <c r="H281" s="19" t="s">
        <v>583</v>
      </c>
      <c r="I281" s="18" t="s">
        <v>161</v>
      </c>
      <c r="J281" s="20">
        <v>1</v>
      </c>
      <c r="K281" s="20">
        <v>1.1499999999999999</v>
      </c>
      <c r="L281" s="21" t="s">
        <v>28</v>
      </c>
      <c r="M281" s="22">
        <v>4.9041999999999994</v>
      </c>
      <c r="N281" s="22">
        <v>0.18</v>
      </c>
      <c r="O281" s="22">
        <v>1017.1985435894751</v>
      </c>
      <c r="P281" s="22">
        <f t="shared" si="41"/>
        <v>5736.8268620922281</v>
      </c>
      <c r="Q281" s="22">
        <v>2777.0693256854333</v>
      </c>
      <c r="R281" s="22">
        <f t="shared" si="42"/>
        <v>574.85335041688461</v>
      </c>
      <c r="S281" s="22">
        <f t="shared" si="43"/>
        <v>6311.6802125091126</v>
      </c>
      <c r="T281" s="23">
        <v>0.55859868298040061</v>
      </c>
      <c r="U281" s="24">
        <v>0.1</v>
      </c>
      <c r="V281" s="25">
        <f t="shared" si="40"/>
        <v>10821.114113271175</v>
      </c>
      <c r="W281" s="26" t="s">
        <v>29</v>
      </c>
    </row>
    <row r="282" spans="1:23" ht="89.25" x14ac:dyDescent="0.25">
      <c r="A282" s="17">
        <f t="shared" ca="1" si="44"/>
        <v>278</v>
      </c>
      <c r="B282" s="18" t="s">
        <v>139</v>
      </c>
      <c r="C282" s="18" t="s">
        <v>584</v>
      </c>
      <c r="D282" s="18"/>
      <c r="E282" s="18"/>
      <c r="F282" s="18"/>
      <c r="G282" s="18"/>
      <c r="H282" s="19" t="s">
        <v>585</v>
      </c>
      <c r="I282" s="18" t="s">
        <v>161</v>
      </c>
      <c r="J282" s="20">
        <v>1</v>
      </c>
      <c r="K282" s="20">
        <v>1.1499999999999999</v>
      </c>
      <c r="L282" s="21" t="s">
        <v>28</v>
      </c>
      <c r="M282" s="22">
        <v>5.1821000000000002</v>
      </c>
      <c r="N282" s="22">
        <v>0.18</v>
      </c>
      <c r="O282" s="22">
        <v>1017.1985435894751</v>
      </c>
      <c r="P282" s="22">
        <f t="shared" si="41"/>
        <v>6061.9082586452714</v>
      </c>
      <c r="Q282" s="22">
        <v>2777.0693256854333</v>
      </c>
      <c r="R282" s="22">
        <f t="shared" si="42"/>
        <v>574.85335041688461</v>
      </c>
      <c r="S282" s="22">
        <f t="shared" si="43"/>
        <v>6636.7616090621559</v>
      </c>
      <c r="T282" s="23">
        <v>0.55859868298040061</v>
      </c>
      <c r="U282" s="24">
        <v>0.1</v>
      </c>
      <c r="V282" s="25">
        <f t="shared" si="40"/>
        <v>11378.452693453077</v>
      </c>
      <c r="W282" s="26" t="s">
        <v>29</v>
      </c>
    </row>
    <row r="283" spans="1:23" ht="89.25" x14ac:dyDescent="0.25">
      <c r="A283" s="17">
        <f t="shared" ca="1" si="44"/>
        <v>279</v>
      </c>
      <c r="B283" s="18" t="s">
        <v>139</v>
      </c>
      <c r="C283" s="18" t="s">
        <v>586</v>
      </c>
      <c r="D283" s="18"/>
      <c r="E283" s="18"/>
      <c r="F283" s="18"/>
      <c r="G283" s="18"/>
      <c r="H283" s="19" t="s">
        <v>587</v>
      </c>
      <c r="I283" s="18" t="s">
        <v>161</v>
      </c>
      <c r="J283" s="20">
        <v>1</v>
      </c>
      <c r="K283" s="20">
        <v>1.1499999999999999</v>
      </c>
      <c r="L283" s="21" t="s">
        <v>28</v>
      </c>
      <c r="M283" s="22">
        <v>6.5687999999999995</v>
      </c>
      <c r="N283" s="22">
        <v>0.44999999999999996</v>
      </c>
      <c r="O283" s="22">
        <v>1017.1985435894751</v>
      </c>
      <c r="P283" s="22">
        <f t="shared" si="41"/>
        <v>7684.039862100125</v>
      </c>
      <c r="Q283" s="22">
        <v>2777.0693256854333</v>
      </c>
      <c r="R283" s="22">
        <f t="shared" si="42"/>
        <v>1437.1333760422117</v>
      </c>
      <c r="S283" s="22">
        <f t="shared" si="43"/>
        <v>9121.1732381423371</v>
      </c>
      <c r="T283" s="23">
        <v>0.55859868298040061</v>
      </c>
      <c r="U283" s="24">
        <v>0.1</v>
      </c>
      <c r="V283" s="25">
        <f t="shared" si="40"/>
        <v>15637.873455825193</v>
      </c>
      <c r="W283" s="26" t="s">
        <v>29</v>
      </c>
    </row>
    <row r="284" spans="1:23" ht="89.25" x14ac:dyDescent="0.25">
      <c r="A284" s="17">
        <f t="shared" ca="1" si="44"/>
        <v>280</v>
      </c>
      <c r="B284" s="18" t="s">
        <v>139</v>
      </c>
      <c r="C284" s="18" t="s">
        <v>588</v>
      </c>
      <c r="D284" s="18"/>
      <c r="E284" s="18"/>
      <c r="F284" s="18"/>
      <c r="G284" s="18"/>
      <c r="H284" s="19" t="s">
        <v>589</v>
      </c>
      <c r="I284" s="18" t="s">
        <v>161</v>
      </c>
      <c r="J284" s="20">
        <v>1</v>
      </c>
      <c r="K284" s="20">
        <v>1.1499999999999999</v>
      </c>
      <c r="L284" s="21" t="s">
        <v>28</v>
      </c>
      <c r="M284" s="22">
        <v>6.8467000000000002</v>
      </c>
      <c r="N284" s="22">
        <v>0.44999999999999996</v>
      </c>
      <c r="O284" s="22">
        <v>1017.1985435894751</v>
      </c>
      <c r="P284" s="22">
        <f t="shared" si="41"/>
        <v>8009.1212586531683</v>
      </c>
      <c r="Q284" s="22">
        <v>2777.0693256854333</v>
      </c>
      <c r="R284" s="22">
        <f t="shared" si="42"/>
        <v>1437.1333760422117</v>
      </c>
      <c r="S284" s="22">
        <f t="shared" si="43"/>
        <v>9446.2546346953804</v>
      </c>
      <c r="T284" s="23">
        <v>0.55859868298040061</v>
      </c>
      <c r="U284" s="24">
        <v>0.1</v>
      </c>
      <c r="V284" s="25">
        <f t="shared" si="40"/>
        <v>16195.212036007097</v>
      </c>
      <c r="W284" s="26" t="s">
        <v>29</v>
      </c>
    </row>
    <row r="285" spans="1:23" ht="89.25" x14ac:dyDescent="0.25">
      <c r="A285" s="17">
        <f t="shared" ca="1" si="44"/>
        <v>281</v>
      </c>
      <c r="B285" s="18" t="s">
        <v>139</v>
      </c>
      <c r="C285" s="18" t="s">
        <v>590</v>
      </c>
      <c r="D285" s="18"/>
      <c r="E285" s="18"/>
      <c r="F285" s="18"/>
      <c r="G285" s="18"/>
      <c r="H285" s="19" t="s">
        <v>591</v>
      </c>
      <c r="I285" s="18" t="s">
        <v>161</v>
      </c>
      <c r="J285" s="20">
        <v>1</v>
      </c>
      <c r="K285" s="20">
        <v>1.1499999999999999</v>
      </c>
      <c r="L285" s="21" t="s">
        <v>28</v>
      </c>
      <c r="M285" s="22">
        <v>7.1246</v>
      </c>
      <c r="N285" s="22">
        <v>0.44999999999999996</v>
      </c>
      <c r="O285" s="22">
        <v>1017.1985435894751</v>
      </c>
      <c r="P285" s="22">
        <f t="shared" si="41"/>
        <v>8334.2026552062089</v>
      </c>
      <c r="Q285" s="22">
        <v>2777.0693256854333</v>
      </c>
      <c r="R285" s="22">
        <f t="shared" si="42"/>
        <v>1437.1333760422117</v>
      </c>
      <c r="S285" s="22">
        <f t="shared" si="43"/>
        <v>9771.3360312484201</v>
      </c>
      <c r="T285" s="23">
        <v>0.55859868298040061</v>
      </c>
      <c r="U285" s="24">
        <v>0.1</v>
      </c>
      <c r="V285" s="25">
        <f t="shared" si="40"/>
        <v>16752.550616188993</v>
      </c>
      <c r="W285" s="26" t="s">
        <v>29</v>
      </c>
    </row>
    <row r="286" spans="1:23" ht="89.25" x14ac:dyDescent="0.25">
      <c r="A286" s="17">
        <f t="shared" ca="1" si="44"/>
        <v>282</v>
      </c>
      <c r="B286" s="18" t="s">
        <v>139</v>
      </c>
      <c r="C286" s="18" t="s">
        <v>592</v>
      </c>
      <c r="D286" s="18"/>
      <c r="E286" s="18"/>
      <c r="F286" s="18"/>
      <c r="G286" s="18"/>
      <c r="H286" s="19" t="s">
        <v>593</v>
      </c>
      <c r="I286" s="18" t="s">
        <v>161</v>
      </c>
      <c r="J286" s="20">
        <v>1</v>
      </c>
      <c r="K286" s="20">
        <v>1.1499999999999999</v>
      </c>
      <c r="L286" s="21" t="s">
        <v>28</v>
      </c>
      <c r="M286" s="22">
        <v>7.8806000000000003</v>
      </c>
      <c r="N286" s="22">
        <v>0.44999999999999996</v>
      </c>
      <c r="O286" s="22">
        <v>1017.1985435894751</v>
      </c>
      <c r="P286" s="22">
        <f t="shared" si="41"/>
        <v>9218.5550690028995</v>
      </c>
      <c r="Q286" s="22">
        <v>2777.0693256854333</v>
      </c>
      <c r="R286" s="22">
        <f t="shared" si="42"/>
        <v>1437.1333760422117</v>
      </c>
      <c r="S286" s="22">
        <f t="shared" si="43"/>
        <v>10655.688445045111</v>
      </c>
      <c r="T286" s="23">
        <v>0.55859868298040061</v>
      </c>
      <c r="U286" s="24">
        <v>0.1</v>
      </c>
      <c r="V286" s="25">
        <f t="shared" si="40"/>
        <v>18268.736174366462</v>
      </c>
      <c r="W286" s="26" t="s">
        <v>29</v>
      </c>
    </row>
    <row r="287" spans="1:23" ht="89.25" x14ac:dyDescent="0.25">
      <c r="A287" s="17">
        <f t="shared" ca="1" si="44"/>
        <v>283</v>
      </c>
      <c r="B287" s="18" t="s">
        <v>139</v>
      </c>
      <c r="C287" s="18" t="s">
        <v>594</v>
      </c>
      <c r="D287" s="18"/>
      <c r="E287" s="18"/>
      <c r="F287" s="18"/>
      <c r="G287" s="18"/>
      <c r="H287" s="19" t="s">
        <v>595</v>
      </c>
      <c r="I287" s="18" t="s">
        <v>161</v>
      </c>
      <c r="J287" s="20">
        <v>1</v>
      </c>
      <c r="K287" s="20">
        <v>1.1499999999999999</v>
      </c>
      <c r="L287" s="21" t="s">
        <v>28</v>
      </c>
      <c r="M287" s="22">
        <v>1.1052999999999997</v>
      </c>
      <c r="N287" s="22">
        <v>4.4999999999999998E-2</v>
      </c>
      <c r="O287" s="22">
        <v>1017.1985435894751</v>
      </c>
      <c r="P287" s="22">
        <f t="shared" si="41"/>
        <v>1292.9559827638634</v>
      </c>
      <c r="Q287" s="22">
        <v>2777.0693256854333</v>
      </c>
      <c r="R287" s="22">
        <f t="shared" si="42"/>
        <v>143.71333760422115</v>
      </c>
      <c r="S287" s="22">
        <f t="shared" si="43"/>
        <v>1436.6693203680845</v>
      </c>
      <c r="T287" s="23">
        <v>0.55859868298040061</v>
      </c>
      <c r="U287" s="24">
        <v>0.1</v>
      </c>
      <c r="V287" s="25">
        <f t="shared" si="40"/>
        <v>2463.1100016644482</v>
      </c>
      <c r="W287" s="26" t="s">
        <v>29</v>
      </c>
    </row>
    <row r="288" spans="1:23" ht="89.25" x14ac:dyDescent="0.25">
      <c r="A288" s="17">
        <f t="shared" ca="1" si="44"/>
        <v>284</v>
      </c>
      <c r="B288" s="18" t="s">
        <v>139</v>
      </c>
      <c r="C288" s="18" t="s">
        <v>596</v>
      </c>
      <c r="D288" s="18"/>
      <c r="E288" s="18"/>
      <c r="F288" s="18"/>
      <c r="G288" s="18"/>
      <c r="H288" s="19" t="s">
        <v>597</v>
      </c>
      <c r="I288" s="18" t="s">
        <v>161</v>
      </c>
      <c r="J288" s="20">
        <v>1</v>
      </c>
      <c r="K288" s="20">
        <v>1.1499999999999999</v>
      </c>
      <c r="L288" s="21" t="s">
        <v>28</v>
      </c>
      <c r="M288" s="22">
        <v>1.1612999999999998</v>
      </c>
      <c r="N288" s="22">
        <v>4.4999999999999998E-2</v>
      </c>
      <c r="O288" s="22">
        <v>1017.1985435894751</v>
      </c>
      <c r="P288" s="22">
        <f t="shared" si="41"/>
        <v>1358.4635689710258</v>
      </c>
      <c r="Q288" s="22">
        <v>2777.0693256854333</v>
      </c>
      <c r="R288" s="22">
        <f t="shared" si="42"/>
        <v>143.71333760422115</v>
      </c>
      <c r="S288" s="22">
        <f t="shared" si="43"/>
        <v>1502.1769065752469</v>
      </c>
      <c r="T288" s="23">
        <v>0.55859868298040061</v>
      </c>
      <c r="U288" s="24">
        <v>0.1</v>
      </c>
      <c r="V288" s="25">
        <f t="shared" si="40"/>
        <v>2575.4200430109277</v>
      </c>
      <c r="W288" s="26" t="s">
        <v>29</v>
      </c>
    </row>
    <row r="289" spans="1:23" x14ac:dyDescent="0.25">
      <c r="A289" s="28">
        <f t="shared" ca="1" si="44"/>
        <v>285</v>
      </c>
      <c r="B289" s="9" t="s">
        <v>139</v>
      </c>
      <c r="C289" s="9" t="s">
        <v>598</v>
      </c>
      <c r="D289" s="9"/>
      <c r="E289" s="9"/>
      <c r="F289" s="9"/>
      <c r="G289" s="9"/>
      <c r="H289" s="10" t="s">
        <v>599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29"/>
      <c r="U289" s="11"/>
      <c r="V289" s="9"/>
      <c r="W289" s="9"/>
    </row>
    <row r="290" spans="1:23" x14ac:dyDescent="0.25">
      <c r="A290" s="12">
        <f t="shared" ca="1" si="44"/>
        <v>286</v>
      </c>
      <c r="B290" s="13" t="s">
        <v>139</v>
      </c>
      <c r="C290" s="13" t="s">
        <v>600</v>
      </c>
      <c r="D290" s="13"/>
      <c r="E290" s="13"/>
      <c r="F290" s="13"/>
      <c r="G290" s="13"/>
      <c r="H290" s="15" t="s">
        <v>601</v>
      </c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27"/>
      <c r="U290" s="16"/>
      <c r="V290" s="13"/>
      <c r="W290" s="13"/>
    </row>
    <row r="291" spans="1:23" ht="89.25" x14ac:dyDescent="0.25">
      <c r="A291" s="17">
        <f t="shared" ca="1" si="44"/>
        <v>287</v>
      </c>
      <c r="B291" s="18" t="s">
        <v>139</v>
      </c>
      <c r="C291" s="18" t="s">
        <v>602</v>
      </c>
      <c r="D291" s="18"/>
      <c r="E291" s="18"/>
      <c r="F291" s="18"/>
      <c r="G291" s="18"/>
      <c r="H291" s="19" t="s">
        <v>603</v>
      </c>
      <c r="I291" s="18" t="s">
        <v>161</v>
      </c>
      <c r="J291" s="20">
        <v>1</v>
      </c>
      <c r="K291" s="20">
        <v>1.1499999999999999</v>
      </c>
      <c r="L291" s="21" t="s">
        <v>28</v>
      </c>
      <c r="M291" s="22">
        <v>1.9298999999999999</v>
      </c>
      <c r="N291" s="22">
        <v>0.50879999999999992</v>
      </c>
      <c r="O291" s="22">
        <v>1017.1985435894751</v>
      </c>
      <c r="P291" s="22">
        <f t="shared" si="41"/>
        <v>2257.5551896643269</v>
      </c>
      <c r="Q291" s="22">
        <v>2777.0693256854333</v>
      </c>
      <c r="R291" s="22">
        <f t="shared" si="42"/>
        <v>1624.9188038450604</v>
      </c>
      <c r="S291" s="22">
        <f t="shared" si="43"/>
        <v>3882.4739935093876</v>
      </c>
      <c r="T291" s="23">
        <v>0.55859868298040061</v>
      </c>
      <c r="U291" s="24">
        <v>0.1</v>
      </c>
      <c r="V291" s="25">
        <f t="shared" ref="V291:V295" si="45">S291+S291*T291+(S291+S291*T291)*U291</f>
        <v>6656.340738288327</v>
      </c>
      <c r="W291" s="26" t="s">
        <v>29</v>
      </c>
    </row>
    <row r="292" spans="1:23" ht="89.25" x14ac:dyDescent="0.25">
      <c r="A292" s="17">
        <f t="shared" ca="1" si="44"/>
        <v>288</v>
      </c>
      <c r="B292" s="18" t="s">
        <v>139</v>
      </c>
      <c r="C292" s="18" t="s">
        <v>604</v>
      </c>
      <c r="D292" s="18"/>
      <c r="E292" s="18"/>
      <c r="F292" s="18"/>
      <c r="G292" s="18"/>
      <c r="H292" s="19" t="s">
        <v>605</v>
      </c>
      <c r="I292" s="18" t="s">
        <v>161</v>
      </c>
      <c r="J292" s="20">
        <v>1</v>
      </c>
      <c r="K292" s="20">
        <v>1.1499999999999999</v>
      </c>
      <c r="L292" s="21" t="s">
        <v>28</v>
      </c>
      <c r="M292" s="22">
        <v>2.5122999999999998</v>
      </c>
      <c r="N292" s="22">
        <v>0.5988</v>
      </c>
      <c r="O292" s="22">
        <v>1017.1985435894751</v>
      </c>
      <c r="P292" s="22">
        <f t="shared" si="41"/>
        <v>2938.8340862188134</v>
      </c>
      <c r="Q292" s="22">
        <v>2777.0693256854333</v>
      </c>
      <c r="R292" s="22">
        <f t="shared" si="42"/>
        <v>1912.3454790535029</v>
      </c>
      <c r="S292" s="22">
        <f t="shared" si="43"/>
        <v>4851.1795652723158</v>
      </c>
      <c r="T292" s="23">
        <v>0.55859868298040061</v>
      </c>
      <c r="U292" s="24">
        <v>0.1</v>
      </c>
      <c r="V292" s="25">
        <f t="shared" si="45"/>
        <v>8317.14628946835</v>
      </c>
      <c r="W292" s="26" t="s">
        <v>29</v>
      </c>
    </row>
    <row r="293" spans="1:23" ht="89.25" x14ac:dyDescent="0.25">
      <c r="A293" s="17">
        <f t="shared" ca="1" si="44"/>
        <v>289</v>
      </c>
      <c r="B293" s="18" t="s">
        <v>139</v>
      </c>
      <c r="C293" s="18" t="s">
        <v>606</v>
      </c>
      <c r="D293" s="18"/>
      <c r="E293" s="18"/>
      <c r="F293" s="18"/>
      <c r="G293" s="18"/>
      <c r="H293" s="19" t="s">
        <v>607</v>
      </c>
      <c r="I293" s="18" t="s">
        <v>161</v>
      </c>
      <c r="J293" s="20">
        <v>1</v>
      </c>
      <c r="K293" s="20">
        <v>1.1499999999999999</v>
      </c>
      <c r="L293" s="21" t="s">
        <v>28</v>
      </c>
      <c r="M293" s="22">
        <v>3.6917999999999997</v>
      </c>
      <c r="N293" s="22">
        <v>1.8317999999999999</v>
      </c>
      <c r="O293" s="22">
        <v>1017.1985435894751</v>
      </c>
      <c r="P293" s="22">
        <f t="shared" si="41"/>
        <v>4318.5876207071669</v>
      </c>
      <c r="Q293" s="22">
        <v>2777.0693256854333</v>
      </c>
      <c r="R293" s="22">
        <f t="shared" si="42"/>
        <v>5850.0909294091625</v>
      </c>
      <c r="S293" s="22">
        <f t="shared" si="43"/>
        <v>10168.678550116329</v>
      </c>
      <c r="T293" s="23">
        <v>0.55859868298040061</v>
      </c>
      <c r="U293" s="24">
        <v>0.1</v>
      </c>
      <c r="V293" s="25">
        <f t="shared" si="45"/>
        <v>17433.777895448595</v>
      </c>
      <c r="W293" s="26" t="s">
        <v>29</v>
      </c>
    </row>
    <row r="294" spans="1:23" ht="89.25" x14ac:dyDescent="0.25">
      <c r="A294" s="17">
        <f t="shared" ca="1" si="44"/>
        <v>290</v>
      </c>
      <c r="B294" s="18" t="s">
        <v>139</v>
      </c>
      <c r="C294" s="18" t="s">
        <v>608</v>
      </c>
      <c r="D294" s="18"/>
      <c r="E294" s="18"/>
      <c r="F294" s="18"/>
      <c r="G294" s="18"/>
      <c r="H294" s="19" t="s">
        <v>609</v>
      </c>
      <c r="I294" s="18" t="s">
        <v>161</v>
      </c>
      <c r="J294" s="20">
        <v>1</v>
      </c>
      <c r="K294" s="20">
        <v>1.1499999999999999</v>
      </c>
      <c r="L294" s="21" t="s">
        <v>28</v>
      </c>
      <c r="M294" s="22">
        <v>21.2667</v>
      </c>
      <c r="N294" s="22">
        <v>4.9386000000000001</v>
      </c>
      <c r="O294" s="22">
        <v>1017.1985435894751</v>
      </c>
      <c r="P294" s="22">
        <f t="shared" si="41"/>
        <v>24877.324706997431</v>
      </c>
      <c r="Q294" s="22">
        <v>2777.0693256854333</v>
      </c>
      <c r="R294" s="22">
        <f t="shared" si="42"/>
        <v>15772.059757604591</v>
      </c>
      <c r="S294" s="22">
        <f t="shared" si="43"/>
        <v>40649.384464602022</v>
      </c>
      <c r="T294" s="23">
        <v>0.55859868298040061</v>
      </c>
      <c r="U294" s="24">
        <v>0.1</v>
      </c>
      <c r="V294" s="25">
        <f t="shared" si="45"/>
        <v>69691.684799541938</v>
      </c>
      <c r="W294" s="26" t="s">
        <v>29</v>
      </c>
    </row>
    <row r="295" spans="1:23" ht="89.25" x14ac:dyDescent="0.25">
      <c r="A295" s="17">
        <f t="shared" ca="1" si="44"/>
        <v>291</v>
      </c>
      <c r="B295" s="18" t="s">
        <v>139</v>
      </c>
      <c r="C295" s="18" t="s">
        <v>610</v>
      </c>
      <c r="D295" s="18"/>
      <c r="E295" s="18"/>
      <c r="F295" s="18"/>
      <c r="G295" s="18"/>
      <c r="H295" s="19" t="s">
        <v>611</v>
      </c>
      <c r="I295" s="18" t="s">
        <v>161</v>
      </c>
      <c r="J295" s="20">
        <v>1</v>
      </c>
      <c r="K295" s="20">
        <v>1.1499999999999999</v>
      </c>
      <c r="L295" s="21" t="s">
        <v>28</v>
      </c>
      <c r="M295" s="22">
        <v>30.806999999999995</v>
      </c>
      <c r="N295" s="22">
        <v>8.2469999999999999</v>
      </c>
      <c r="O295" s="22">
        <v>1017.1985435894751</v>
      </c>
      <c r="P295" s="22">
        <f t="shared" si="41"/>
        <v>36037.360862215093</v>
      </c>
      <c r="Q295" s="22">
        <v>2777.0693256854333</v>
      </c>
      <c r="R295" s="22">
        <f t="shared" si="42"/>
        <v>26337.864338266932</v>
      </c>
      <c r="S295" s="22">
        <f t="shared" si="43"/>
        <v>62375.225200482026</v>
      </c>
      <c r="T295" s="23">
        <v>0.55859868298040061</v>
      </c>
      <c r="U295" s="24">
        <v>0.1</v>
      </c>
      <c r="V295" s="25">
        <f t="shared" si="45"/>
        <v>106939.73823288489</v>
      </c>
      <c r="W295" s="26" t="s">
        <v>29</v>
      </c>
    </row>
    <row r="296" spans="1:23" x14ac:dyDescent="0.25">
      <c r="A296" s="12">
        <f t="shared" ca="1" si="44"/>
        <v>292</v>
      </c>
      <c r="B296" s="13" t="s">
        <v>139</v>
      </c>
      <c r="C296" s="13" t="s">
        <v>612</v>
      </c>
      <c r="D296" s="13"/>
      <c r="E296" s="13"/>
      <c r="F296" s="13"/>
      <c r="G296" s="13"/>
      <c r="H296" s="15" t="s">
        <v>613</v>
      </c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27"/>
      <c r="U296" s="16"/>
      <c r="V296" s="13"/>
      <c r="W296" s="13"/>
    </row>
    <row r="297" spans="1:23" ht="89.25" x14ac:dyDescent="0.25">
      <c r="A297" s="17">
        <f t="shared" ca="1" si="44"/>
        <v>293</v>
      </c>
      <c r="B297" s="18" t="s">
        <v>139</v>
      </c>
      <c r="C297" s="18" t="s">
        <v>614</v>
      </c>
      <c r="D297" s="18"/>
      <c r="E297" s="18"/>
      <c r="F297" s="18"/>
      <c r="G297" s="18"/>
      <c r="H297" s="19" t="s">
        <v>615</v>
      </c>
      <c r="I297" s="18" t="s">
        <v>161</v>
      </c>
      <c r="J297" s="20">
        <v>1</v>
      </c>
      <c r="K297" s="20">
        <v>1.1499999999999999</v>
      </c>
      <c r="L297" s="21" t="s">
        <v>28</v>
      </c>
      <c r="M297" s="22">
        <v>2.1755999999999998</v>
      </c>
      <c r="N297" s="22">
        <v>0.1164</v>
      </c>
      <c r="O297" s="22">
        <v>1017.1985435894751</v>
      </c>
      <c r="P297" s="22">
        <f t="shared" si="41"/>
        <v>2544.9697241482509</v>
      </c>
      <c r="Q297" s="22">
        <v>2777.0693256854333</v>
      </c>
      <c r="R297" s="22">
        <f t="shared" si="42"/>
        <v>371.73849993625208</v>
      </c>
      <c r="S297" s="22">
        <f t="shared" si="43"/>
        <v>2916.7082240845029</v>
      </c>
      <c r="T297" s="23">
        <v>0.55859868298040061</v>
      </c>
      <c r="U297" s="24">
        <v>0.1</v>
      </c>
      <c r="V297" s="25">
        <f t="shared" ref="V297:V298" si="46">S297+S297*T297+(S297+S297*T297)*U297</f>
        <v>5000.5753563658309</v>
      </c>
      <c r="W297" s="26" t="s">
        <v>29</v>
      </c>
    </row>
    <row r="298" spans="1:23" ht="89.25" x14ac:dyDescent="0.25">
      <c r="A298" s="17">
        <f t="shared" ca="1" si="44"/>
        <v>294</v>
      </c>
      <c r="B298" s="18" t="s">
        <v>139</v>
      </c>
      <c r="C298" s="18" t="s">
        <v>616</v>
      </c>
      <c r="D298" s="18"/>
      <c r="E298" s="18"/>
      <c r="F298" s="18"/>
      <c r="G298" s="18"/>
      <c r="H298" s="19" t="s">
        <v>617</v>
      </c>
      <c r="I298" s="18" t="s">
        <v>161</v>
      </c>
      <c r="J298" s="20">
        <v>1</v>
      </c>
      <c r="K298" s="20">
        <v>1.1499999999999999</v>
      </c>
      <c r="L298" s="21" t="s">
        <v>28</v>
      </c>
      <c r="M298" s="22">
        <v>1.8101999999999998</v>
      </c>
      <c r="N298" s="22">
        <v>0.32400000000000001</v>
      </c>
      <c r="O298" s="22">
        <v>1017.1985435894751</v>
      </c>
      <c r="P298" s="22">
        <f t="shared" si="41"/>
        <v>2117.5327241465175</v>
      </c>
      <c r="Q298" s="22">
        <v>2777.0693256854333</v>
      </c>
      <c r="R298" s="22">
        <f t="shared" si="42"/>
        <v>1034.7360307503923</v>
      </c>
      <c r="S298" s="22">
        <f t="shared" si="43"/>
        <v>3152.2687548969097</v>
      </c>
      <c r="T298" s="23">
        <v>0.55859868298040061</v>
      </c>
      <c r="U298" s="24">
        <v>0.1</v>
      </c>
      <c r="V298" s="25">
        <f t="shared" si="46"/>
        <v>5404.4341227608502</v>
      </c>
      <c r="W298" s="26" t="s">
        <v>29</v>
      </c>
    </row>
    <row r="299" spans="1:23" x14ac:dyDescent="0.25">
      <c r="A299" s="12">
        <f t="shared" ca="1" si="44"/>
        <v>295</v>
      </c>
      <c r="B299" s="13" t="s">
        <v>139</v>
      </c>
      <c r="C299" s="13" t="s">
        <v>618</v>
      </c>
      <c r="D299" s="13"/>
      <c r="E299" s="13"/>
      <c r="F299" s="13"/>
      <c r="G299" s="13"/>
      <c r="H299" s="15" t="s">
        <v>619</v>
      </c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27"/>
      <c r="U299" s="16"/>
      <c r="V299" s="13"/>
      <c r="W299" s="13"/>
    </row>
    <row r="300" spans="1:23" ht="89.25" x14ac:dyDescent="0.25">
      <c r="A300" s="17">
        <f t="shared" ca="1" si="44"/>
        <v>296</v>
      </c>
      <c r="B300" s="18" t="s">
        <v>139</v>
      </c>
      <c r="C300" s="18" t="s">
        <v>620</v>
      </c>
      <c r="D300" s="18"/>
      <c r="E300" s="18"/>
      <c r="F300" s="18"/>
      <c r="G300" s="18"/>
      <c r="H300" s="19" t="s">
        <v>621</v>
      </c>
      <c r="I300" s="18" t="s">
        <v>161</v>
      </c>
      <c r="J300" s="20">
        <v>1</v>
      </c>
      <c r="K300" s="20">
        <v>1.1499999999999999</v>
      </c>
      <c r="L300" s="21" t="s">
        <v>28</v>
      </c>
      <c r="M300" s="22">
        <v>1.0835999999999999</v>
      </c>
      <c r="N300" s="22">
        <v>0.37319999999999998</v>
      </c>
      <c r="O300" s="22">
        <v>1017.1985435894751</v>
      </c>
      <c r="P300" s="22">
        <f t="shared" si="41"/>
        <v>1267.5717931085883</v>
      </c>
      <c r="Q300" s="22">
        <v>2777.0693256854333</v>
      </c>
      <c r="R300" s="22">
        <f t="shared" si="42"/>
        <v>1191.8626131976739</v>
      </c>
      <c r="S300" s="22">
        <f t="shared" si="43"/>
        <v>2459.4344063062622</v>
      </c>
      <c r="T300" s="23">
        <v>0.55859868298040061</v>
      </c>
      <c r="U300" s="24">
        <v>0.1</v>
      </c>
      <c r="V300" s="25">
        <f t="shared" ref="V300" si="47">S300+S300*T300+(S300+S300*T300)*U300</f>
        <v>4216.598349200186</v>
      </c>
      <c r="W300" s="26" t="s">
        <v>29</v>
      </c>
    </row>
    <row r="301" spans="1:23" x14ac:dyDescent="0.25">
      <c r="A301" s="12">
        <f t="shared" ca="1" si="44"/>
        <v>297</v>
      </c>
      <c r="B301" s="13" t="s">
        <v>139</v>
      </c>
      <c r="C301" s="13" t="s">
        <v>622</v>
      </c>
      <c r="D301" s="13"/>
      <c r="E301" s="13"/>
      <c r="F301" s="13"/>
      <c r="G301" s="13"/>
      <c r="H301" s="15" t="s">
        <v>623</v>
      </c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27"/>
      <c r="U301" s="16"/>
      <c r="V301" s="13"/>
      <c r="W301" s="13"/>
    </row>
    <row r="302" spans="1:23" ht="89.25" x14ac:dyDescent="0.25">
      <c r="A302" s="17">
        <f t="shared" ca="1" si="44"/>
        <v>298</v>
      </c>
      <c r="B302" s="18" t="s">
        <v>139</v>
      </c>
      <c r="C302" s="18" t="s">
        <v>624</v>
      </c>
      <c r="D302" s="18"/>
      <c r="E302" s="18"/>
      <c r="F302" s="18"/>
      <c r="G302" s="18"/>
      <c r="H302" s="19" t="s">
        <v>625</v>
      </c>
      <c r="I302" s="18" t="s">
        <v>161</v>
      </c>
      <c r="J302" s="20">
        <v>1</v>
      </c>
      <c r="K302" s="20">
        <v>1.1499999999999999</v>
      </c>
      <c r="L302" s="21" t="s">
        <v>28</v>
      </c>
      <c r="M302" s="22">
        <v>1.3516999999999999</v>
      </c>
      <c r="N302" s="22">
        <v>0.43079999999999996</v>
      </c>
      <c r="O302" s="22">
        <v>1017.1985435894751</v>
      </c>
      <c r="P302" s="22">
        <f t="shared" si="41"/>
        <v>1581.1893620753772</v>
      </c>
      <c r="Q302" s="22">
        <v>2777.0693256854333</v>
      </c>
      <c r="R302" s="22">
        <f t="shared" si="42"/>
        <v>1375.815685331077</v>
      </c>
      <c r="S302" s="22">
        <f t="shared" si="43"/>
        <v>2957.0050474064542</v>
      </c>
      <c r="T302" s="23">
        <v>0.55859868298040061</v>
      </c>
      <c r="U302" s="24">
        <v>0.1</v>
      </c>
      <c r="V302" s="25">
        <f t="shared" ref="V302:V307" si="48">S302+S302*T302+(S302+S302*T302)*U302</f>
        <v>5069.6625896995065</v>
      </c>
      <c r="W302" s="26" t="s">
        <v>29</v>
      </c>
    </row>
    <row r="303" spans="1:23" ht="89.25" x14ac:dyDescent="0.25">
      <c r="A303" s="17">
        <f t="shared" ca="1" si="44"/>
        <v>299</v>
      </c>
      <c r="B303" s="18" t="s">
        <v>139</v>
      </c>
      <c r="C303" s="18" t="s">
        <v>626</v>
      </c>
      <c r="D303" s="18"/>
      <c r="E303" s="18"/>
      <c r="F303" s="18"/>
      <c r="G303" s="18"/>
      <c r="H303" s="19" t="s">
        <v>627</v>
      </c>
      <c r="I303" s="18" t="s">
        <v>161</v>
      </c>
      <c r="J303" s="20">
        <v>1</v>
      </c>
      <c r="K303" s="20">
        <v>1.1499999999999999</v>
      </c>
      <c r="L303" s="21" t="s">
        <v>28</v>
      </c>
      <c r="M303" s="22">
        <v>1.4861</v>
      </c>
      <c r="N303" s="22">
        <v>0.11459999999999999</v>
      </c>
      <c r="O303" s="22">
        <v>1017.1985435894751</v>
      </c>
      <c r="P303" s="22">
        <f t="shared" si="41"/>
        <v>1738.4075689725667</v>
      </c>
      <c r="Q303" s="22">
        <v>2777.0693256854333</v>
      </c>
      <c r="R303" s="22">
        <f t="shared" si="42"/>
        <v>365.98996643208324</v>
      </c>
      <c r="S303" s="22">
        <f t="shared" si="43"/>
        <v>2104.3975354046497</v>
      </c>
      <c r="T303" s="23">
        <v>0.55859868298040061</v>
      </c>
      <c r="U303" s="24">
        <v>0.1</v>
      </c>
      <c r="V303" s="25">
        <f t="shared" si="48"/>
        <v>3607.9023498637766</v>
      </c>
      <c r="W303" s="26" t="s">
        <v>29</v>
      </c>
    </row>
    <row r="304" spans="1:23" ht="89.25" x14ac:dyDescent="0.25">
      <c r="A304" s="17">
        <f t="shared" ca="1" si="44"/>
        <v>300</v>
      </c>
      <c r="B304" s="18" t="s">
        <v>139</v>
      </c>
      <c r="C304" s="18" t="s">
        <v>628</v>
      </c>
      <c r="D304" s="18"/>
      <c r="E304" s="18"/>
      <c r="F304" s="18"/>
      <c r="G304" s="18"/>
      <c r="H304" s="19" t="s">
        <v>629</v>
      </c>
      <c r="I304" s="18" t="s">
        <v>161</v>
      </c>
      <c r="J304" s="20">
        <v>1</v>
      </c>
      <c r="K304" s="20">
        <v>1.1499999999999999</v>
      </c>
      <c r="L304" s="21" t="s">
        <v>28</v>
      </c>
      <c r="M304" s="22">
        <v>0.65799999999999992</v>
      </c>
      <c r="N304" s="22">
        <v>0.2928</v>
      </c>
      <c r="O304" s="22">
        <v>1017.1985435894751</v>
      </c>
      <c r="P304" s="22">
        <f t="shared" si="41"/>
        <v>769.7141379341557</v>
      </c>
      <c r="Q304" s="22">
        <v>2777.0693256854333</v>
      </c>
      <c r="R304" s="22">
        <f t="shared" si="42"/>
        <v>935.094783344799</v>
      </c>
      <c r="S304" s="22">
        <f t="shared" si="43"/>
        <v>1704.8089212789546</v>
      </c>
      <c r="T304" s="23">
        <v>0.55859868298040061</v>
      </c>
      <c r="U304" s="24">
        <v>0.1</v>
      </c>
      <c r="V304" s="25">
        <f t="shared" si="48"/>
        <v>2922.8242333824778</v>
      </c>
      <c r="W304" s="26" t="s">
        <v>29</v>
      </c>
    </row>
    <row r="305" spans="1:23" ht="89.25" x14ac:dyDescent="0.25">
      <c r="A305" s="17">
        <f t="shared" ca="1" si="44"/>
        <v>301</v>
      </c>
      <c r="B305" s="18" t="s">
        <v>139</v>
      </c>
      <c r="C305" s="18" t="s">
        <v>630</v>
      </c>
      <c r="D305" s="18"/>
      <c r="E305" s="18"/>
      <c r="F305" s="18"/>
      <c r="G305" s="18"/>
      <c r="H305" s="19" t="s">
        <v>631</v>
      </c>
      <c r="I305" s="18" t="s">
        <v>161</v>
      </c>
      <c r="J305" s="20">
        <v>1</v>
      </c>
      <c r="K305" s="20">
        <v>1.1499999999999999</v>
      </c>
      <c r="L305" s="21" t="s">
        <v>28</v>
      </c>
      <c r="M305" s="22">
        <v>0.73919999999999997</v>
      </c>
      <c r="N305" s="22">
        <v>2.5799999999999997E-2</v>
      </c>
      <c r="O305" s="22">
        <v>1017.1985435894751</v>
      </c>
      <c r="P305" s="22">
        <f t="shared" si="41"/>
        <v>864.70013793454086</v>
      </c>
      <c r="Q305" s="22">
        <v>2777.0693256854333</v>
      </c>
      <c r="R305" s="22">
        <f t="shared" si="42"/>
        <v>82.395646893086777</v>
      </c>
      <c r="S305" s="22">
        <f t="shared" si="43"/>
        <v>947.09578482762765</v>
      </c>
      <c r="T305" s="23">
        <v>0.55859868298040061</v>
      </c>
      <c r="U305" s="24">
        <v>0.1</v>
      </c>
      <c r="V305" s="25">
        <f t="shared" si="48"/>
        <v>1623.7564671774924</v>
      </c>
      <c r="W305" s="26" t="s">
        <v>29</v>
      </c>
    </row>
    <row r="306" spans="1:23" ht="89.25" x14ac:dyDescent="0.25">
      <c r="A306" s="17">
        <f t="shared" ca="1" si="44"/>
        <v>302</v>
      </c>
      <c r="B306" s="18" t="s">
        <v>139</v>
      </c>
      <c r="C306" s="18" t="s">
        <v>632</v>
      </c>
      <c r="D306" s="18"/>
      <c r="E306" s="18"/>
      <c r="F306" s="18"/>
      <c r="G306" s="18"/>
      <c r="H306" s="19" t="s">
        <v>633</v>
      </c>
      <c r="I306" s="18" t="s">
        <v>161</v>
      </c>
      <c r="J306" s="20">
        <v>1</v>
      </c>
      <c r="K306" s="20">
        <v>1.1499999999999999</v>
      </c>
      <c r="L306" s="21" t="s">
        <v>28</v>
      </c>
      <c r="M306" s="22">
        <v>1.7555999999999998</v>
      </c>
      <c r="N306" s="22">
        <v>0.6462</v>
      </c>
      <c r="O306" s="22">
        <v>1017.1985435894751</v>
      </c>
      <c r="P306" s="22">
        <f t="shared" si="41"/>
        <v>2053.6628275945345</v>
      </c>
      <c r="Q306" s="22">
        <v>2777.0693256854333</v>
      </c>
      <c r="R306" s="22">
        <f t="shared" si="42"/>
        <v>2063.7235279966162</v>
      </c>
      <c r="S306" s="22">
        <f t="shared" si="43"/>
        <v>4117.3863555911503</v>
      </c>
      <c r="T306" s="23">
        <v>0.55859868298040061</v>
      </c>
      <c r="U306" s="24">
        <v>0.1</v>
      </c>
      <c r="V306" s="25">
        <f t="shared" si="48"/>
        <v>7059.0882462604222</v>
      </c>
      <c r="W306" s="26" t="s">
        <v>29</v>
      </c>
    </row>
    <row r="307" spans="1:23" ht="89.25" x14ac:dyDescent="0.25">
      <c r="A307" s="17">
        <f t="shared" ca="1" si="44"/>
        <v>303</v>
      </c>
      <c r="B307" s="18" t="s">
        <v>139</v>
      </c>
      <c r="C307" s="18" t="s">
        <v>634</v>
      </c>
      <c r="D307" s="18"/>
      <c r="E307" s="18"/>
      <c r="F307" s="18"/>
      <c r="G307" s="18"/>
      <c r="H307" s="19" t="s">
        <v>635</v>
      </c>
      <c r="I307" s="18" t="s">
        <v>161</v>
      </c>
      <c r="J307" s="20">
        <v>1</v>
      </c>
      <c r="K307" s="20">
        <v>1.1499999999999999</v>
      </c>
      <c r="L307" s="21" t="s">
        <v>28</v>
      </c>
      <c r="M307" s="22">
        <v>2.6614</v>
      </c>
      <c r="N307" s="22">
        <v>0.24719999999999998</v>
      </c>
      <c r="O307" s="22">
        <v>1017.1985435894751</v>
      </c>
      <c r="P307" s="22">
        <f t="shared" si="41"/>
        <v>3113.2480344953833</v>
      </c>
      <c r="Q307" s="22">
        <v>2777.0693256854333</v>
      </c>
      <c r="R307" s="22">
        <f t="shared" si="42"/>
        <v>789.46526790585483</v>
      </c>
      <c r="S307" s="22">
        <f t="shared" si="43"/>
        <v>3902.7133024012383</v>
      </c>
      <c r="T307" s="23">
        <v>0.55859868298040061</v>
      </c>
      <c r="U307" s="24">
        <v>0.1</v>
      </c>
      <c r="V307" s="25">
        <f t="shared" si="48"/>
        <v>6691.0401944899259</v>
      </c>
      <c r="W307" s="26" t="s">
        <v>29</v>
      </c>
    </row>
    <row r="308" spans="1:23" x14ac:dyDescent="0.25">
      <c r="A308" s="12">
        <f t="shared" ca="1" si="44"/>
        <v>304</v>
      </c>
      <c r="B308" s="13" t="s">
        <v>139</v>
      </c>
      <c r="C308" s="13" t="s">
        <v>636</v>
      </c>
      <c r="D308" s="13"/>
      <c r="E308" s="13"/>
      <c r="F308" s="13"/>
      <c r="G308" s="13"/>
      <c r="H308" s="15" t="s">
        <v>637</v>
      </c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27"/>
      <c r="U308" s="16"/>
      <c r="V308" s="13"/>
      <c r="W308" s="13"/>
    </row>
    <row r="309" spans="1:23" x14ac:dyDescent="0.25">
      <c r="A309" s="12">
        <f t="shared" ca="1" si="44"/>
        <v>305</v>
      </c>
      <c r="B309" s="13" t="s">
        <v>139</v>
      </c>
      <c r="C309" s="13" t="s">
        <v>638</v>
      </c>
      <c r="D309" s="13"/>
      <c r="E309" s="13"/>
      <c r="F309" s="13"/>
      <c r="G309" s="13"/>
      <c r="H309" s="15" t="s">
        <v>639</v>
      </c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27"/>
      <c r="U309" s="16"/>
      <c r="V309" s="13"/>
      <c r="W309" s="13"/>
    </row>
    <row r="310" spans="1:23" ht="89.25" x14ac:dyDescent="0.25">
      <c r="A310" s="17">
        <f t="shared" ca="1" si="44"/>
        <v>306</v>
      </c>
      <c r="B310" s="18" t="s">
        <v>139</v>
      </c>
      <c r="C310" s="18" t="s">
        <v>640</v>
      </c>
      <c r="D310" s="18"/>
      <c r="E310" s="18"/>
      <c r="F310" s="18"/>
      <c r="G310" s="18"/>
      <c r="H310" s="19" t="s">
        <v>641</v>
      </c>
      <c r="I310" s="18" t="s">
        <v>161</v>
      </c>
      <c r="J310" s="20">
        <v>1</v>
      </c>
      <c r="K310" s="20">
        <v>1.1499999999999999</v>
      </c>
      <c r="L310" s="21" t="s">
        <v>28</v>
      </c>
      <c r="M310" s="22">
        <v>0.68879999999999997</v>
      </c>
      <c r="N310" s="22">
        <v>2.8199999999999999E-2</v>
      </c>
      <c r="O310" s="22">
        <v>1017.1985435894751</v>
      </c>
      <c r="P310" s="22">
        <f t="shared" si="41"/>
        <v>805.74331034809495</v>
      </c>
      <c r="Q310" s="22">
        <v>2777.0693256854333</v>
      </c>
      <c r="R310" s="22">
        <f t="shared" si="42"/>
        <v>90.060358231978597</v>
      </c>
      <c r="S310" s="22">
        <f t="shared" si="43"/>
        <v>895.80366858007358</v>
      </c>
      <c r="T310" s="23">
        <v>0.55859868298040061</v>
      </c>
      <c r="U310" s="24">
        <v>0.1</v>
      </c>
      <c r="V310" s="25">
        <f t="shared" ref="V310" si="49">S310+S310*T310+(S310+S310*T310)*U310</f>
        <v>1535.8182598637052</v>
      </c>
      <c r="W310" s="26" t="s">
        <v>29</v>
      </c>
    </row>
    <row r="311" spans="1:23" x14ac:dyDescent="0.25">
      <c r="A311" s="12">
        <f t="shared" ca="1" si="44"/>
        <v>307</v>
      </c>
      <c r="B311" s="13" t="s">
        <v>139</v>
      </c>
      <c r="C311" s="13" t="s">
        <v>642</v>
      </c>
      <c r="D311" s="13"/>
      <c r="E311" s="13"/>
      <c r="F311" s="13"/>
      <c r="G311" s="13"/>
      <c r="H311" s="15" t="s">
        <v>643</v>
      </c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27"/>
      <c r="U311" s="16"/>
      <c r="V311" s="13"/>
      <c r="W311" s="13"/>
    </row>
    <row r="312" spans="1:23" ht="89.25" x14ac:dyDescent="0.25">
      <c r="A312" s="17">
        <f t="shared" ca="1" si="44"/>
        <v>308</v>
      </c>
      <c r="B312" s="18" t="s">
        <v>139</v>
      </c>
      <c r="C312" s="18" t="s">
        <v>644</v>
      </c>
      <c r="D312" s="18"/>
      <c r="E312" s="18"/>
      <c r="F312" s="18"/>
      <c r="G312" s="18"/>
      <c r="H312" s="19" t="s">
        <v>645</v>
      </c>
      <c r="I312" s="18" t="s">
        <v>161</v>
      </c>
      <c r="J312" s="20">
        <v>1</v>
      </c>
      <c r="K312" s="20">
        <v>1.1499999999999999</v>
      </c>
      <c r="L312" s="21" t="s">
        <v>28</v>
      </c>
      <c r="M312" s="22">
        <v>1.7751999999999999</v>
      </c>
      <c r="N312" s="22">
        <v>0.5544</v>
      </c>
      <c r="O312" s="22">
        <v>1017.1985435894751</v>
      </c>
      <c r="P312" s="22">
        <f t="shared" si="41"/>
        <v>2076.5904827670415</v>
      </c>
      <c r="Q312" s="22">
        <v>2777.0693256854333</v>
      </c>
      <c r="R312" s="22">
        <f t="shared" si="42"/>
        <v>1770.5483192840047</v>
      </c>
      <c r="S312" s="22">
        <f t="shared" si="43"/>
        <v>3847.1388020510462</v>
      </c>
      <c r="T312" s="23">
        <v>0.55859868298040061</v>
      </c>
      <c r="U312" s="24">
        <v>0.1</v>
      </c>
      <c r="V312" s="25">
        <f t="shared" ref="V312" si="50">S312+S312*T312+(S312+S312*T312)*U312</f>
        <v>6595.7600171315116</v>
      </c>
      <c r="W312" s="26" t="s">
        <v>29</v>
      </c>
    </row>
    <row r="313" spans="1:23" x14ac:dyDescent="0.25">
      <c r="A313" s="12">
        <f t="shared" ca="1" si="44"/>
        <v>309</v>
      </c>
      <c r="B313" s="13" t="s">
        <v>139</v>
      </c>
      <c r="C313" s="13" t="s">
        <v>646</v>
      </c>
      <c r="D313" s="13"/>
      <c r="E313" s="13"/>
      <c r="F313" s="13"/>
      <c r="G313" s="13"/>
      <c r="H313" s="15" t="s">
        <v>647</v>
      </c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27"/>
      <c r="U313" s="16"/>
      <c r="V313" s="13"/>
      <c r="W313" s="13"/>
    </row>
    <row r="314" spans="1:23" ht="89.25" x14ac:dyDescent="0.25">
      <c r="A314" s="17">
        <f t="shared" ca="1" si="44"/>
        <v>310</v>
      </c>
      <c r="B314" s="18" t="s">
        <v>139</v>
      </c>
      <c r="C314" s="18" t="s">
        <v>648</v>
      </c>
      <c r="D314" s="18"/>
      <c r="E314" s="18"/>
      <c r="F314" s="18"/>
      <c r="G314" s="18"/>
      <c r="H314" s="19" t="s">
        <v>649</v>
      </c>
      <c r="I314" s="18" t="s">
        <v>161</v>
      </c>
      <c r="J314" s="20">
        <v>1</v>
      </c>
      <c r="K314" s="20">
        <v>1.1499999999999999</v>
      </c>
      <c r="L314" s="21" t="s">
        <v>28</v>
      </c>
      <c r="M314" s="22">
        <v>1.218</v>
      </c>
      <c r="N314" s="22">
        <v>0.1164</v>
      </c>
      <c r="O314" s="22">
        <v>1017.1985435894751</v>
      </c>
      <c r="P314" s="22">
        <f t="shared" si="41"/>
        <v>1424.7900000057778</v>
      </c>
      <c r="Q314" s="22">
        <v>2777.0693256854333</v>
      </c>
      <c r="R314" s="22">
        <f t="shared" si="42"/>
        <v>371.73849993625208</v>
      </c>
      <c r="S314" s="22">
        <f t="shared" si="43"/>
        <v>1796.5284999420298</v>
      </c>
      <c r="T314" s="23">
        <v>0.55859868298040061</v>
      </c>
      <c r="U314" s="24">
        <v>0.1</v>
      </c>
      <c r="V314" s="25">
        <f t="shared" ref="V314:V316" si="51">S314+S314*T314+(S314+S314*T314)*U314</f>
        <v>3080.0736493410427</v>
      </c>
      <c r="W314" s="26" t="s">
        <v>29</v>
      </c>
    </row>
    <row r="315" spans="1:23" ht="89.25" x14ac:dyDescent="0.25">
      <c r="A315" s="17">
        <f t="shared" ca="1" si="44"/>
        <v>311</v>
      </c>
      <c r="B315" s="18" t="s">
        <v>139</v>
      </c>
      <c r="C315" s="18" t="s">
        <v>650</v>
      </c>
      <c r="D315" s="18"/>
      <c r="E315" s="18"/>
      <c r="F315" s="18"/>
      <c r="G315" s="18"/>
      <c r="H315" s="19" t="s">
        <v>651</v>
      </c>
      <c r="I315" s="18" t="s">
        <v>161</v>
      </c>
      <c r="J315" s="20">
        <v>1</v>
      </c>
      <c r="K315" s="20">
        <v>1.1499999999999999</v>
      </c>
      <c r="L315" s="21" t="s">
        <v>28</v>
      </c>
      <c r="M315" s="22">
        <v>0.29609999999999997</v>
      </c>
      <c r="N315" s="22">
        <v>2.46E-2</v>
      </c>
      <c r="O315" s="22">
        <v>1017.1985435894751</v>
      </c>
      <c r="P315" s="22">
        <f t="shared" si="41"/>
        <v>346.37136207037003</v>
      </c>
      <c r="Q315" s="22">
        <v>2777.0693256854333</v>
      </c>
      <c r="R315" s="22">
        <f t="shared" si="42"/>
        <v>78.563291223640903</v>
      </c>
      <c r="S315" s="22">
        <f t="shared" si="43"/>
        <v>424.9346532940109</v>
      </c>
      <c r="T315" s="23">
        <v>0.55859868298040061</v>
      </c>
      <c r="U315" s="24">
        <v>0.1</v>
      </c>
      <c r="V315" s="25">
        <f t="shared" si="51"/>
        <v>728.53285007445641</v>
      </c>
      <c r="W315" s="26" t="s">
        <v>29</v>
      </c>
    </row>
    <row r="316" spans="1:23" ht="89.25" x14ac:dyDescent="0.25">
      <c r="A316" s="17">
        <f t="shared" ca="1" si="44"/>
        <v>312</v>
      </c>
      <c r="B316" s="18" t="s">
        <v>139</v>
      </c>
      <c r="C316" s="18" t="s">
        <v>652</v>
      </c>
      <c r="D316" s="18"/>
      <c r="E316" s="18"/>
      <c r="F316" s="18"/>
      <c r="G316" s="18"/>
      <c r="H316" s="19" t="s">
        <v>653</v>
      </c>
      <c r="I316" s="18" t="s">
        <v>161</v>
      </c>
      <c r="J316" s="20">
        <v>1</v>
      </c>
      <c r="K316" s="20">
        <v>1.1499999999999999</v>
      </c>
      <c r="L316" s="21" t="s">
        <v>28</v>
      </c>
      <c r="M316" s="22">
        <v>1.0716999999999999</v>
      </c>
      <c r="N316" s="22">
        <v>8.1600000000000006E-2</v>
      </c>
      <c r="O316" s="22">
        <v>1017.1985435894751</v>
      </c>
      <c r="P316" s="22">
        <f t="shared" si="41"/>
        <v>1253.6514310395662</v>
      </c>
      <c r="Q316" s="22">
        <v>2777.0693256854333</v>
      </c>
      <c r="R316" s="22">
        <f t="shared" si="42"/>
        <v>260.60018552232106</v>
      </c>
      <c r="S316" s="22">
        <f t="shared" si="43"/>
        <v>1514.2516165618872</v>
      </c>
      <c r="T316" s="23">
        <v>0.55859868298040061</v>
      </c>
      <c r="U316" s="24">
        <v>0.1</v>
      </c>
      <c r="V316" s="25">
        <f t="shared" si="51"/>
        <v>2596.1216328017299</v>
      </c>
      <c r="W316" s="26" t="s">
        <v>29</v>
      </c>
    </row>
    <row r="317" spans="1:23" x14ac:dyDescent="0.25">
      <c r="A317" s="12">
        <f t="shared" ca="1" si="44"/>
        <v>313</v>
      </c>
      <c r="B317" s="13" t="s">
        <v>139</v>
      </c>
      <c r="C317" s="13" t="s">
        <v>654</v>
      </c>
      <c r="D317" s="13"/>
      <c r="E317" s="13"/>
      <c r="F317" s="13"/>
      <c r="G317" s="13"/>
      <c r="H317" s="15" t="s">
        <v>655</v>
      </c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27"/>
      <c r="U317" s="16"/>
      <c r="V317" s="13"/>
      <c r="W317" s="13"/>
    </row>
    <row r="318" spans="1:23" ht="89.25" x14ac:dyDescent="0.25">
      <c r="A318" s="17">
        <f t="shared" ca="1" si="44"/>
        <v>314</v>
      </c>
      <c r="B318" s="18" t="s">
        <v>139</v>
      </c>
      <c r="C318" s="18" t="s">
        <v>656</v>
      </c>
      <c r="D318" s="18"/>
      <c r="E318" s="18"/>
      <c r="F318" s="18"/>
      <c r="G318" s="18"/>
      <c r="H318" s="19" t="s">
        <v>657</v>
      </c>
      <c r="I318" s="18" t="s">
        <v>161</v>
      </c>
      <c r="J318" s="20">
        <v>1</v>
      </c>
      <c r="K318" s="20">
        <v>1.1499999999999999</v>
      </c>
      <c r="L318" s="21" t="s">
        <v>28</v>
      </c>
      <c r="M318" s="22">
        <v>9.8000000000000004E-2</v>
      </c>
      <c r="N318" s="22">
        <v>1.44E-2</v>
      </c>
      <c r="O318" s="22">
        <v>1017.1985435894751</v>
      </c>
      <c r="P318" s="22">
        <f t="shared" si="41"/>
        <v>114.63827586253385</v>
      </c>
      <c r="Q318" s="22">
        <v>2777.0693256854333</v>
      </c>
      <c r="R318" s="22">
        <f t="shared" si="42"/>
        <v>45.988268033350771</v>
      </c>
      <c r="S318" s="22">
        <f t="shared" si="43"/>
        <v>160.62654389588462</v>
      </c>
      <c r="T318" s="23">
        <v>0.55859868298040061</v>
      </c>
      <c r="U318" s="24">
        <v>0.1</v>
      </c>
      <c r="V318" s="25">
        <f t="shared" ref="V318:V323" si="52">S318+S318*T318+(S318+S318*T318)*U318</f>
        <v>275.38755174460118</v>
      </c>
      <c r="W318" s="26" t="s">
        <v>29</v>
      </c>
    </row>
    <row r="319" spans="1:23" ht="89.25" x14ac:dyDescent="0.25">
      <c r="A319" s="17">
        <f t="shared" ca="1" si="44"/>
        <v>315</v>
      </c>
      <c r="B319" s="18" t="s">
        <v>139</v>
      </c>
      <c r="C319" s="18" t="s">
        <v>658</v>
      </c>
      <c r="D319" s="18"/>
      <c r="E319" s="18"/>
      <c r="F319" s="18"/>
      <c r="G319" s="18"/>
      <c r="H319" s="19" t="s">
        <v>659</v>
      </c>
      <c r="I319" s="18" t="s">
        <v>161</v>
      </c>
      <c r="J319" s="20">
        <v>1</v>
      </c>
      <c r="K319" s="20">
        <v>1.1499999999999999</v>
      </c>
      <c r="L319" s="21" t="s">
        <v>28</v>
      </c>
      <c r="M319" s="22">
        <v>0.12389999999999998</v>
      </c>
      <c r="N319" s="22">
        <v>1.44E-2</v>
      </c>
      <c r="O319" s="22">
        <v>1017.1985435894751</v>
      </c>
      <c r="P319" s="22">
        <f t="shared" ref="P319:P382" si="53">O319*M319*K319</f>
        <v>144.93553448334634</v>
      </c>
      <c r="Q319" s="22">
        <v>2777.0693256854333</v>
      </c>
      <c r="R319" s="22">
        <f t="shared" ref="R319:R382" si="54">N319*Q319*K319</f>
        <v>45.988268033350771</v>
      </c>
      <c r="S319" s="22">
        <f t="shared" ref="S319:S382" si="55">P319+R319</f>
        <v>190.92380251669712</v>
      </c>
      <c r="T319" s="23">
        <v>0.55859868298040061</v>
      </c>
      <c r="U319" s="24">
        <v>0.1</v>
      </c>
      <c r="V319" s="25">
        <f t="shared" si="52"/>
        <v>327.33094586734762</v>
      </c>
      <c r="W319" s="26" t="s">
        <v>29</v>
      </c>
    </row>
    <row r="320" spans="1:23" ht="89.25" x14ac:dyDescent="0.25">
      <c r="A320" s="17">
        <f t="shared" ca="1" si="44"/>
        <v>316</v>
      </c>
      <c r="B320" s="18" t="s">
        <v>139</v>
      </c>
      <c r="C320" s="18" t="s">
        <v>660</v>
      </c>
      <c r="D320" s="18"/>
      <c r="E320" s="18"/>
      <c r="F320" s="18"/>
      <c r="G320" s="18"/>
      <c r="H320" s="19" t="s">
        <v>661</v>
      </c>
      <c r="I320" s="18" t="s">
        <v>161</v>
      </c>
      <c r="J320" s="20">
        <v>1</v>
      </c>
      <c r="K320" s="20">
        <v>1.1499999999999999</v>
      </c>
      <c r="L320" s="21" t="s">
        <v>28</v>
      </c>
      <c r="M320" s="22">
        <v>0.38150000000000001</v>
      </c>
      <c r="N320" s="22">
        <v>1.4999999999999999E-2</v>
      </c>
      <c r="O320" s="22">
        <v>1017.1985435894751</v>
      </c>
      <c r="P320" s="22">
        <f t="shared" si="53"/>
        <v>446.27043103629239</v>
      </c>
      <c r="Q320" s="22">
        <v>2777.0693256854333</v>
      </c>
      <c r="R320" s="22">
        <f t="shared" si="54"/>
        <v>47.904445868073722</v>
      </c>
      <c r="S320" s="22">
        <f t="shared" si="55"/>
        <v>494.1748769043661</v>
      </c>
      <c r="T320" s="23">
        <v>0.55859868298040061</v>
      </c>
      <c r="U320" s="24">
        <v>0.1</v>
      </c>
      <c r="V320" s="25">
        <f t="shared" si="52"/>
        <v>847.24234353566123</v>
      </c>
      <c r="W320" s="26" t="s">
        <v>29</v>
      </c>
    </row>
    <row r="321" spans="1:23" ht="89.25" x14ac:dyDescent="0.25">
      <c r="A321" s="17">
        <f t="shared" ca="1" si="44"/>
        <v>317</v>
      </c>
      <c r="B321" s="18" t="s">
        <v>139</v>
      </c>
      <c r="C321" s="18" t="s">
        <v>662</v>
      </c>
      <c r="D321" s="18"/>
      <c r="E321" s="18"/>
      <c r="F321" s="18"/>
      <c r="G321" s="18"/>
      <c r="H321" s="19" t="s">
        <v>663</v>
      </c>
      <c r="I321" s="18" t="s">
        <v>161</v>
      </c>
      <c r="J321" s="20">
        <v>1</v>
      </c>
      <c r="K321" s="20">
        <v>1.1499999999999999</v>
      </c>
      <c r="L321" s="21" t="s">
        <v>28</v>
      </c>
      <c r="M321" s="22">
        <v>0.17499999999999999</v>
      </c>
      <c r="N321" s="22">
        <v>1.44E-2</v>
      </c>
      <c r="O321" s="22">
        <v>1017.1985435894751</v>
      </c>
      <c r="P321" s="22">
        <f t="shared" si="53"/>
        <v>204.71120689738183</v>
      </c>
      <c r="Q321" s="22">
        <v>2777.0693256854333</v>
      </c>
      <c r="R321" s="22">
        <f t="shared" si="54"/>
        <v>45.988268033350771</v>
      </c>
      <c r="S321" s="22">
        <f t="shared" si="55"/>
        <v>250.69947493073261</v>
      </c>
      <c r="T321" s="23">
        <v>0.55859868298040061</v>
      </c>
      <c r="U321" s="24">
        <v>0.1</v>
      </c>
      <c r="V321" s="25">
        <f t="shared" si="52"/>
        <v>429.8138585960096</v>
      </c>
      <c r="W321" s="26" t="s">
        <v>29</v>
      </c>
    </row>
    <row r="322" spans="1:23" ht="89.25" x14ac:dyDescent="0.25">
      <c r="A322" s="17">
        <f t="shared" ca="1" si="44"/>
        <v>318</v>
      </c>
      <c r="B322" s="18" t="s">
        <v>139</v>
      </c>
      <c r="C322" s="18" t="s">
        <v>664</v>
      </c>
      <c r="D322" s="18"/>
      <c r="E322" s="18"/>
      <c r="F322" s="18"/>
      <c r="G322" s="18"/>
      <c r="H322" s="19" t="s">
        <v>665</v>
      </c>
      <c r="I322" s="18" t="s">
        <v>161</v>
      </c>
      <c r="J322" s="20">
        <v>1</v>
      </c>
      <c r="K322" s="20">
        <v>1.1499999999999999</v>
      </c>
      <c r="L322" s="21" t="s">
        <v>28</v>
      </c>
      <c r="M322" s="22">
        <v>0.12389999999999998</v>
      </c>
      <c r="N322" s="22">
        <v>1.44E-2</v>
      </c>
      <c r="O322" s="22">
        <v>1017.1985435894751</v>
      </c>
      <c r="P322" s="22">
        <f t="shared" si="53"/>
        <v>144.93553448334634</v>
      </c>
      <c r="Q322" s="22">
        <v>2777.0693256854333</v>
      </c>
      <c r="R322" s="22">
        <f t="shared" si="54"/>
        <v>45.988268033350771</v>
      </c>
      <c r="S322" s="22">
        <f t="shared" si="55"/>
        <v>190.92380251669712</v>
      </c>
      <c r="T322" s="23">
        <v>0.55859868298040061</v>
      </c>
      <c r="U322" s="24">
        <v>0.1</v>
      </c>
      <c r="V322" s="25">
        <f t="shared" si="52"/>
        <v>327.33094586734762</v>
      </c>
      <c r="W322" s="26" t="s">
        <v>29</v>
      </c>
    </row>
    <row r="323" spans="1:23" ht="89.25" x14ac:dyDescent="0.25">
      <c r="A323" s="17">
        <f t="shared" ref="A323:A386" ca="1" si="56">CELL("строка",A323)-4</f>
        <v>319</v>
      </c>
      <c r="B323" s="18" t="s">
        <v>139</v>
      </c>
      <c r="C323" s="18" t="s">
        <v>666</v>
      </c>
      <c r="D323" s="18"/>
      <c r="E323" s="18"/>
      <c r="F323" s="18"/>
      <c r="G323" s="18"/>
      <c r="H323" s="19" t="s">
        <v>667</v>
      </c>
      <c r="I323" s="18" t="s">
        <v>161</v>
      </c>
      <c r="J323" s="20">
        <v>1</v>
      </c>
      <c r="K323" s="20">
        <v>1.1499999999999999</v>
      </c>
      <c r="L323" s="21" t="s">
        <v>28</v>
      </c>
      <c r="M323" s="22">
        <v>8.539999999999999E-2</v>
      </c>
      <c r="N323" s="22">
        <v>1.44E-2</v>
      </c>
      <c r="O323" s="22">
        <v>1017.1985435894751</v>
      </c>
      <c r="P323" s="22">
        <f t="shared" si="53"/>
        <v>99.899068965922325</v>
      </c>
      <c r="Q323" s="22">
        <v>2777.0693256854333</v>
      </c>
      <c r="R323" s="22">
        <f t="shared" si="54"/>
        <v>45.988268033350771</v>
      </c>
      <c r="S323" s="22">
        <f t="shared" si="55"/>
        <v>145.88733699927309</v>
      </c>
      <c r="T323" s="23">
        <v>0.55859868298040061</v>
      </c>
      <c r="U323" s="24">
        <v>0.1</v>
      </c>
      <c r="V323" s="25">
        <f t="shared" si="52"/>
        <v>250.11779244164339</v>
      </c>
      <c r="W323" s="26" t="s">
        <v>29</v>
      </c>
    </row>
    <row r="324" spans="1:23" x14ac:dyDescent="0.25">
      <c r="A324" s="28">
        <f t="shared" ca="1" si="56"/>
        <v>320</v>
      </c>
      <c r="B324" s="9" t="s">
        <v>139</v>
      </c>
      <c r="C324" s="9" t="s">
        <v>668</v>
      </c>
      <c r="D324" s="9"/>
      <c r="E324" s="9"/>
      <c r="F324" s="9"/>
      <c r="G324" s="9"/>
      <c r="H324" s="10" t="s">
        <v>669</v>
      </c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29"/>
      <c r="U324" s="11"/>
      <c r="V324" s="9"/>
      <c r="W324" s="9"/>
    </row>
    <row r="325" spans="1:23" x14ac:dyDescent="0.25">
      <c r="A325" s="12">
        <f t="shared" ca="1" si="56"/>
        <v>321</v>
      </c>
      <c r="B325" s="13" t="s">
        <v>139</v>
      </c>
      <c r="C325" s="13" t="s">
        <v>670</v>
      </c>
      <c r="D325" s="13"/>
      <c r="E325" s="13"/>
      <c r="F325" s="13"/>
      <c r="G325" s="13"/>
      <c r="H325" s="15" t="s">
        <v>671</v>
      </c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27"/>
      <c r="U325" s="16"/>
      <c r="V325" s="13"/>
      <c r="W325" s="13"/>
    </row>
    <row r="326" spans="1:23" ht="89.25" x14ac:dyDescent="0.25">
      <c r="A326" s="17">
        <f t="shared" ca="1" si="56"/>
        <v>322</v>
      </c>
      <c r="B326" s="18" t="s">
        <v>139</v>
      </c>
      <c r="C326" s="18" t="s">
        <v>672</v>
      </c>
      <c r="D326" s="18"/>
      <c r="E326" s="18"/>
      <c r="F326" s="18"/>
      <c r="G326" s="18"/>
      <c r="H326" s="19" t="s">
        <v>673</v>
      </c>
      <c r="I326" s="18" t="s">
        <v>161</v>
      </c>
      <c r="J326" s="20">
        <v>1</v>
      </c>
      <c r="K326" s="20">
        <v>1.1499999999999999</v>
      </c>
      <c r="L326" s="21" t="s">
        <v>28</v>
      </c>
      <c r="M326" s="22">
        <v>5.8176000000000005</v>
      </c>
      <c r="N326" s="22">
        <v>1.3256000000000001</v>
      </c>
      <c r="O326" s="22">
        <v>1017.1985435894751</v>
      </c>
      <c r="P326" s="22">
        <f t="shared" si="53"/>
        <v>6805.3023842640505</v>
      </c>
      <c r="Q326" s="22">
        <v>2777.0693256854333</v>
      </c>
      <c r="R326" s="22">
        <f t="shared" si="54"/>
        <v>4233.4755628479015</v>
      </c>
      <c r="S326" s="22">
        <f t="shared" si="55"/>
        <v>11038.777947111952</v>
      </c>
      <c r="T326" s="23">
        <v>0.55859868298040061</v>
      </c>
      <c r="U326" s="24">
        <v>0.1</v>
      </c>
      <c r="V326" s="25">
        <f t="shared" ref="V326:V329" si="57">S326+S326*T326+(S326+S326*T326)*U326</f>
        <v>18925.527247089954</v>
      </c>
      <c r="W326" s="26" t="s">
        <v>29</v>
      </c>
    </row>
    <row r="327" spans="1:23" ht="89.25" x14ac:dyDescent="0.25">
      <c r="A327" s="17">
        <f t="shared" ca="1" si="56"/>
        <v>323</v>
      </c>
      <c r="B327" s="18" t="s">
        <v>139</v>
      </c>
      <c r="C327" s="18" t="s">
        <v>674</v>
      </c>
      <c r="D327" s="18"/>
      <c r="E327" s="18"/>
      <c r="F327" s="18"/>
      <c r="G327" s="18"/>
      <c r="H327" s="19" t="s">
        <v>675</v>
      </c>
      <c r="I327" s="18" t="s">
        <v>161</v>
      </c>
      <c r="J327" s="20">
        <v>1</v>
      </c>
      <c r="K327" s="20">
        <v>1.1499999999999999</v>
      </c>
      <c r="L327" s="21" t="s">
        <v>28</v>
      </c>
      <c r="M327" s="22">
        <v>9.5291999999999994</v>
      </c>
      <c r="N327" s="22">
        <v>1.6192000000000002</v>
      </c>
      <c r="O327" s="22">
        <v>1017.1985435894751</v>
      </c>
      <c r="P327" s="22">
        <f t="shared" si="53"/>
        <v>11147.051615808748</v>
      </c>
      <c r="Q327" s="22">
        <v>2777.0693256854333</v>
      </c>
      <c r="R327" s="22">
        <f t="shared" si="54"/>
        <v>5171.1252499723323</v>
      </c>
      <c r="S327" s="22">
        <f t="shared" si="55"/>
        <v>16318.176865781081</v>
      </c>
      <c r="T327" s="23">
        <v>0.55859868298040061</v>
      </c>
      <c r="U327" s="24">
        <v>0.1</v>
      </c>
      <c r="V327" s="25">
        <f t="shared" si="57"/>
        <v>27976.837868812396</v>
      </c>
      <c r="W327" s="26" t="s">
        <v>29</v>
      </c>
    </row>
    <row r="328" spans="1:23" ht="89.25" x14ac:dyDescent="0.25">
      <c r="A328" s="17">
        <f t="shared" ca="1" si="56"/>
        <v>324</v>
      </c>
      <c r="B328" s="18" t="s">
        <v>139</v>
      </c>
      <c r="C328" s="18" t="s">
        <v>676</v>
      </c>
      <c r="D328" s="18"/>
      <c r="E328" s="18"/>
      <c r="F328" s="18"/>
      <c r="G328" s="18"/>
      <c r="H328" s="19" t="s">
        <v>677</v>
      </c>
      <c r="I328" s="18" t="s">
        <v>161</v>
      </c>
      <c r="J328" s="20">
        <v>1</v>
      </c>
      <c r="K328" s="20">
        <v>1.1499999999999999</v>
      </c>
      <c r="L328" s="21" t="s">
        <v>28</v>
      </c>
      <c r="M328" s="22">
        <v>10.4346</v>
      </c>
      <c r="N328" s="22">
        <v>1.7632000000000003</v>
      </c>
      <c r="O328" s="22">
        <v>1017.1985435894751</v>
      </c>
      <c r="P328" s="22">
        <f t="shared" si="53"/>
        <v>12206.168911379547</v>
      </c>
      <c r="Q328" s="22">
        <v>2777.0693256854333</v>
      </c>
      <c r="R328" s="22">
        <f t="shared" si="54"/>
        <v>5631.0079303058401</v>
      </c>
      <c r="S328" s="22">
        <f t="shared" si="55"/>
        <v>17837.176841685388</v>
      </c>
      <c r="T328" s="23">
        <v>0.55859868298040061</v>
      </c>
      <c r="U328" s="24">
        <v>0.1</v>
      </c>
      <c r="V328" s="25">
        <f t="shared" si="57"/>
        <v>30581.100366893283</v>
      </c>
      <c r="W328" s="26" t="s">
        <v>29</v>
      </c>
    </row>
    <row r="329" spans="1:23" ht="89.25" x14ac:dyDescent="0.25">
      <c r="A329" s="17">
        <f t="shared" ca="1" si="56"/>
        <v>325</v>
      </c>
      <c r="B329" s="18" t="s">
        <v>139</v>
      </c>
      <c r="C329" s="18" t="s">
        <v>678</v>
      </c>
      <c r="D329" s="18"/>
      <c r="E329" s="18"/>
      <c r="F329" s="18"/>
      <c r="G329" s="18"/>
      <c r="H329" s="19" t="s">
        <v>679</v>
      </c>
      <c r="I329" s="18" t="s">
        <v>161</v>
      </c>
      <c r="J329" s="20">
        <v>1</v>
      </c>
      <c r="K329" s="20">
        <v>1.1499999999999999</v>
      </c>
      <c r="L329" s="21" t="s">
        <v>28</v>
      </c>
      <c r="M329" s="22">
        <v>13.5693</v>
      </c>
      <c r="N329" s="22">
        <v>1.9120000000000001</v>
      </c>
      <c r="O329" s="22">
        <v>1017.1985435894751</v>
      </c>
      <c r="P329" s="22">
        <f t="shared" si="53"/>
        <v>15873.073027157961</v>
      </c>
      <c r="Q329" s="22">
        <v>2777.0693256854333</v>
      </c>
      <c r="R329" s="22">
        <f t="shared" si="54"/>
        <v>6106.2200333171313</v>
      </c>
      <c r="S329" s="22">
        <f t="shared" si="55"/>
        <v>21979.293060475095</v>
      </c>
      <c r="T329" s="23">
        <v>0.55859868298040061</v>
      </c>
      <c r="U329" s="24">
        <v>0.1</v>
      </c>
      <c r="V329" s="25">
        <f t="shared" si="57"/>
        <v>37682.586938586421</v>
      </c>
      <c r="W329" s="26" t="s">
        <v>29</v>
      </c>
    </row>
    <row r="330" spans="1:23" x14ac:dyDescent="0.25">
      <c r="A330" s="12">
        <f t="shared" ca="1" si="56"/>
        <v>326</v>
      </c>
      <c r="B330" s="13" t="s">
        <v>139</v>
      </c>
      <c r="C330" s="13" t="s">
        <v>680</v>
      </c>
      <c r="D330" s="13"/>
      <c r="E330" s="13"/>
      <c r="F330" s="13"/>
      <c r="G330" s="13"/>
      <c r="H330" s="15" t="s">
        <v>681</v>
      </c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27"/>
      <c r="U330" s="16"/>
      <c r="V330" s="13"/>
      <c r="W330" s="13"/>
    </row>
    <row r="331" spans="1:23" x14ac:dyDescent="0.25">
      <c r="A331" s="12">
        <f t="shared" ca="1" si="56"/>
        <v>327</v>
      </c>
      <c r="B331" s="13" t="s">
        <v>139</v>
      </c>
      <c r="C331" s="13" t="s">
        <v>682</v>
      </c>
      <c r="D331" s="13"/>
      <c r="E331" s="13"/>
      <c r="F331" s="13"/>
      <c r="G331" s="13"/>
      <c r="H331" s="15" t="s">
        <v>683</v>
      </c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27"/>
      <c r="U331" s="16"/>
      <c r="V331" s="13"/>
      <c r="W331" s="13"/>
    </row>
    <row r="332" spans="1:23" ht="89.25" x14ac:dyDescent="0.25">
      <c r="A332" s="17">
        <f t="shared" ca="1" si="56"/>
        <v>328</v>
      </c>
      <c r="B332" s="18" t="s">
        <v>139</v>
      </c>
      <c r="C332" s="18" t="s">
        <v>684</v>
      </c>
      <c r="D332" s="18"/>
      <c r="E332" s="18"/>
      <c r="F332" s="18"/>
      <c r="G332" s="18"/>
      <c r="H332" s="19" t="s">
        <v>685</v>
      </c>
      <c r="I332" s="18" t="s">
        <v>104</v>
      </c>
      <c r="J332" s="20">
        <v>1</v>
      </c>
      <c r="K332" s="20">
        <v>1.1499999999999999</v>
      </c>
      <c r="L332" s="21" t="s">
        <v>28</v>
      </c>
      <c r="M332" s="22">
        <v>2.2302000000000004</v>
      </c>
      <c r="N332" s="22">
        <v>0.50800000000000001</v>
      </c>
      <c r="O332" s="22">
        <v>1017.1985435894751</v>
      </c>
      <c r="P332" s="22">
        <f t="shared" si="53"/>
        <v>2608.8396207002347</v>
      </c>
      <c r="Q332" s="22">
        <v>2777.0693256854333</v>
      </c>
      <c r="R332" s="22">
        <f t="shared" si="54"/>
        <v>1622.36390006543</v>
      </c>
      <c r="S332" s="22">
        <f t="shared" si="55"/>
        <v>4231.2035207656645</v>
      </c>
      <c r="T332" s="23">
        <v>0.55859868298040061</v>
      </c>
      <c r="U332" s="24">
        <v>0.1</v>
      </c>
      <c r="V332" s="25">
        <f t="shared" ref="V332:V345" si="58">S332+S332*T332+(S332+S332*T332)*U332</f>
        <v>7254.2230583761384</v>
      </c>
      <c r="W332" s="26" t="s">
        <v>29</v>
      </c>
    </row>
    <row r="333" spans="1:23" ht="89.25" x14ac:dyDescent="0.25">
      <c r="A333" s="17">
        <f t="shared" ca="1" si="56"/>
        <v>329</v>
      </c>
      <c r="B333" s="18" t="s">
        <v>139</v>
      </c>
      <c r="C333" s="18" t="s">
        <v>686</v>
      </c>
      <c r="D333" s="18"/>
      <c r="E333" s="18"/>
      <c r="F333" s="18"/>
      <c r="G333" s="18"/>
      <c r="H333" s="19" t="s">
        <v>687</v>
      </c>
      <c r="I333" s="18" t="s">
        <v>104</v>
      </c>
      <c r="J333" s="20">
        <v>1</v>
      </c>
      <c r="K333" s="20">
        <v>1.1499999999999999</v>
      </c>
      <c r="L333" s="21" t="s">
        <v>28</v>
      </c>
      <c r="M333" s="22">
        <v>2.3913000000000002</v>
      </c>
      <c r="N333" s="22">
        <v>0.52960000000000007</v>
      </c>
      <c r="O333" s="22">
        <v>1017.1985435894751</v>
      </c>
      <c r="P333" s="22">
        <f t="shared" si="53"/>
        <v>2797.2909088783385</v>
      </c>
      <c r="Q333" s="22">
        <v>2777.0693256854333</v>
      </c>
      <c r="R333" s="22">
        <f t="shared" si="54"/>
        <v>1691.3463021154564</v>
      </c>
      <c r="S333" s="22">
        <f t="shared" si="55"/>
        <v>4488.6372109937947</v>
      </c>
      <c r="T333" s="23">
        <v>0.55859868298040061</v>
      </c>
      <c r="U333" s="24">
        <v>0.1</v>
      </c>
      <c r="V333" s="25">
        <f t="shared" si="58"/>
        <v>7695.5824499749224</v>
      </c>
      <c r="W333" s="26" t="s">
        <v>29</v>
      </c>
    </row>
    <row r="334" spans="1:23" ht="89.25" x14ac:dyDescent="0.25">
      <c r="A334" s="17">
        <f t="shared" ca="1" si="56"/>
        <v>330</v>
      </c>
      <c r="B334" s="18" t="s">
        <v>139</v>
      </c>
      <c r="C334" s="18" t="s">
        <v>688</v>
      </c>
      <c r="D334" s="18"/>
      <c r="E334" s="18"/>
      <c r="F334" s="18"/>
      <c r="G334" s="18"/>
      <c r="H334" s="19" t="s">
        <v>689</v>
      </c>
      <c r="I334" s="18" t="s">
        <v>104</v>
      </c>
      <c r="J334" s="20">
        <v>1</v>
      </c>
      <c r="K334" s="20">
        <v>1.1499999999999999</v>
      </c>
      <c r="L334" s="21" t="s">
        <v>28</v>
      </c>
      <c r="M334" s="22">
        <v>2.5514999999999999</v>
      </c>
      <c r="N334" s="22">
        <v>0.55199999999999994</v>
      </c>
      <c r="O334" s="22">
        <v>1017.1985435894751</v>
      </c>
      <c r="P334" s="22">
        <f t="shared" si="53"/>
        <v>2984.6893965638269</v>
      </c>
      <c r="Q334" s="22">
        <v>2777.0693256854333</v>
      </c>
      <c r="R334" s="22">
        <f t="shared" si="54"/>
        <v>1762.8836079451128</v>
      </c>
      <c r="S334" s="22">
        <f t="shared" si="55"/>
        <v>4747.5730045089394</v>
      </c>
      <c r="T334" s="23">
        <v>0.55859868298040061</v>
      </c>
      <c r="U334" s="24">
        <v>0.1</v>
      </c>
      <c r="V334" s="25">
        <f t="shared" si="58"/>
        <v>8139.5171353990299</v>
      </c>
      <c r="W334" s="26" t="s">
        <v>29</v>
      </c>
    </row>
    <row r="335" spans="1:23" ht="89.25" x14ac:dyDescent="0.25">
      <c r="A335" s="17">
        <f t="shared" ca="1" si="56"/>
        <v>331</v>
      </c>
      <c r="B335" s="18" t="s">
        <v>139</v>
      </c>
      <c r="C335" s="18" t="s">
        <v>690</v>
      </c>
      <c r="D335" s="18"/>
      <c r="E335" s="18"/>
      <c r="F335" s="18"/>
      <c r="G335" s="18"/>
      <c r="H335" s="19" t="s">
        <v>691</v>
      </c>
      <c r="I335" s="18" t="s">
        <v>104</v>
      </c>
      <c r="J335" s="20">
        <v>1</v>
      </c>
      <c r="K335" s="20">
        <v>1.1499999999999999</v>
      </c>
      <c r="L335" s="21" t="s">
        <v>28</v>
      </c>
      <c r="M335" s="22">
        <v>2.7495000000000003</v>
      </c>
      <c r="N335" s="22">
        <v>0.58479999999999999</v>
      </c>
      <c r="O335" s="22">
        <v>1017.1985435894751</v>
      </c>
      <c r="P335" s="22">
        <f t="shared" si="53"/>
        <v>3216.3055049391514</v>
      </c>
      <c r="Q335" s="22">
        <v>2777.0693256854333</v>
      </c>
      <c r="R335" s="22">
        <f t="shared" si="54"/>
        <v>1867.6346629099673</v>
      </c>
      <c r="S335" s="22">
        <f t="shared" si="55"/>
        <v>5083.9401678491186</v>
      </c>
      <c r="T335" s="23">
        <v>0.55859868298040061</v>
      </c>
      <c r="U335" s="24">
        <v>0.1</v>
      </c>
      <c r="V335" s="25">
        <f t="shared" si="58"/>
        <v>8716.2046949568721</v>
      </c>
      <c r="W335" s="26" t="s">
        <v>29</v>
      </c>
    </row>
    <row r="336" spans="1:23" ht="89.25" x14ac:dyDescent="0.25">
      <c r="A336" s="17">
        <f t="shared" ca="1" si="56"/>
        <v>332</v>
      </c>
      <c r="B336" s="18" t="s">
        <v>139</v>
      </c>
      <c r="C336" s="18" t="s">
        <v>692</v>
      </c>
      <c r="D336" s="18"/>
      <c r="E336" s="18"/>
      <c r="F336" s="18"/>
      <c r="G336" s="18"/>
      <c r="H336" s="19" t="s">
        <v>693</v>
      </c>
      <c r="I336" s="18" t="s">
        <v>104</v>
      </c>
      <c r="J336" s="20">
        <v>1</v>
      </c>
      <c r="K336" s="20">
        <v>1.1499999999999999</v>
      </c>
      <c r="L336" s="21" t="s">
        <v>28</v>
      </c>
      <c r="M336" s="22">
        <v>2.5091999999999999</v>
      </c>
      <c r="N336" s="22">
        <v>0.50800000000000001</v>
      </c>
      <c r="O336" s="22">
        <v>1017.1985435894751</v>
      </c>
      <c r="P336" s="22">
        <f t="shared" si="53"/>
        <v>2935.2077734109171</v>
      </c>
      <c r="Q336" s="22">
        <v>2777.0693256854333</v>
      </c>
      <c r="R336" s="22">
        <f t="shared" si="54"/>
        <v>1622.36390006543</v>
      </c>
      <c r="S336" s="22">
        <f t="shared" si="55"/>
        <v>4557.5716734763473</v>
      </c>
      <c r="T336" s="23">
        <v>0.55859868298040061</v>
      </c>
      <c r="U336" s="24">
        <v>0.1</v>
      </c>
      <c r="V336" s="25">
        <f t="shared" si="58"/>
        <v>7813.7677286559165</v>
      </c>
      <c r="W336" s="26" t="s">
        <v>29</v>
      </c>
    </row>
    <row r="337" spans="1:23" ht="89.25" x14ac:dyDescent="0.25">
      <c r="A337" s="17">
        <f t="shared" ca="1" si="56"/>
        <v>333</v>
      </c>
      <c r="B337" s="18" t="s">
        <v>139</v>
      </c>
      <c r="C337" s="18" t="s">
        <v>694</v>
      </c>
      <c r="D337" s="18"/>
      <c r="E337" s="18"/>
      <c r="F337" s="18"/>
      <c r="G337" s="18"/>
      <c r="H337" s="19" t="s">
        <v>695</v>
      </c>
      <c r="I337" s="18" t="s">
        <v>104</v>
      </c>
      <c r="J337" s="20">
        <v>1</v>
      </c>
      <c r="K337" s="20">
        <v>1.1499999999999999</v>
      </c>
      <c r="L337" s="21" t="s">
        <v>28</v>
      </c>
      <c r="M337" s="22">
        <v>2.6703000000000001</v>
      </c>
      <c r="N337" s="22">
        <v>0.52960000000000007</v>
      </c>
      <c r="O337" s="22">
        <v>1017.1985435894751</v>
      </c>
      <c r="P337" s="22">
        <f t="shared" si="53"/>
        <v>3123.6590615890213</v>
      </c>
      <c r="Q337" s="22">
        <v>2777.0693256854333</v>
      </c>
      <c r="R337" s="22">
        <f t="shared" si="54"/>
        <v>1691.3463021154564</v>
      </c>
      <c r="S337" s="22">
        <f t="shared" si="55"/>
        <v>4815.0053637044775</v>
      </c>
      <c r="T337" s="23">
        <v>0.55859868298040061</v>
      </c>
      <c r="U337" s="24">
        <v>0.1</v>
      </c>
      <c r="V337" s="25">
        <f t="shared" si="58"/>
        <v>8255.1271202546995</v>
      </c>
      <c r="W337" s="26" t="s">
        <v>29</v>
      </c>
    </row>
    <row r="338" spans="1:23" ht="89.25" x14ac:dyDescent="0.25">
      <c r="A338" s="17">
        <f t="shared" ca="1" si="56"/>
        <v>334</v>
      </c>
      <c r="B338" s="18" t="s">
        <v>139</v>
      </c>
      <c r="C338" s="18" t="s">
        <v>696</v>
      </c>
      <c r="D338" s="18"/>
      <c r="E338" s="18"/>
      <c r="F338" s="18"/>
      <c r="G338" s="18"/>
      <c r="H338" s="19" t="s">
        <v>697</v>
      </c>
      <c r="I338" s="18" t="s">
        <v>104</v>
      </c>
      <c r="J338" s="20">
        <v>1</v>
      </c>
      <c r="K338" s="20">
        <v>1.1499999999999999</v>
      </c>
      <c r="L338" s="21" t="s">
        <v>28</v>
      </c>
      <c r="M338" s="22">
        <v>2.8313999999999999</v>
      </c>
      <c r="N338" s="22">
        <v>0.55199999999999994</v>
      </c>
      <c r="O338" s="22">
        <v>1017.1985435894751</v>
      </c>
      <c r="P338" s="22">
        <f t="shared" si="53"/>
        <v>3312.1103497671252</v>
      </c>
      <c r="Q338" s="22">
        <v>2777.0693256854333</v>
      </c>
      <c r="R338" s="22">
        <f t="shared" si="54"/>
        <v>1762.8836079451128</v>
      </c>
      <c r="S338" s="22">
        <f t="shared" si="55"/>
        <v>5074.9939577122377</v>
      </c>
      <c r="T338" s="23">
        <v>0.55859868298040061</v>
      </c>
      <c r="U338" s="24">
        <v>0.1</v>
      </c>
      <c r="V338" s="25">
        <f t="shared" si="58"/>
        <v>8700.8667884861643</v>
      </c>
      <c r="W338" s="26" t="s">
        <v>29</v>
      </c>
    </row>
    <row r="339" spans="1:23" ht="89.25" x14ac:dyDescent="0.25">
      <c r="A339" s="17">
        <f t="shared" ca="1" si="56"/>
        <v>335</v>
      </c>
      <c r="B339" s="18" t="s">
        <v>139</v>
      </c>
      <c r="C339" s="18" t="s">
        <v>698</v>
      </c>
      <c r="D339" s="18"/>
      <c r="E339" s="18"/>
      <c r="F339" s="18"/>
      <c r="G339" s="18"/>
      <c r="H339" s="19" t="s">
        <v>699</v>
      </c>
      <c r="I339" s="18" t="s">
        <v>104</v>
      </c>
      <c r="J339" s="20">
        <v>1</v>
      </c>
      <c r="K339" s="20">
        <v>1.1499999999999999</v>
      </c>
      <c r="L339" s="21" t="s">
        <v>28</v>
      </c>
      <c r="M339" s="22">
        <v>3.0294000000000003</v>
      </c>
      <c r="N339" s="22">
        <v>0.58479999999999999</v>
      </c>
      <c r="O339" s="22">
        <v>1017.1985435894751</v>
      </c>
      <c r="P339" s="22">
        <f t="shared" si="53"/>
        <v>3543.7264581424492</v>
      </c>
      <c r="Q339" s="22">
        <v>2777.0693256854333</v>
      </c>
      <c r="R339" s="22">
        <f t="shared" si="54"/>
        <v>1867.6346629099673</v>
      </c>
      <c r="S339" s="22">
        <f t="shared" si="55"/>
        <v>5411.3611210524168</v>
      </c>
      <c r="T339" s="23">
        <v>0.55859868298040061</v>
      </c>
      <c r="U339" s="24">
        <v>0.1</v>
      </c>
      <c r="V339" s="25">
        <f t="shared" si="58"/>
        <v>9277.5543480440065</v>
      </c>
      <c r="W339" s="26" t="s">
        <v>29</v>
      </c>
    </row>
    <row r="340" spans="1:23" ht="89.25" x14ac:dyDescent="0.25">
      <c r="A340" s="17">
        <f t="shared" ca="1" si="56"/>
        <v>336</v>
      </c>
      <c r="B340" s="18" t="s">
        <v>139</v>
      </c>
      <c r="C340" s="18" t="s">
        <v>700</v>
      </c>
      <c r="D340" s="18"/>
      <c r="E340" s="18"/>
      <c r="F340" s="18"/>
      <c r="G340" s="18"/>
      <c r="H340" s="19" t="s">
        <v>701</v>
      </c>
      <c r="I340" s="18" t="s">
        <v>104</v>
      </c>
      <c r="J340" s="20">
        <v>1</v>
      </c>
      <c r="K340" s="20">
        <v>1.1499999999999999</v>
      </c>
      <c r="L340" s="21" t="s">
        <v>28</v>
      </c>
      <c r="M340" s="22">
        <v>2.3678999999999997</v>
      </c>
      <c r="N340" s="22">
        <v>0.6352000000000001</v>
      </c>
      <c r="O340" s="22">
        <v>1017.1985435894751</v>
      </c>
      <c r="P340" s="22">
        <f t="shared" si="53"/>
        <v>2769.9180960703452</v>
      </c>
      <c r="Q340" s="22">
        <v>2777.0693256854333</v>
      </c>
      <c r="R340" s="22">
        <f t="shared" si="54"/>
        <v>2028.5936010266953</v>
      </c>
      <c r="S340" s="22">
        <f t="shared" si="55"/>
        <v>4798.5116970970403</v>
      </c>
      <c r="T340" s="23">
        <v>0.55859868298040061</v>
      </c>
      <c r="U340" s="24">
        <v>0.1</v>
      </c>
      <c r="V340" s="25">
        <f t="shared" si="58"/>
        <v>8226.8494124976442</v>
      </c>
      <c r="W340" s="26" t="s">
        <v>29</v>
      </c>
    </row>
    <row r="341" spans="1:23" ht="89.25" x14ac:dyDescent="0.25">
      <c r="A341" s="17">
        <f t="shared" ca="1" si="56"/>
        <v>337</v>
      </c>
      <c r="B341" s="18" t="s">
        <v>139</v>
      </c>
      <c r="C341" s="18" t="s">
        <v>702</v>
      </c>
      <c r="D341" s="18"/>
      <c r="E341" s="18"/>
      <c r="F341" s="18"/>
      <c r="G341" s="18"/>
      <c r="H341" s="19" t="s">
        <v>703</v>
      </c>
      <c r="I341" s="18" t="s">
        <v>104</v>
      </c>
      <c r="J341" s="20">
        <v>1</v>
      </c>
      <c r="K341" s="20">
        <v>1.1499999999999999</v>
      </c>
      <c r="L341" s="21" t="s">
        <v>28</v>
      </c>
      <c r="M341" s="22">
        <v>2.4569999999999999</v>
      </c>
      <c r="N341" s="22">
        <v>0.70240000000000002</v>
      </c>
      <c r="O341" s="22">
        <v>1017.1985435894751</v>
      </c>
      <c r="P341" s="22">
        <f t="shared" si="53"/>
        <v>2874.1453448392408</v>
      </c>
      <c r="Q341" s="22">
        <v>2777.0693256854333</v>
      </c>
      <c r="R341" s="22">
        <f t="shared" si="54"/>
        <v>2243.2055185156655</v>
      </c>
      <c r="S341" s="22">
        <f t="shared" si="55"/>
        <v>5117.3508633549063</v>
      </c>
      <c r="T341" s="23">
        <v>0.55859868298040061</v>
      </c>
      <c r="U341" s="24">
        <v>0.1</v>
      </c>
      <c r="V341" s="25">
        <f t="shared" si="58"/>
        <v>8773.4859475709309</v>
      </c>
      <c r="W341" s="26" t="s">
        <v>29</v>
      </c>
    </row>
    <row r="342" spans="1:23" ht="89.25" x14ac:dyDescent="0.25">
      <c r="A342" s="17">
        <f t="shared" ca="1" si="56"/>
        <v>338</v>
      </c>
      <c r="B342" s="18" t="s">
        <v>139</v>
      </c>
      <c r="C342" s="18" t="s">
        <v>704</v>
      </c>
      <c r="D342" s="18"/>
      <c r="E342" s="18"/>
      <c r="F342" s="18"/>
      <c r="G342" s="18"/>
      <c r="H342" s="19" t="s">
        <v>705</v>
      </c>
      <c r="I342" s="18" t="s">
        <v>104</v>
      </c>
      <c r="J342" s="20">
        <v>1</v>
      </c>
      <c r="K342" s="20">
        <v>1.1499999999999999</v>
      </c>
      <c r="L342" s="21" t="s">
        <v>28</v>
      </c>
      <c r="M342" s="22">
        <v>2.6352000000000002</v>
      </c>
      <c r="N342" s="22">
        <v>0.73440000000000005</v>
      </c>
      <c r="O342" s="22">
        <v>1017.1985435894751</v>
      </c>
      <c r="P342" s="22">
        <f t="shared" si="53"/>
        <v>3082.5998423770325</v>
      </c>
      <c r="Q342" s="22">
        <v>2777.0693256854333</v>
      </c>
      <c r="R342" s="22">
        <f t="shared" si="54"/>
        <v>2345.4016697008897</v>
      </c>
      <c r="S342" s="22">
        <f t="shared" si="55"/>
        <v>5428.0015120779226</v>
      </c>
      <c r="T342" s="23">
        <v>0.55859868298040061</v>
      </c>
      <c r="U342" s="24">
        <v>0.1</v>
      </c>
      <c r="V342" s="25">
        <f t="shared" si="58"/>
        <v>9306.0836087343014</v>
      </c>
      <c r="W342" s="26" t="s">
        <v>29</v>
      </c>
    </row>
    <row r="343" spans="1:23" ht="89.25" x14ac:dyDescent="0.25">
      <c r="A343" s="17">
        <f t="shared" ca="1" si="56"/>
        <v>339</v>
      </c>
      <c r="B343" s="18" t="s">
        <v>139</v>
      </c>
      <c r="C343" s="18" t="s">
        <v>706</v>
      </c>
      <c r="D343" s="18"/>
      <c r="E343" s="18"/>
      <c r="F343" s="18"/>
      <c r="G343" s="18"/>
      <c r="H343" s="19" t="s">
        <v>707</v>
      </c>
      <c r="I343" s="18" t="s">
        <v>104</v>
      </c>
      <c r="J343" s="20">
        <v>1</v>
      </c>
      <c r="K343" s="20">
        <v>1.1499999999999999</v>
      </c>
      <c r="L343" s="21" t="s">
        <v>28</v>
      </c>
      <c r="M343" s="22">
        <v>2.8152000000000004</v>
      </c>
      <c r="N343" s="22">
        <v>0.83040000000000003</v>
      </c>
      <c r="O343" s="22">
        <v>1017.1985435894751</v>
      </c>
      <c r="P343" s="22">
        <f t="shared" si="53"/>
        <v>3293.1599409000542</v>
      </c>
      <c r="Q343" s="22">
        <v>2777.0693256854333</v>
      </c>
      <c r="R343" s="22">
        <f t="shared" si="54"/>
        <v>2651.9901232565617</v>
      </c>
      <c r="S343" s="22">
        <f t="shared" si="55"/>
        <v>5945.1500641566163</v>
      </c>
      <c r="T343" s="23">
        <v>0.55859868298040061</v>
      </c>
      <c r="U343" s="24">
        <v>0.1</v>
      </c>
      <c r="V343" s="25">
        <f t="shared" si="58"/>
        <v>10192.713366126882</v>
      </c>
      <c r="W343" s="26" t="s">
        <v>29</v>
      </c>
    </row>
    <row r="344" spans="1:23" ht="89.25" x14ac:dyDescent="0.25">
      <c r="A344" s="17">
        <f t="shared" ca="1" si="56"/>
        <v>340</v>
      </c>
      <c r="B344" s="18" t="s">
        <v>139</v>
      </c>
      <c r="C344" s="18" t="s">
        <v>708</v>
      </c>
      <c r="D344" s="18"/>
      <c r="E344" s="18"/>
      <c r="F344" s="18"/>
      <c r="G344" s="18"/>
      <c r="H344" s="19" t="s">
        <v>709</v>
      </c>
      <c r="I344" s="18" t="s">
        <v>104</v>
      </c>
      <c r="J344" s="20">
        <v>1</v>
      </c>
      <c r="K344" s="20">
        <v>1.1499999999999999</v>
      </c>
      <c r="L344" s="21" t="s">
        <v>28</v>
      </c>
      <c r="M344" s="22">
        <v>2.9403000000000001</v>
      </c>
      <c r="N344" s="22">
        <v>0.91359999999999997</v>
      </c>
      <c r="O344" s="22">
        <v>1017.1985435894751</v>
      </c>
      <c r="P344" s="22">
        <f t="shared" si="53"/>
        <v>3439.4992093735536</v>
      </c>
      <c r="Q344" s="22">
        <v>2777.0693256854333</v>
      </c>
      <c r="R344" s="22">
        <f t="shared" si="54"/>
        <v>2917.7001163381433</v>
      </c>
      <c r="S344" s="22">
        <f t="shared" si="55"/>
        <v>6357.1993257116974</v>
      </c>
      <c r="T344" s="23">
        <v>0.55859868298040061</v>
      </c>
      <c r="U344" s="24">
        <v>0.1</v>
      </c>
      <c r="V344" s="25">
        <f t="shared" si="58"/>
        <v>10899.154746147957</v>
      </c>
      <c r="W344" s="26" t="s">
        <v>29</v>
      </c>
    </row>
    <row r="345" spans="1:23" ht="89.25" x14ac:dyDescent="0.25">
      <c r="A345" s="17">
        <f t="shared" ca="1" si="56"/>
        <v>341</v>
      </c>
      <c r="B345" s="18" t="s">
        <v>139</v>
      </c>
      <c r="C345" s="18" t="s">
        <v>710</v>
      </c>
      <c r="D345" s="18"/>
      <c r="E345" s="18"/>
      <c r="F345" s="18"/>
      <c r="G345" s="18"/>
      <c r="H345" s="19" t="s">
        <v>711</v>
      </c>
      <c r="I345" s="18" t="s">
        <v>161</v>
      </c>
      <c r="J345" s="20">
        <v>1</v>
      </c>
      <c r="K345" s="20">
        <v>1.1499999999999999</v>
      </c>
      <c r="L345" s="21" t="s">
        <v>28</v>
      </c>
      <c r="M345" s="22">
        <v>19.71</v>
      </c>
      <c r="N345" s="22">
        <v>9.76</v>
      </c>
      <c r="O345" s="22">
        <v>1017.1985435894751</v>
      </c>
      <c r="P345" s="22">
        <f t="shared" si="53"/>
        <v>23056.330788270836</v>
      </c>
      <c r="Q345" s="22">
        <v>2777.0693256854333</v>
      </c>
      <c r="R345" s="22">
        <f t="shared" si="54"/>
        <v>31169.826111493301</v>
      </c>
      <c r="S345" s="22">
        <f t="shared" si="55"/>
        <v>54226.156899764137</v>
      </c>
      <c r="T345" s="23">
        <v>0.55859868298040061</v>
      </c>
      <c r="U345" s="24">
        <v>0.1</v>
      </c>
      <c r="V345" s="25">
        <f t="shared" si="58"/>
        <v>92968.498399767035</v>
      </c>
      <c r="W345" s="26" t="s">
        <v>29</v>
      </c>
    </row>
    <row r="346" spans="1:23" x14ac:dyDescent="0.25">
      <c r="A346" s="12">
        <f t="shared" ca="1" si="56"/>
        <v>342</v>
      </c>
      <c r="B346" s="13" t="s">
        <v>139</v>
      </c>
      <c r="C346" s="13" t="s">
        <v>712</v>
      </c>
      <c r="D346" s="13"/>
      <c r="E346" s="13"/>
      <c r="F346" s="13"/>
      <c r="G346" s="13"/>
      <c r="H346" s="15" t="s">
        <v>713</v>
      </c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27"/>
      <c r="U346" s="16"/>
      <c r="V346" s="13"/>
      <c r="W346" s="13"/>
    </row>
    <row r="347" spans="1:23" ht="89.25" x14ac:dyDescent="0.25">
      <c r="A347" s="17">
        <f t="shared" ca="1" si="56"/>
        <v>343</v>
      </c>
      <c r="B347" s="18" t="s">
        <v>139</v>
      </c>
      <c r="C347" s="18" t="s">
        <v>714</v>
      </c>
      <c r="D347" s="18"/>
      <c r="E347" s="18"/>
      <c r="F347" s="18"/>
      <c r="G347" s="18"/>
      <c r="H347" s="19" t="s">
        <v>715</v>
      </c>
      <c r="I347" s="18" t="s">
        <v>161</v>
      </c>
      <c r="J347" s="20">
        <v>1</v>
      </c>
      <c r="K347" s="20">
        <v>1.1499999999999999</v>
      </c>
      <c r="L347" s="21" t="s">
        <v>28</v>
      </c>
      <c r="M347" s="22">
        <v>21.811499999999999</v>
      </c>
      <c r="N347" s="22">
        <v>6.6920000000000002</v>
      </c>
      <c r="O347" s="22">
        <v>1017.1985435894751</v>
      </c>
      <c r="P347" s="22">
        <f t="shared" si="53"/>
        <v>25514.619938527107</v>
      </c>
      <c r="Q347" s="22">
        <v>2777.0693256854333</v>
      </c>
      <c r="R347" s="22">
        <f t="shared" si="54"/>
        <v>21371.770116609958</v>
      </c>
      <c r="S347" s="22">
        <f t="shared" si="55"/>
        <v>46886.390055137061</v>
      </c>
      <c r="T347" s="23">
        <v>0.55859868298040061</v>
      </c>
      <c r="U347" s="24">
        <v>0.1</v>
      </c>
      <c r="V347" s="25">
        <f t="shared" ref="V347:V351" si="59">S347+S347*T347+(S347+S347*T347)*U347</f>
        <v>80384.772368606165</v>
      </c>
      <c r="W347" s="26" t="s">
        <v>29</v>
      </c>
    </row>
    <row r="348" spans="1:23" ht="89.25" x14ac:dyDescent="0.25">
      <c r="A348" s="17">
        <f t="shared" ca="1" si="56"/>
        <v>344</v>
      </c>
      <c r="B348" s="18" t="s">
        <v>139</v>
      </c>
      <c r="C348" s="18" t="s">
        <v>716</v>
      </c>
      <c r="D348" s="18"/>
      <c r="E348" s="18"/>
      <c r="F348" s="18"/>
      <c r="G348" s="18"/>
      <c r="H348" s="19" t="s">
        <v>717</v>
      </c>
      <c r="I348" s="18" t="s">
        <v>161</v>
      </c>
      <c r="J348" s="20">
        <v>1</v>
      </c>
      <c r="K348" s="20">
        <v>1.1499999999999999</v>
      </c>
      <c r="L348" s="21" t="s">
        <v>28</v>
      </c>
      <c r="M348" s="22">
        <v>27.900000000000002</v>
      </c>
      <c r="N348" s="22">
        <v>8.072000000000001</v>
      </c>
      <c r="O348" s="22">
        <v>1017.1985435894751</v>
      </c>
      <c r="P348" s="22">
        <f t="shared" si="53"/>
        <v>32636.815271068306</v>
      </c>
      <c r="Q348" s="22">
        <v>2777.0693256854333</v>
      </c>
      <c r="R348" s="22">
        <f t="shared" si="54"/>
        <v>25778.979136472743</v>
      </c>
      <c r="S348" s="22">
        <f t="shared" si="55"/>
        <v>58415.794407541049</v>
      </c>
      <c r="T348" s="23">
        <v>0.55859868298040061</v>
      </c>
      <c r="U348" s="24">
        <v>0.1</v>
      </c>
      <c r="V348" s="25">
        <f t="shared" si="59"/>
        <v>100151.45825173207</v>
      </c>
      <c r="W348" s="26" t="s">
        <v>29</v>
      </c>
    </row>
    <row r="349" spans="1:23" ht="89.25" x14ac:dyDescent="0.25">
      <c r="A349" s="17">
        <f t="shared" ca="1" si="56"/>
        <v>345</v>
      </c>
      <c r="B349" s="18" t="s">
        <v>139</v>
      </c>
      <c r="C349" s="18" t="s">
        <v>718</v>
      </c>
      <c r="D349" s="18"/>
      <c r="E349" s="18"/>
      <c r="F349" s="18"/>
      <c r="G349" s="18"/>
      <c r="H349" s="19" t="s">
        <v>719</v>
      </c>
      <c r="I349" s="18" t="s">
        <v>161</v>
      </c>
      <c r="J349" s="20">
        <v>1</v>
      </c>
      <c r="K349" s="20">
        <v>1.1499999999999999</v>
      </c>
      <c r="L349" s="21" t="s">
        <v>28</v>
      </c>
      <c r="M349" s="22">
        <v>35.356499999999997</v>
      </c>
      <c r="N349" s="22">
        <v>9.6240000000000006</v>
      </c>
      <c r="O349" s="22">
        <v>1017.1985435894751</v>
      </c>
      <c r="P349" s="22">
        <f t="shared" si="53"/>
        <v>41359.267352384464</v>
      </c>
      <c r="Q349" s="22">
        <v>2777.0693256854333</v>
      </c>
      <c r="R349" s="22">
        <f t="shared" si="54"/>
        <v>30735.492468956101</v>
      </c>
      <c r="S349" s="22">
        <f t="shared" si="55"/>
        <v>72094.759821340558</v>
      </c>
      <c r="T349" s="23">
        <v>0.55859868298040061</v>
      </c>
      <c r="U349" s="24">
        <v>0.1</v>
      </c>
      <c r="V349" s="25">
        <f t="shared" si="59"/>
        <v>123603.47747806266</v>
      </c>
      <c r="W349" s="26" t="s">
        <v>29</v>
      </c>
    </row>
    <row r="350" spans="1:23" ht="89.25" x14ac:dyDescent="0.25">
      <c r="A350" s="17">
        <f t="shared" ca="1" si="56"/>
        <v>346</v>
      </c>
      <c r="B350" s="18" t="s">
        <v>139</v>
      </c>
      <c r="C350" s="18" t="s">
        <v>720</v>
      </c>
      <c r="D350" s="18"/>
      <c r="E350" s="18"/>
      <c r="F350" s="18"/>
      <c r="G350" s="18"/>
      <c r="H350" s="19" t="s">
        <v>721</v>
      </c>
      <c r="I350" s="18" t="s">
        <v>161</v>
      </c>
      <c r="J350" s="20">
        <v>1</v>
      </c>
      <c r="K350" s="20">
        <v>1.1499999999999999</v>
      </c>
      <c r="L350" s="21" t="s">
        <v>28</v>
      </c>
      <c r="M350" s="22">
        <v>29.7</v>
      </c>
      <c r="N350" s="22">
        <v>7.7280000000000006</v>
      </c>
      <c r="O350" s="22">
        <v>1017.1985435894751</v>
      </c>
      <c r="P350" s="22">
        <f t="shared" si="53"/>
        <v>34742.416256298522</v>
      </c>
      <c r="Q350" s="22">
        <v>2777.0693256854333</v>
      </c>
      <c r="R350" s="22">
        <f t="shared" si="54"/>
        <v>24680.370511231584</v>
      </c>
      <c r="S350" s="22">
        <f t="shared" si="55"/>
        <v>59422.78676753011</v>
      </c>
      <c r="T350" s="23">
        <v>0.55859868298040061</v>
      </c>
      <c r="U350" s="24">
        <v>0.1</v>
      </c>
      <c r="V350" s="25">
        <f t="shared" si="59"/>
        <v>101877.90491438737</v>
      </c>
      <c r="W350" s="26" t="s">
        <v>29</v>
      </c>
    </row>
    <row r="351" spans="1:23" ht="89.25" x14ac:dyDescent="0.25">
      <c r="A351" s="17">
        <f t="shared" ca="1" si="56"/>
        <v>347</v>
      </c>
      <c r="B351" s="18" t="s">
        <v>139</v>
      </c>
      <c r="C351" s="18" t="s">
        <v>722</v>
      </c>
      <c r="D351" s="18"/>
      <c r="E351" s="18"/>
      <c r="F351" s="18"/>
      <c r="G351" s="18"/>
      <c r="H351" s="19" t="s">
        <v>723</v>
      </c>
      <c r="I351" s="18" t="s">
        <v>161</v>
      </c>
      <c r="J351" s="20">
        <v>1</v>
      </c>
      <c r="K351" s="20">
        <v>1.1499999999999999</v>
      </c>
      <c r="L351" s="21" t="s">
        <v>28</v>
      </c>
      <c r="M351" s="22">
        <v>76.653000000000006</v>
      </c>
      <c r="N351" s="22">
        <v>15.863999999999999</v>
      </c>
      <c r="O351" s="22">
        <v>1017.1985435894751</v>
      </c>
      <c r="P351" s="22">
        <f t="shared" si="53"/>
        <v>89667.017956028634</v>
      </c>
      <c r="Q351" s="22">
        <v>2777.0693256854333</v>
      </c>
      <c r="R351" s="22">
        <f t="shared" si="54"/>
        <v>50663.741950074764</v>
      </c>
      <c r="S351" s="22">
        <f t="shared" si="55"/>
        <v>140330.7599061034</v>
      </c>
      <c r="T351" s="23">
        <v>0.55859868298040061</v>
      </c>
      <c r="U351" s="24">
        <v>0.1</v>
      </c>
      <c r="V351" s="25">
        <f t="shared" si="59"/>
        <v>240591.2713284207</v>
      </c>
      <c r="W351" s="26" t="s">
        <v>29</v>
      </c>
    </row>
    <row r="352" spans="1:23" x14ac:dyDescent="0.25">
      <c r="A352" s="12">
        <f t="shared" ca="1" si="56"/>
        <v>348</v>
      </c>
      <c r="B352" s="13" t="s">
        <v>139</v>
      </c>
      <c r="C352" s="13" t="s">
        <v>724</v>
      </c>
      <c r="D352" s="13"/>
      <c r="E352" s="13"/>
      <c r="F352" s="13"/>
      <c r="G352" s="13"/>
      <c r="H352" s="15" t="s">
        <v>725</v>
      </c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27"/>
      <c r="U352" s="16"/>
      <c r="V352" s="13"/>
      <c r="W352" s="13"/>
    </row>
    <row r="353" spans="1:23" ht="89.25" x14ac:dyDescent="0.25">
      <c r="A353" s="17">
        <f t="shared" ca="1" si="56"/>
        <v>349</v>
      </c>
      <c r="B353" s="18" t="s">
        <v>139</v>
      </c>
      <c r="C353" s="18" t="s">
        <v>726</v>
      </c>
      <c r="D353" s="18"/>
      <c r="E353" s="18"/>
      <c r="F353" s="18"/>
      <c r="G353" s="18"/>
      <c r="H353" s="19" t="s">
        <v>727</v>
      </c>
      <c r="I353" s="18" t="s">
        <v>161</v>
      </c>
      <c r="J353" s="20">
        <v>1</v>
      </c>
      <c r="K353" s="20">
        <v>1.1499999999999999</v>
      </c>
      <c r="L353" s="21" t="s">
        <v>28</v>
      </c>
      <c r="M353" s="22">
        <v>45.54</v>
      </c>
      <c r="N353" s="22">
        <v>8.32</v>
      </c>
      <c r="O353" s="22">
        <v>1017.1985435894751</v>
      </c>
      <c r="P353" s="22">
        <f t="shared" si="53"/>
        <v>53271.704926324397</v>
      </c>
      <c r="Q353" s="22">
        <v>2777.0693256854333</v>
      </c>
      <c r="R353" s="22">
        <f t="shared" si="54"/>
        <v>26570.999308158225</v>
      </c>
      <c r="S353" s="22">
        <f t="shared" si="55"/>
        <v>79842.704234482619</v>
      </c>
      <c r="T353" s="23">
        <v>0.55859868298040061</v>
      </c>
      <c r="U353" s="24">
        <v>0.1</v>
      </c>
      <c r="V353" s="25">
        <f t="shared" ref="V353:V358" si="60">S353+S353*T353+(S353+S353*T353)*U353</f>
        <v>136887.0070320041</v>
      </c>
      <c r="W353" s="26" t="s">
        <v>29</v>
      </c>
    </row>
    <row r="354" spans="1:23" ht="89.25" x14ac:dyDescent="0.25">
      <c r="A354" s="17">
        <f t="shared" ca="1" si="56"/>
        <v>350</v>
      </c>
      <c r="B354" s="18" t="s">
        <v>139</v>
      </c>
      <c r="C354" s="18" t="s">
        <v>728</v>
      </c>
      <c r="D354" s="18"/>
      <c r="E354" s="18"/>
      <c r="F354" s="18"/>
      <c r="G354" s="18"/>
      <c r="H354" s="19" t="s">
        <v>729</v>
      </c>
      <c r="I354" s="18" t="s">
        <v>161</v>
      </c>
      <c r="J354" s="20">
        <v>1</v>
      </c>
      <c r="K354" s="20">
        <v>1.1499999999999999</v>
      </c>
      <c r="L354" s="21" t="s">
        <v>28</v>
      </c>
      <c r="M354" s="22">
        <v>52.38</v>
      </c>
      <c r="N354" s="22">
        <v>10.56</v>
      </c>
      <c r="O354" s="22">
        <v>1017.1985435894751</v>
      </c>
      <c r="P354" s="22">
        <f t="shared" si="53"/>
        <v>61272.988670199207</v>
      </c>
      <c r="Q354" s="22">
        <v>2777.0693256854333</v>
      </c>
      <c r="R354" s="22">
        <f t="shared" si="54"/>
        <v>33724.729891123905</v>
      </c>
      <c r="S354" s="22">
        <f t="shared" si="55"/>
        <v>94997.718561323112</v>
      </c>
      <c r="T354" s="23">
        <v>0.55859868298040061</v>
      </c>
      <c r="U354" s="24">
        <v>0.1</v>
      </c>
      <c r="V354" s="25">
        <f t="shared" si="60"/>
        <v>162869.65093940304</v>
      </c>
      <c r="W354" s="26" t="s">
        <v>29</v>
      </c>
    </row>
    <row r="355" spans="1:23" ht="89.25" x14ac:dyDescent="0.25">
      <c r="A355" s="17">
        <f t="shared" ca="1" si="56"/>
        <v>351</v>
      </c>
      <c r="B355" s="18" t="s">
        <v>139</v>
      </c>
      <c r="C355" s="18" t="s">
        <v>730</v>
      </c>
      <c r="D355" s="18"/>
      <c r="E355" s="18"/>
      <c r="F355" s="18"/>
      <c r="G355" s="18"/>
      <c r="H355" s="19" t="s">
        <v>731</v>
      </c>
      <c r="I355" s="18" t="s">
        <v>161</v>
      </c>
      <c r="J355" s="20">
        <v>1</v>
      </c>
      <c r="K355" s="20">
        <v>1.1499999999999999</v>
      </c>
      <c r="L355" s="21" t="s">
        <v>28</v>
      </c>
      <c r="M355" s="22">
        <v>61.019999999999996</v>
      </c>
      <c r="N355" s="22">
        <v>12.8</v>
      </c>
      <c r="O355" s="22">
        <v>1017.1985435894751</v>
      </c>
      <c r="P355" s="22">
        <f t="shared" si="53"/>
        <v>71379.873399304226</v>
      </c>
      <c r="Q355" s="22">
        <v>2777.0693256854333</v>
      </c>
      <c r="R355" s="22">
        <f t="shared" si="54"/>
        <v>40878.460474089574</v>
      </c>
      <c r="S355" s="22">
        <f t="shared" si="55"/>
        <v>112258.3338733938</v>
      </c>
      <c r="T355" s="23">
        <v>0.55859868298040061</v>
      </c>
      <c r="U355" s="24">
        <v>0.1</v>
      </c>
      <c r="V355" s="25">
        <f t="shared" si="60"/>
        <v>192462.26046151025</v>
      </c>
      <c r="W355" s="26" t="s">
        <v>29</v>
      </c>
    </row>
    <row r="356" spans="1:23" ht="89.25" x14ac:dyDescent="0.25">
      <c r="A356" s="17">
        <f t="shared" ca="1" si="56"/>
        <v>352</v>
      </c>
      <c r="B356" s="18" t="s">
        <v>139</v>
      </c>
      <c r="C356" s="18" t="s">
        <v>732</v>
      </c>
      <c r="D356" s="18"/>
      <c r="E356" s="18"/>
      <c r="F356" s="18"/>
      <c r="G356" s="18"/>
      <c r="H356" s="19" t="s">
        <v>733</v>
      </c>
      <c r="I356" s="18" t="s">
        <v>161</v>
      </c>
      <c r="J356" s="20">
        <v>1</v>
      </c>
      <c r="K356" s="20">
        <v>1.1499999999999999</v>
      </c>
      <c r="L356" s="21" t="s">
        <v>28</v>
      </c>
      <c r="M356" s="22">
        <v>36.81</v>
      </c>
      <c r="N356" s="22">
        <v>6.88</v>
      </c>
      <c r="O356" s="22">
        <v>1017.1985435894751</v>
      </c>
      <c r="P356" s="22">
        <f t="shared" si="53"/>
        <v>43059.540147957865</v>
      </c>
      <c r="Q356" s="22">
        <v>2777.0693256854333</v>
      </c>
      <c r="R356" s="22">
        <f t="shared" si="54"/>
        <v>21972.172504823146</v>
      </c>
      <c r="S356" s="22">
        <f t="shared" si="55"/>
        <v>65031.712652781011</v>
      </c>
      <c r="T356" s="23">
        <v>0.55859868298040061</v>
      </c>
      <c r="U356" s="24">
        <v>0.1</v>
      </c>
      <c r="V356" s="25">
        <f t="shared" si="60"/>
        <v>111494.17586184277</v>
      </c>
      <c r="W356" s="26" t="s">
        <v>29</v>
      </c>
    </row>
    <row r="357" spans="1:23" ht="89.25" x14ac:dyDescent="0.25">
      <c r="A357" s="17">
        <f t="shared" ca="1" si="56"/>
        <v>353</v>
      </c>
      <c r="B357" s="18" t="s">
        <v>139</v>
      </c>
      <c r="C357" s="18" t="s">
        <v>734</v>
      </c>
      <c r="D357" s="18"/>
      <c r="E357" s="18"/>
      <c r="F357" s="18"/>
      <c r="G357" s="18"/>
      <c r="H357" s="19" t="s">
        <v>735</v>
      </c>
      <c r="I357" s="18" t="s">
        <v>161</v>
      </c>
      <c r="J357" s="20">
        <v>1</v>
      </c>
      <c r="K357" s="20">
        <v>1.1499999999999999</v>
      </c>
      <c r="L357" s="21" t="s">
        <v>28</v>
      </c>
      <c r="M357" s="22">
        <v>39.96</v>
      </c>
      <c r="N357" s="22">
        <v>8.16</v>
      </c>
      <c r="O357" s="22">
        <v>1017.1985435894751</v>
      </c>
      <c r="P357" s="22">
        <f t="shared" si="53"/>
        <v>46744.341872110737</v>
      </c>
      <c r="Q357" s="22">
        <v>2777.0693256854333</v>
      </c>
      <c r="R357" s="22">
        <f t="shared" si="54"/>
        <v>26060.018552232104</v>
      </c>
      <c r="S357" s="22">
        <f t="shared" si="55"/>
        <v>72804.360424342842</v>
      </c>
      <c r="T357" s="23">
        <v>0.55859868298040061</v>
      </c>
      <c r="U357" s="24">
        <v>0.1</v>
      </c>
      <c r="V357" s="25">
        <f t="shared" si="60"/>
        <v>124820.05829987227</v>
      </c>
      <c r="W357" s="26" t="s">
        <v>29</v>
      </c>
    </row>
    <row r="358" spans="1:23" ht="89.25" x14ac:dyDescent="0.25">
      <c r="A358" s="17">
        <f t="shared" ca="1" si="56"/>
        <v>354</v>
      </c>
      <c r="B358" s="18" t="s">
        <v>139</v>
      </c>
      <c r="C358" s="18" t="s">
        <v>736</v>
      </c>
      <c r="D358" s="18"/>
      <c r="E358" s="18"/>
      <c r="F358" s="18"/>
      <c r="G358" s="18"/>
      <c r="H358" s="19" t="s">
        <v>737</v>
      </c>
      <c r="I358" s="18" t="s">
        <v>161</v>
      </c>
      <c r="J358" s="20">
        <v>1</v>
      </c>
      <c r="K358" s="20">
        <v>1.1499999999999999</v>
      </c>
      <c r="L358" s="21" t="s">
        <v>28</v>
      </c>
      <c r="M358" s="22">
        <v>43.74</v>
      </c>
      <c r="N358" s="22">
        <v>9.4400000000000013</v>
      </c>
      <c r="O358" s="22">
        <v>1017.1985435894751</v>
      </c>
      <c r="P358" s="22">
        <f t="shared" si="53"/>
        <v>51166.103941094188</v>
      </c>
      <c r="Q358" s="22">
        <v>2777.0693256854333</v>
      </c>
      <c r="R358" s="22">
        <f t="shared" si="54"/>
        <v>30147.864599641067</v>
      </c>
      <c r="S358" s="22">
        <f t="shared" si="55"/>
        <v>81313.968540735252</v>
      </c>
      <c r="T358" s="23">
        <v>0.55859868298040061</v>
      </c>
      <c r="U358" s="24">
        <v>0.1</v>
      </c>
      <c r="V358" s="25">
        <f t="shared" si="60"/>
        <v>139409.42870304966</v>
      </c>
      <c r="W358" s="26" t="s">
        <v>29</v>
      </c>
    </row>
    <row r="359" spans="1:23" x14ac:dyDescent="0.25">
      <c r="A359" s="12">
        <f t="shared" ca="1" si="56"/>
        <v>355</v>
      </c>
      <c r="B359" s="13" t="s">
        <v>139</v>
      </c>
      <c r="C359" s="13" t="s">
        <v>738</v>
      </c>
      <c r="D359" s="13"/>
      <c r="E359" s="13"/>
      <c r="F359" s="13"/>
      <c r="G359" s="13"/>
      <c r="H359" s="15" t="s">
        <v>739</v>
      </c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27"/>
      <c r="U359" s="16"/>
      <c r="V359" s="13"/>
      <c r="W359" s="13"/>
    </row>
    <row r="360" spans="1:23" ht="89.25" x14ac:dyDescent="0.25">
      <c r="A360" s="17">
        <f t="shared" ca="1" si="56"/>
        <v>356</v>
      </c>
      <c r="B360" s="18" t="s">
        <v>139</v>
      </c>
      <c r="C360" s="18" t="s">
        <v>740</v>
      </c>
      <c r="D360" s="18"/>
      <c r="E360" s="18"/>
      <c r="F360" s="18"/>
      <c r="G360" s="18"/>
      <c r="H360" s="19" t="s">
        <v>741</v>
      </c>
      <c r="I360" s="18" t="s">
        <v>161</v>
      </c>
      <c r="J360" s="20">
        <v>1</v>
      </c>
      <c r="K360" s="20">
        <v>1.1499999999999999</v>
      </c>
      <c r="L360" s="21" t="s">
        <v>28</v>
      </c>
      <c r="M360" s="22">
        <v>1.7009999999999998</v>
      </c>
      <c r="N360" s="22">
        <v>0.33600000000000002</v>
      </c>
      <c r="O360" s="22">
        <v>1017.1985435894751</v>
      </c>
      <c r="P360" s="22">
        <f t="shared" si="53"/>
        <v>1989.7929310425513</v>
      </c>
      <c r="Q360" s="22">
        <v>2777.0693256854333</v>
      </c>
      <c r="R360" s="22">
        <f t="shared" si="54"/>
        <v>1073.0595874448513</v>
      </c>
      <c r="S360" s="22">
        <f t="shared" si="55"/>
        <v>3062.8525184874024</v>
      </c>
      <c r="T360" s="23">
        <v>0.55859868298040061</v>
      </c>
      <c r="U360" s="24">
        <v>0.1</v>
      </c>
      <c r="V360" s="25">
        <f t="shared" ref="V360:V367" si="61">S360+S360*T360+(S360+S360*T360)*U360</f>
        <v>5251.1336916254349</v>
      </c>
      <c r="W360" s="26" t="s">
        <v>29</v>
      </c>
    </row>
    <row r="361" spans="1:23" ht="89.25" x14ac:dyDescent="0.25">
      <c r="A361" s="17">
        <f t="shared" ca="1" si="56"/>
        <v>357</v>
      </c>
      <c r="B361" s="18" t="s">
        <v>139</v>
      </c>
      <c r="C361" s="18" t="s">
        <v>742</v>
      </c>
      <c r="D361" s="18"/>
      <c r="E361" s="18"/>
      <c r="F361" s="18"/>
      <c r="G361" s="18"/>
      <c r="H361" s="19" t="s">
        <v>743</v>
      </c>
      <c r="I361" s="18" t="s">
        <v>161</v>
      </c>
      <c r="J361" s="20">
        <v>1</v>
      </c>
      <c r="K361" s="20">
        <v>1.1499999999999999</v>
      </c>
      <c r="L361" s="21" t="s">
        <v>28</v>
      </c>
      <c r="M361" s="22">
        <v>16.02</v>
      </c>
      <c r="N361" s="22">
        <v>2.4000000000000004</v>
      </c>
      <c r="O361" s="22">
        <v>1017.1985435894751</v>
      </c>
      <c r="P361" s="22">
        <f t="shared" si="53"/>
        <v>18739.848768548898</v>
      </c>
      <c r="Q361" s="22">
        <v>2777.0693256854333</v>
      </c>
      <c r="R361" s="22">
        <f t="shared" si="54"/>
        <v>7664.7113388917969</v>
      </c>
      <c r="S361" s="22">
        <f t="shared" si="55"/>
        <v>26404.560107440695</v>
      </c>
      <c r="T361" s="23">
        <v>0.55859868298040061</v>
      </c>
      <c r="U361" s="24">
        <v>0.1</v>
      </c>
      <c r="V361" s="25">
        <f t="shared" si="61"/>
        <v>45269.523868947275</v>
      </c>
      <c r="W361" s="26" t="s">
        <v>29</v>
      </c>
    </row>
    <row r="362" spans="1:23" ht="89.25" x14ac:dyDescent="0.25">
      <c r="A362" s="17">
        <f t="shared" ca="1" si="56"/>
        <v>358</v>
      </c>
      <c r="B362" s="18" t="s">
        <v>139</v>
      </c>
      <c r="C362" s="18" t="s">
        <v>744</v>
      </c>
      <c r="D362" s="18"/>
      <c r="E362" s="18"/>
      <c r="F362" s="18"/>
      <c r="G362" s="18"/>
      <c r="H362" s="19" t="s">
        <v>745</v>
      </c>
      <c r="I362" s="18" t="s">
        <v>746</v>
      </c>
      <c r="J362" s="20">
        <v>1</v>
      </c>
      <c r="K362" s="20">
        <v>1.1499999999999999</v>
      </c>
      <c r="L362" s="21" t="s">
        <v>28</v>
      </c>
      <c r="M362" s="22">
        <v>19.206</v>
      </c>
      <c r="N362" s="22">
        <v>2.3039999999999998</v>
      </c>
      <c r="O362" s="22">
        <v>1017.1985435894751</v>
      </c>
      <c r="P362" s="22">
        <f t="shared" si="53"/>
        <v>22466.762512406374</v>
      </c>
      <c r="Q362" s="22">
        <v>2777.0693256854333</v>
      </c>
      <c r="R362" s="22">
        <f t="shared" si="54"/>
        <v>7358.1228853361226</v>
      </c>
      <c r="S362" s="22">
        <f t="shared" si="55"/>
        <v>29824.885397742495</v>
      </c>
      <c r="T362" s="23">
        <v>0.55859868298040061</v>
      </c>
      <c r="U362" s="24">
        <v>0.1</v>
      </c>
      <c r="V362" s="25">
        <f t="shared" si="61"/>
        <v>51133.529811059117</v>
      </c>
      <c r="W362" s="26" t="s">
        <v>29</v>
      </c>
    </row>
    <row r="363" spans="1:23" ht="89.25" x14ac:dyDescent="0.25">
      <c r="A363" s="17">
        <f t="shared" ca="1" si="56"/>
        <v>359</v>
      </c>
      <c r="B363" s="18" t="s">
        <v>139</v>
      </c>
      <c r="C363" s="18" t="s">
        <v>747</v>
      </c>
      <c r="D363" s="18"/>
      <c r="E363" s="18"/>
      <c r="F363" s="18"/>
      <c r="G363" s="18"/>
      <c r="H363" s="19" t="s">
        <v>748</v>
      </c>
      <c r="I363" s="18" t="s">
        <v>746</v>
      </c>
      <c r="J363" s="20">
        <v>1</v>
      </c>
      <c r="K363" s="20">
        <v>1.1499999999999999</v>
      </c>
      <c r="L363" s="21" t="s">
        <v>28</v>
      </c>
      <c r="M363" s="22">
        <v>30.869999999999997</v>
      </c>
      <c r="N363" s="22">
        <v>3.28</v>
      </c>
      <c r="O363" s="22">
        <v>1017.1985435894751</v>
      </c>
      <c r="P363" s="22">
        <f t="shared" si="53"/>
        <v>36111.056896698152</v>
      </c>
      <c r="Q363" s="22">
        <v>2777.0693256854333</v>
      </c>
      <c r="R363" s="22">
        <f t="shared" si="54"/>
        <v>10475.105496485452</v>
      </c>
      <c r="S363" s="22">
        <f t="shared" si="55"/>
        <v>46586.162393183607</v>
      </c>
      <c r="T363" s="23">
        <v>0.55859868298040061</v>
      </c>
      <c r="U363" s="24">
        <v>0.1</v>
      </c>
      <c r="V363" s="25">
        <f t="shared" si="61"/>
        <v>79870.044486239742</v>
      </c>
      <c r="W363" s="26" t="s">
        <v>29</v>
      </c>
    </row>
    <row r="364" spans="1:23" ht="89.25" x14ac:dyDescent="0.25">
      <c r="A364" s="17">
        <f t="shared" ca="1" si="56"/>
        <v>360</v>
      </c>
      <c r="B364" s="18" t="s">
        <v>139</v>
      </c>
      <c r="C364" s="18" t="s">
        <v>749</v>
      </c>
      <c r="D364" s="18"/>
      <c r="E364" s="18"/>
      <c r="F364" s="18"/>
      <c r="G364" s="18"/>
      <c r="H364" s="19" t="s">
        <v>750</v>
      </c>
      <c r="I364" s="18" t="s">
        <v>746</v>
      </c>
      <c r="J364" s="20">
        <v>1</v>
      </c>
      <c r="K364" s="20">
        <v>1.1499999999999999</v>
      </c>
      <c r="L364" s="21" t="s">
        <v>28</v>
      </c>
      <c r="M364" s="22">
        <v>42.12</v>
      </c>
      <c r="N364" s="22">
        <v>9.1120000000000001</v>
      </c>
      <c r="O364" s="22">
        <v>1017.1985435894751</v>
      </c>
      <c r="P364" s="22">
        <f t="shared" si="53"/>
        <v>49271.063054386992</v>
      </c>
      <c r="Q364" s="22">
        <v>2777.0693256854333</v>
      </c>
      <c r="R364" s="22">
        <f t="shared" si="54"/>
        <v>29100.354049992518</v>
      </c>
      <c r="S364" s="22">
        <f t="shared" si="55"/>
        <v>78371.417104379507</v>
      </c>
      <c r="T364" s="23">
        <v>0.55859868298040061</v>
      </c>
      <c r="U364" s="24">
        <v>0.1</v>
      </c>
      <c r="V364" s="25">
        <f t="shared" si="61"/>
        <v>134364.5462304129</v>
      </c>
      <c r="W364" s="26" t="s">
        <v>29</v>
      </c>
    </row>
    <row r="365" spans="1:23" ht="89.25" x14ac:dyDescent="0.25">
      <c r="A365" s="17">
        <f t="shared" ca="1" si="56"/>
        <v>361</v>
      </c>
      <c r="B365" s="18" t="s">
        <v>139</v>
      </c>
      <c r="C365" s="18" t="s">
        <v>751</v>
      </c>
      <c r="D365" s="18"/>
      <c r="E365" s="18"/>
      <c r="F365" s="18"/>
      <c r="G365" s="18"/>
      <c r="H365" s="19" t="s">
        <v>752</v>
      </c>
      <c r="I365" s="18" t="s">
        <v>746</v>
      </c>
      <c r="J365" s="20">
        <v>1</v>
      </c>
      <c r="K365" s="20">
        <v>1.1499999999999999</v>
      </c>
      <c r="L365" s="21" t="s">
        <v>28</v>
      </c>
      <c r="M365" s="22">
        <v>55.800000000000004</v>
      </c>
      <c r="N365" s="22">
        <v>11.32</v>
      </c>
      <c r="O365" s="22">
        <v>1017.1985435894751</v>
      </c>
      <c r="P365" s="22">
        <f t="shared" si="53"/>
        <v>65273.630542136612</v>
      </c>
      <c r="Q365" s="22">
        <v>2777.0693256854333</v>
      </c>
      <c r="R365" s="22">
        <f t="shared" si="54"/>
        <v>36151.88848177297</v>
      </c>
      <c r="S365" s="22">
        <f t="shared" si="55"/>
        <v>101425.51902390958</v>
      </c>
      <c r="T365" s="23">
        <v>0.55859868298040061</v>
      </c>
      <c r="U365" s="24">
        <v>0.1</v>
      </c>
      <c r="V365" s="25">
        <f t="shared" si="61"/>
        <v>173889.84840839598</v>
      </c>
      <c r="W365" s="26" t="s">
        <v>29</v>
      </c>
    </row>
    <row r="366" spans="1:23" ht="89.25" x14ac:dyDescent="0.25">
      <c r="A366" s="17">
        <f t="shared" ca="1" si="56"/>
        <v>362</v>
      </c>
      <c r="B366" s="18" t="s">
        <v>139</v>
      </c>
      <c r="C366" s="18" t="s">
        <v>753</v>
      </c>
      <c r="D366" s="18"/>
      <c r="E366" s="18"/>
      <c r="F366" s="18"/>
      <c r="G366" s="18"/>
      <c r="H366" s="19" t="s">
        <v>754</v>
      </c>
      <c r="I366" s="18" t="s">
        <v>746</v>
      </c>
      <c r="J366" s="20">
        <v>1</v>
      </c>
      <c r="K366" s="20">
        <v>1.1499999999999999</v>
      </c>
      <c r="L366" s="21" t="s">
        <v>28</v>
      </c>
      <c r="M366" s="22">
        <v>69.201000000000008</v>
      </c>
      <c r="N366" s="22">
        <v>13.96</v>
      </c>
      <c r="O366" s="22">
        <v>1017.1985435894751</v>
      </c>
      <c r="P366" s="22">
        <f t="shared" si="53"/>
        <v>80949.829877175565</v>
      </c>
      <c r="Q366" s="22">
        <v>2777.0693256854333</v>
      </c>
      <c r="R366" s="22">
        <f t="shared" si="54"/>
        <v>44583.070954553943</v>
      </c>
      <c r="S366" s="22">
        <f t="shared" si="55"/>
        <v>125532.90083172951</v>
      </c>
      <c r="T366" s="23">
        <v>0.55859868298040061</v>
      </c>
      <c r="U366" s="24">
        <v>0.1</v>
      </c>
      <c r="V366" s="25">
        <f t="shared" si="61"/>
        <v>215220.95529774713</v>
      </c>
      <c r="W366" s="26" t="s">
        <v>29</v>
      </c>
    </row>
    <row r="367" spans="1:23" ht="89.25" x14ac:dyDescent="0.25">
      <c r="A367" s="17">
        <f t="shared" ca="1" si="56"/>
        <v>363</v>
      </c>
      <c r="B367" s="18" t="s">
        <v>139</v>
      </c>
      <c r="C367" s="18" t="s">
        <v>755</v>
      </c>
      <c r="D367" s="18"/>
      <c r="E367" s="18"/>
      <c r="F367" s="18"/>
      <c r="G367" s="18"/>
      <c r="H367" s="19" t="s">
        <v>756</v>
      </c>
      <c r="I367" s="18" t="s">
        <v>746</v>
      </c>
      <c r="J367" s="20">
        <v>1</v>
      </c>
      <c r="K367" s="20">
        <v>1.1499999999999999</v>
      </c>
      <c r="L367" s="21" t="s">
        <v>28</v>
      </c>
      <c r="M367" s="22">
        <v>20.43</v>
      </c>
      <c r="N367" s="22">
        <v>9.2000000000000011</v>
      </c>
      <c r="O367" s="22">
        <v>1017.1985435894751</v>
      </c>
      <c r="P367" s="22">
        <f t="shared" si="53"/>
        <v>23898.571182362921</v>
      </c>
      <c r="Q367" s="22">
        <v>2777.0693256854333</v>
      </c>
      <c r="R367" s="22">
        <f t="shared" si="54"/>
        <v>29381.393465751888</v>
      </c>
      <c r="S367" s="22">
        <f t="shared" si="55"/>
        <v>53279.964648114808</v>
      </c>
      <c r="T367" s="23">
        <v>0.55859868298040061</v>
      </c>
      <c r="U367" s="24">
        <v>0.1</v>
      </c>
      <c r="V367" s="25">
        <f t="shared" si="61"/>
        <v>91346.291002773447</v>
      </c>
      <c r="W367" s="26" t="s">
        <v>29</v>
      </c>
    </row>
    <row r="368" spans="1:23" x14ac:dyDescent="0.25">
      <c r="A368" s="12">
        <f t="shared" ca="1" si="56"/>
        <v>364</v>
      </c>
      <c r="B368" s="13" t="s">
        <v>139</v>
      </c>
      <c r="C368" s="13" t="s">
        <v>757</v>
      </c>
      <c r="D368" s="13"/>
      <c r="E368" s="13"/>
      <c r="F368" s="13"/>
      <c r="G368" s="13"/>
      <c r="H368" s="15" t="s">
        <v>758</v>
      </c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27"/>
      <c r="U368" s="16"/>
      <c r="V368" s="13"/>
      <c r="W368" s="13"/>
    </row>
    <row r="369" spans="1:23" ht="89.25" x14ac:dyDescent="0.25">
      <c r="A369" s="17">
        <f t="shared" ca="1" si="56"/>
        <v>365</v>
      </c>
      <c r="B369" s="18" t="s">
        <v>139</v>
      </c>
      <c r="C369" s="18" t="s">
        <v>759</v>
      </c>
      <c r="D369" s="18"/>
      <c r="E369" s="18"/>
      <c r="F369" s="18"/>
      <c r="G369" s="18"/>
      <c r="H369" s="19" t="s">
        <v>760</v>
      </c>
      <c r="I369" s="18" t="s">
        <v>161</v>
      </c>
      <c r="J369" s="20">
        <v>1</v>
      </c>
      <c r="K369" s="20">
        <v>1.1499999999999999</v>
      </c>
      <c r="L369" s="21" t="s">
        <v>28</v>
      </c>
      <c r="M369" s="22">
        <v>2.2662</v>
      </c>
      <c r="N369" s="22">
        <v>0.40640000000000004</v>
      </c>
      <c r="O369" s="22">
        <v>1017.1985435894751</v>
      </c>
      <c r="P369" s="22">
        <f t="shared" si="53"/>
        <v>2650.9516404048386</v>
      </c>
      <c r="Q369" s="22">
        <v>2777.0693256854333</v>
      </c>
      <c r="R369" s="22">
        <f t="shared" si="54"/>
        <v>1297.8911200523441</v>
      </c>
      <c r="S369" s="22">
        <f t="shared" si="55"/>
        <v>3948.8427604571825</v>
      </c>
      <c r="T369" s="23">
        <v>0.55859868298040061</v>
      </c>
      <c r="U369" s="24">
        <v>0.1</v>
      </c>
      <c r="V369" s="25">
        <f t="shared" ref="V369:V375" si="62">S369+S369*T369+(S369+S369*T369)*U369</f>
        <v>6770.1272383197793</v>
      </c>
      <c r="W369" s="26" t="s">
        <v>29</v>
      </c>
    </row>
    <row r="370" spans="1:23" ht="89.25" x14ac:dyDescent="0.25">
      <c r="A370" s="17">
        <f t="shared" ca="1" si="56"/>
        <v>366</v>
      </c>
      <c r="B370" s="18" t="s">
        <v>139</v>
      </c>
      <c r="C370" s="18" t="s">
        <v>761</v>
      </c>
      <c r="D370" s="18"/>
      <c r="E370" s="18"/>
      <c r="F370" s="18"/>
      <c r="G370" s="18"/>
      <c r="H370" s="19" t="s">
        <v>762</v>
      </c>
      <c r="I370" s="18" t="s">
        <v>161</v>
      </c>
      <c r="J370" s="20">
        <v>1</v>
      </c>
      <c r="K370" s="20">
        <v>1.1499999999999999</v>
      </c>
      <c r="L370" s="21" t="s">
        <v>28</v>
      </c>
      <c r="M370" s="22">
        <v>3.1410000000000005</v>
      </c>
      <c r="N370" s="22">
        <v>0.88560000000000005</v>
      </c>
      <c r="O370" s="22">
        <v>1017.1985435894751</v>
      </c>
      <c r="P370" s="22">
        <f t="shared" si="53"/>
        <v>3674.2737192267227</v>
      </c>
      <c r="Q370" s="22">
        <v>2777.0693256854333</v>
      </c>
      <c r="R370" s="22">
        <f t="shared" si="54"/>
        <v>2828.2784840510726</v>
      </c>
      <c r="S370" s="22">
        <f t="shared" si="55"/>
        <v>6502.5522032777953</v>
      </c>
      <c r="T370" s="23">
        <v>0.55859868298040061</v>
      </c>
      <c r="U370" s="24">
        <v>0.1</v>
      </c>
      <c r="V370" s="25">
        <f t="shared" si="62"/>
        <v>11148.356230044083</v>
      </c>
      <c r="W370" s="26" t="s">
        <v>29</v>
      </c>
    </row>
    <row r="371" spans="1:23" ht="89.25" x14ac:dyDescent="0.25">
      <c r="A371" s="17">
        <f t="shared" ca="1" si="56"/>
        <v>367</v>
      </c>
      <c r="B371" s="18" t="s">
        <v>139</v>
      </c>
      <c r="C371" s="18" t="s">
        <v>763</v>
      </c>
      <c r="D371" s="18"/>
      <c r="E371" s="18"/>
      <c r="F371" s="18"/>
      <c r="G371" s="18"/>
      <c r="H371" s="19" t="s">
        <v>764</v>
      </c>
      <c r="I371" s="18" t="s">
        <v>161</v>
      </c>
      <c r="J371" s="20">
        <v>1</v>
      </c>
      <c r="K371" s="20">
        <v>1.1499999999999999</v>
      </c>
      <c r="L371" s="21" t="s">
        <v>28</v>
      </c>
      <c r="M371" s="22">
        <v>3.6395999999999997</v>
      </c>
      <c r="N371" s="22">
        <v>0.88560000000000005</v>
      </c>
      <c r="O371" s="22">
        <v>1017.1985435894751</v>
      </c>
      <c r="P371" s="22">
        <f t="shared" si="53"/>
        <v>4257.5251921354911</v>
      </c>
      <c r="Q371" s="22">
        <v>2777.0693256854333</v>
      </c>
      <c r="R371" s="22">
        <f t="shared" si="54"/>
        <v>2828.2784840510726</v>
      </c>
      <c r="S371" s="22">
        <f t="shared" si="55"/>
        <v>7085.8036761865642</v>
      </c>
      <c r="T371" s="23">
        <v>0.55859868298040061</v>
      </c>
      <c r="U371" s="24">
        <v>0.1</v>
      </c>
      <c r="V371" s="25">
        <f t="shared" si="62"/>
        <v>12148.316705318266</v>
      </c>
      <c r="W371" s="26" t="s">
        <v>29</v>
      </c>
    </row>
    <row r="372" spans="1:23" ht="89.25" x14ac:dyDescent="0.25">
      <c r="A372" s="17">
        <f t="shared" ca="1" si="56"/>
        <v>368</v>
      </c>
      <c r="B372" s="18" t="s">
        <v>139</v>
      </c>
      <c r="C372" s="18" t="s">
        <v>765</v>
      </c>
      <c r="D372" s="18"/>
      <c r="E372" s="18"/>
      <c r="F372" s="18"/>
      <c r="G372" s="18"/>
      <c r="H372" s="19" t="s">
        <v>766</v>
      </c>
      <c r="I372" s="18" t="s">
        <v>161</v>
      </c>
      <c r="J372" s="20">
        <v>1</v>
      </c>
      <c r="K372" s="20">
        <v>1.1499999999999999</v>
      </c>
      <c r="L372" s="21" t="s">
        <v>28</v>
      </c>
      <c r="M372" s="22">
        <v>4.2389999999999999</v>
      </c>
      <c r="N372" s="22">
        <v>1.0167999999999999</v>
      </c>
      <c r="O372" s="22">
        <v>1017.1985435894751</v>
      </c>
      <c r="P372" s="22">
        <f t="shared" si="53"/>
        <v>4958.6903202171525</v>
      </c>
      <c r="Q372" s="22">
        <v>2777.0693256854333</v>
      </c>
      <c r="R372" s="22">
        <f t="shared" si="54"/>
        <v>3247.2827039104905</v>
      </c>
      <c r="S372" s="22">
        <f t="shared" si="55"/>
        <v>8205.9730241276429</v>
      </c>
      <c r="T372" s="23">
        <v>0.55859868298040061</v>
      </c>
      <c r="U372" s="24">
        <v>0.1</v>
      </c>
      <c r="V372" s="25">
        <f t="shared" si="62"/>
        <v>14068.800622775843</v>
      </c>
      <c r="W372" s="26" t="s">
        <v>29</v>
      </c>
    </row>
    <row r="373" spans="1:23" ht="89.25" x14ac:dyDescent="0.25">
      <c r="A373" s="17">
        <f t="shared" ca="1" si="56"/>
        <v>369</v>
      </c>
      <c r="B373" s="18" t="s">
        <v>139</v>
      </c>
      <c r="C373" s="18" t="s">
        <v>767</v>
      </c>
      <c r="D373" s="18"/>
      <c r="E373" s="18"/>
      <c r="F373" s="18"/>
      <c r="G373" s="18"/>
      <c r="H373" s="19" t="s">
        <v>768</v>
      </c>
      <c r="I373" s="18" t="s">
        <v>161</v>
      </c>
      <c r="J373" s="20">
        <v>1</v>
      </c>
      <c r="K373" s="20">
        <v>1.1499999999999999</v>
      </c>
      <c r="L373" s="21" t="s">
        <v>28</v>
      </c>
      <c r="M373" s="22">
        <v>6.0812999999999997</v>
      </c>
      <c r="N373" s="22">
        <v>1.236</v>
      </c>
      <c r="O373" s="22">
        <v>1017.1985435894751</v>
      </c>
      <c r="P373" s="22">
        <f t="shared" si="53"/>
        <v>7113.772928600275</v>
      </c>
      <c r="Q373" s="22">
        <v>2777.0693256854333</v>
      </c>
      <c r="R373" s="22">
        <f t="shared" si="54"/>
        <v>3947.3263395292743</v>
      </c>
      <c r="S373" s="22">
        <f t="shared" si="55"/>
        <v>11061.09926812955</v>
      </c>
      <c r="T373" s="23">
        <v>0.55859868298040061</v>
      </c>
      <c r="U373" s="24">
        <v>0.1</v>
      </c>
      <c r="V373" s="25">
        <f t="shared" si="62"/>
        <v>18963.796226784409</v>
      </c>
      <c r="W373" s="26" t="s">
        <v>29</v>
      </c>
    </row>
    <row r="374" spans="1:23" ht="89.25" x14ac:dyDescent="0.25">
      <c r="A374" s="17">
        <f t="shared" ca="1" si="56"/>
        <v>370</v>
      </c>
      <c r="B374" s="18" t="s">
        <v>139</v>
      </c>
      <c r="C374" s="18" t="s">
        <v>769</v>
      </c>
      <c r="D374" s="18"/>
      <c r="E374" s="18"/>
      <c r="F374" s="18"/>
      <c r="G374" s="18"/>
      <c r="H374" s="19" t="s">
        <v>770</v>
      </c>
      <c r="I374" s="18" t="s">
        <v>161</v>
      </c>
      <c r="J374" s="20">
        <v>1</v>
      </c>
      <c r="K374" s="20">
        <v>1.1499999999999999</v>
      </c>
      <c r="L374" s="21" t="s">
        <v>28</v>
      </c>
      <c r="M374" s="22">
        <v>6.9066000000000001</v>
      </c>
      <c r="N374" s="22">
        <v>1.4856</v>
      </c>
      <c r="O374" s="22">
        <v>1017.1985435894751</v>
      </c>
      <c r="P374" s="22">
        <f t="shared" si="53"/>
        <v>8079.1909803283288</v>
      </c>
      <c r="Q374" s="22">
        <v>2777.0693256854333</v>
      </c>
      <c r="R374" s="22">
        <f t="shared" si="54"/>
        <v>4744.4563187740214</v>
      </c>
      <c r="S374" s="22">
        <f t="shared" si="55"/>
        <v>12823.647299102351</v>
      </c>
      <c r="T374" s="23">
        <v>0.55859868298040061</v>
      </c>
      <c r="U374" s="24">
        <v>0.1</v>
      </c>
      <c r="V374" s="25">
        <f t="shared" si="62"/>
        <v>21985.611770524705</v>
      </c>
      <c r="W374" s="26" t="s">
        <v>29</v>
      </c>
    </row>
    <row r="375" spans="1:23" ht="89.25" x14ac:dyDescent="0.25">
      <c r="A375" s="17">
        <f t="shared" ca="1" si="56"/>
        <v>371</v>
      </c>
      <c r="B375" s="18" t="s">
        <v>139</v>
      </c>
      <c r="C375" s="18" t="s">
        <v>771</v>
      </c>
      <c r="D375" s="18"/>
      <c r="E375" s="18"/>
      <c r="F375" s="18"/>
      <c r="G375" s="18"/>
      <c r="H375" s="19" t="s">
        <v>772</v>
      </c>
      <c r="I375" s="18" t="s">
        <v>161</v>
      </c>
      <c r="J375" s="20">
        <v>1</v>
      </c>
      <c r="K375" s="20">
        <v>1.1499999999999999</v>
      </c>
      <c r="L375" s="21" t="s">
        <v>28</v>
      </c>
      <c r="M375" s="22">
        <v>8.3609999999999989</v>
      </c>
      <c r="N375" s="22">
        <v>1.7207999999999999</v>
      </c>
      <c r="O375" s="22">
        <v>1017.1985435894751</v>
      </c>
      <c r="P375" s="22">
        <f t="shared" si="53"/>
        <v>9780.5165763943387</v>
      </c>
      <c r="Q375" s="22">
        <v>2777.0693256854333</v>
      </c>
      <c r="R375" s="22">
        <f t="shared" si="54"/>
        <v>5495.5980299854173</v>
      </c>
      <c r="S375" s="22">
        <f t="shared" si="55"/>
        <v>15276.114606379757</v>
      </c>
      <c r="T375" s="23">
        <v>0.55859868298040061</v>
      </c>
      <c r="U375" s="24">
        <v>0.1</v>
      </c>
      <c r="V375" s="25">
        <f t="shared" si="62"/>
        <v>26190.265317217269</v>
      </c>
      <c r="W375" s="26" t="s">
        <v>29</v>
      </c>
    </row>
    <row r="376" spans="1:23" x14ac:dyDescent="0.25">
      <c r="A376" s="12">
        <f t="shared" ca="1" si="56"/>
        <v>372</v>
      </c>
      <c r="B376" s="13" t="s">
        <v>139</v>
      </c>
      <c r="C376" s="13" t="s">
        <v>773</v>
      </c>
      <c r="D376" s="13"/>
      <c r="E376" s="13"/>
      <c r="F376" s="13"/>
      <c r="G376" s="13"/>
      <c r="H376" s="15" t="s">
        <v>774</v>
      </c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27"/>
      <c r="U376" s="16"/>
      <c r="V376" s="13"/>
      <c r="W376" s="13"/>
    </row>
    <row r="377" spans="1:23" ht="89.25" x14ac:dyDescent="0.25">
      <c r="A377" s="17">
        <f t="shared" ca="1" si="56"/>
        <v>373</v>
      </c>
      <c r="B377" s="18" t="s">
        <v>139</v>
      </c>
      <c r="C377" s="18" t="s">
        <v>775</v>
      </c>
      <c r="D377" s="18"/>
      <c r="E377" s="18"/>
      <c r="F377" s="18"/>
      <c r="G377" s="18"/>
      <c r="H377" s="19" t="s">
        <v>776</v>
      </c>
      <c r="I377" s="18" t="s">
        <v>161</v>
      </c>
      <c r="J377" s="20">
        <v>1</v>
      </c>
      <c r="K377" s="20">
        <v>1.1499999999999999</v>
      </c>
      <c r="L377" s="21" t="s">
        <v>28</v>
      </c>
      <c r="M377" s="22">
        <v>0.71190000000000009</v>
      </c>
      <c r="N377" s="22">
        <v>3.8400000000000004E-2</v>
      </c>
      <c r="O377" s="22">
        <v>1017.1985435894751</v>
      </c>
      <c r="P377" s="22">
        <f t="shared" si="53"/>
        <v>832.7651896585495</v>
      </c>
      <c r="Q377" s="22">
        <v>2777.0693256854333</v>
      </c>
      <c r="R377" s="22">
        <f t="shared" si="54"/>
        <v>122.63538142226874</v>
      </c>
      <c r="S377" s="22">
        <f t="shared" si="55"/>
        <v>955.40057108081828</v>
      </c>
      <c r="T377" s="23">
        <v>0.55859868298040061</v>
      </c>
      <c r="U377" s="24">
        <v>0.1</v>
      </c>
      <c r="V377" s="25">
        <f t="shared" ref="V377:V386" si="63">S377+S377*T377+(S377+S377*T377)*U377</f>
        <v>1637.9946789858145</v>
      </c>
      <c r="W377" s="26" t="s">
        <v>29</v>
      </c>
    </row>
    <row r="378" spans="1:23" ht="89.25" x14ac:dyDescent="0.25">
      <c r="A378" s="17">
        <f t="shared" ca="1" si="56"/>
        <v>374</v>
      </c>
      <c r="B378" s="18" t="s">
        <v>139</v>
      </c>
      <c r="C378" s="18" t="s">
        <v>777</v>
      </c>
      <c r="D378" s="18"/>
      <c r="E378" s="18"/>
      <c r="F378" s="18"/>
      <c r="G378" s="18"/>
      <c r="H378" s="19" t="s">
        <v>778</v>
      </c>
      <c r="I378" s="18" t="s">
        <v>161</v>
      </c>
      <c r="J378" s="20">
        <v>1</v>
      </c>
      <c r="K378" s="20">
        <v>1.1499999999999999</v>
      </c>
      <c r="L378" s="21" t="s">
        <v>28</v>
      </c>
      <c r="M378" s="22">
        <v>2.2680000000000002</v>
      </c>
      <c r="N378" s="22">
        <v>0.55999999999999994</v>
      </c>
      <c r="O378" s="22">
        <v>1017.1985435894751</v>
      </c>
      <c r="P378" s="22">
        <f t="shared" si="53"/>
        <v>2653.0572413900691</v>
      </c>
      <c r="Q378" s="22">
        <v>2777.0693256854333</v>
      </c>
      <c r="R378" s="22">
        <f t="shared" si="54"/>
        <v>1788.4326457414188</v>
      </c>
      <c r="S378" s="22">
        <f t="shared" si="55"/>
        <v>4441.4898871314881</v>
      </c>
      <c r="T378" s="23">
        <v>0.55859868298040061</v>
      </c>
      <c r="U378" s="24">
        <v>0.1</v>
      </c>
      <c r="V378" s="25">
        <f t="shared" si="63"/>
        <v>7614.7503174092963</v>
      </c>
      <c r="W378" s="26" t="s">
        <v>29</v>
      </c>
    </row>
    <row r="379" spans="1:23" ht="89.25" x14ac:dyDescent="0.25">
      <c r="A379" s="17">
        <f t="shared" ca="1" si="56"/>
        <v>375</v>
      </c>
      <c r="B379" s="18" t="s">
        <v>139</v>
      </c>
      <c r="C379" s="18" t="s">
        <v>779</v>
      </c>
      <c r="D379" s="18"/>
      <c r="E379" s="18"/>
      <c r="F379" s="18"/>
      <c r="G379" s="18"/>
      <c r="H379" s="19" t="s">
        <v>780</v>
      </c>
      <c r="I379" s="18" t="s">
        <v>161</v>
      </c>
      <c r="J379" s="20">
        <v>1</v>
      </c>
      <c r="K379" s="20">
        <v>1.1499999999999999</v>
      </c>
      <c r="L379" s="21" t="s">
        <v>28</v>
      </c>
      <c r="M379" s="22">
        <v>3.0942000000000003</v>
      </c>
      <c r="N379" s="22">
        <v>0.70720000000000005</v>
      </c>
      <c r="O379" s="22">
        <v>1017.1985435894751</v>
      </c>
      <c r="P379" s="22">
        <f t="shared" si="53"/>
        <v>3619.528093610737</v>
      </c>
      <c r="Q379" s="22">
        <v>2777.0693256854333</v>
      </c>
      <c r="R379" s="22">
        <f t="shared" si="54"/>
        <v>2258.534941193449</v>
      </c>
      <c r="S379" s="22">
        <f t="shared" si="55"/>
        <v>5878.0630348041859</v>
      </c>
      <c r="T379" s="23">
        <v>0.55859868298040061</v>
      </c>
      <c r="U379" s="24">
        <v>0.1</v>
      </c>
      <c r="V379" s="25">
        <f t="shared" si="63"/>
        <v>10077.695434973739</v>
      </c>
      <c r="W379" s="26" t="s">
        <v>29</v>
      </c>
    </row>
    <row r="380" spans="1:23" ht="89.25" x14ac:dyDescent="0.25">
      <c r="A380" s="17">
        <f t="shared" ca="1" si="56"/>
        <v>376</v>
      </c>
      <c r="B380" s="18" t="s">
        <v>139</v>
      </c>
      <c r="C380" s="18" t="s">
        <v>781</v>
      </c>
      <c r="D380" s="18"/>
      <c r="E380" s="18"/>
      <c r="F380" s="18"/>
      <c r="G380" s="18"/>
      <c r="H380" s="19" t="s">
        <v>782</v>
      </c>
      <c r="I380" s="18" t="s">
        <v>161</v>
      </c>
      <c r="J380" s="20">
        <v>1</v>
      </c>
      <c r="K380" s="20">
        <v>1.1499999999999999</v>
      </c>
      <c r="L380" s="21" t="s">
        <v>28</v>
      </c>
      <c r="M380" s="22">
        <v>4.9104000000000001</v>
      </c>
      <c r="N380" s="22">
        <v>0.85440000000000005</v>
      </c>
      <c r="O380" s="22">
        <v>1017.1985435894751</v>
      </c>
      <c r="P380" s="22">
        <f t="shared" si="53"/>
        <v>5744.0794877080216</v>
      </c>
      <c r="Q380" s="22">
        <v>2777.0693256854333</v>
      </c>
      <c r="R380" s="22">
        <f t="shared" si="54"/>
        <v>2728.6372366454793</v>
      </c>
      <c r="S380" s="22">
        <f t="shared" si="55"/>
        <v>8472.7167243535005</v>
      </c>
      <c r="T380" s="23">
        <v>0.55859868298040061</v>
      </c>
      <c r="U380" s="24">
        <v>0.1</v>
      </c>
      <c r="V380" s="25">
        <f t="shared" si="63"/>
        <v>14526.121640627718</v>
      </c>
      <c r="W380" s="26" t="s">
        <v>29</v>
      </c>
    </row>
    <row r="381" spans="1:23" ht="89.25" x14ac:dyDescent="0.25">
      <c r="A381" s="17">
        <f t="shared" ca="1" si="56"/>
        <v>377</v>
      </c>
      <c r="B381" s="18" t="s">
        <v>139</v>
      </c>
      <c r="C381" s="18" t="s">
        <v>783</v>
      </c>
      <c r="D381" s="18"/>
      <c r="E381" s="18"/>
      <c r="F381" s="18"/>
      <c r="G381" s="18"/>
      <c r="H381" s="19" t="s">
        <v>784</v>
      </c>
      <c r="I381" s="18" t="s">
        <v>161</v>
      </c>
      <c r="J381" s="20">
        <v>1</v>
      </c>
      <c r="K381" s="20">
        <v>1.1499999999999999</v>
      </c>
      <c r="L381" s="21" t="s">
        <v>28</v>
      </c>
      <c r="M381" s="22">
        <v>14.409000000000002</v>
      </c>
      <c r="N381" s="22">
        <v>2.952</v>
      </c>
      <c r="O381" s="22">
        <v>1017.1985435894751</v>
      </c>
      <c r="P381" s="22">
        <f t="shared" si="53"/>
        <v>16855.335886767862</v>
      </c>
      <c r="Q381" s="22">
        <v>2777.0693256854333</v>
      </c>
      <c r="R381" s="22">
        <f t="shared" si="54"/>
        <v>9427.594946836909</v>
      </c>
      <c r="S381" s="22">
        <f t="shared" si="55"/>
        <v>26282.930833604769</v>
      </c>
      <c r="T381" s="23">
        <v>0.55859868298040061</v>
      </c>
      <c r="U381" s="24">
        <v>0.1</v>
      </c>
      <c r="V381" s="25">
        <f t="shared" si="63"/>
        <v>45060.995520333498</v>
      </c>
      <c r="W381" s="26" t="s">
        <v>29</v>
      </c>
    </row>
    <row r="382" spans="1:23" ht="89.25" x14ac:dyDescent="0.25">
      <c r="A382" s="17">
        <f t="shared" ca="1" si="56"/>
        <v>378</v>
      </c>
      <c r="B382" s="18" t="s">
        <v>139</v>
      </c>
      <c r="C382" s="18" t="s">
        <v>785</v>
      </c>
      <c r="D382" s="18"/>
      <c r="E382" s="18"/>
      <c r="F382" s="18"/>
      <c r="G382" s="18"/>
      <c r="H382" s="19" t="s">
        <v>786</v>
      </c>
      <c r="I382" s="18" t="s">
        <v>161</v>
      </c>
      <c r="J382" s="20">
        <v>1</v>
      </c>
      <c r="K382" s="20">
        <v>1.1499999999999999</v>
      </c>
      <c r="L382" s="21" t="s">
        <v>28</v>
      </c>
      <c r="M382" s="22">
        <v>17.712</v>
      </c>
      <c r="N382" s="22">
        <v>3.3600000000000003</v>
      </c>
      <c r="O382" s="22">
        <v>1017.1985435894751</v>
      </c>
      <c r="P382" s="22">
        <f t="shared" si="53"/>
        <v>20719.113694665299</v>
      </c>
      <c r="Q382" s="22">
        <v>2777.0693256854333</v>
      </c>
      <c r="R382" s="22">
        <f t="shared" si="54"/>
        <v>10730.595874448514</v>
      </c>
      <c r="S382" s="22">
        <f t="shared" si="55"/>
        <v>31449.709569113813</v>
      </c>
      <c r="T382" s="23">
        <v>0.55859868298040061</v>
      </c>
      <c r="U382" s="24">
        <v>0.1</v>
      </c>
      <c r="V382" s="25">
        <f t="shared" si="63"/>
        <v>53919.22350599058</v>
      </c>
      <c r="W382" s="26" t="s">
        <v>29</v>
      </c>
    </row>
    <row r="383" spans="1:23" ht="89.25" x14ac:dyDescent="0.25">
      <c r="A383" s="17">
        <f t="shared" ca="1" si="56"/>
        <v>379</v>
      </c>
      <c r="B383" s="18" t="s">
        <v>139</v>
      </c>
      <c r="C383" s="18" t="s">
        <v>787</v>
      </c>
      <c r="D383" s="18"/>
      <c r="E383" s="18"/>
      <c r="F383" s="18"/>
      <c r="G383" s="18"/>
      <c r="H383" s="19" t="s">
        <v>788</v>
      </c>
      <c r="I383" s="18" t="s">
        <v>161</v>
      </c>
      <c r="J383" s="20">
        <v>1</v>
      </c>
      <c r="K383" s="20">
        <v>1.1499999999999999</v>
      </c>
      <c r="L383" s="21" t="s">
        <v>28</v>
      </c>
      <c r="M383" s="22">
        <v>25.425000000000001</v>
      </c>
      <c r="N383" s="22">
        <v>4.12</v>
      </c>
      <c r="O383" s="22">
        <v>1017.1985435894751</v>
      </c>
      <c r="P383" s="22">
        <f t="shared" ref="P383:P446" si="64">O383*M383*K383</f>
        <v>29741.613916376766</v>
      </c>
      <c r="Q383" s="22">
        <v>2777.0693256854333</v>
      </c>
      <c r="R383" s="22">
        <f t="shared" ref="R383:R446" si="65">N383*Q383*K383</f>
        <v>13157.754465097583</v>
      </c>
      <c r="S383" s="22">
        <f t="shared" ref="S383:S446" si="66">P383+R383</f>
        <v>42899.368381474349</v>
      </c>
      <c r="T383" s="23">
        <v>0.55859868298040061</v>
      </c>
      <c r="U383" s="24">
        <v>0.1</v>
      </c>
      <c r="V383" s="25">
        <f t="shared" si="63"/>
        <v>73549.188966062648</v>
      </c>
      <c r="W383" s="26" t="s">
        <v>29</v>
      </c>
    </row>
    <row r="384" spans="1:23" ht="89.25" x14ac:dyDescent="0.25">
      <c r="A384" s="17">
        <f t="shared" ca="1" si="56"/>
        <v>380</v>
      </c>
      <c r="B384" s="18" t="s">
        <v>139</v>
      </c>
      <c r="C384" s="18" t="s">
        <v>789</v>
      </c>
      <c r="D384" s="18"/>
      <c r="E384" s="18"/>
      <c r="F384" s="18"/>
      <c r="G384" s="18"/>
      <c r="H384" s="19" t="s">
        <v>790</v>
      </c>
      <c r="I384" s="18" t="s">
        <v>161</v>
      </c>
      <c r="J384" s="20">
        <v>1</v>
      </c>
      <c r="K384" s="20">
        <v>1.1499999999999999</v>
      </c>
      <c r="L384" s="21" t="s">
        <v>28</v>
      </c>
      <c r="M384" s="22">
        <v>32.697000000000003</v>
      </c>
      <c r="N384" s="22">
        <v>5.1440000000000001</v>
      </c>
      <c r="O384" s="22">
        <v>1017.1985435894751</v>
      </c>
      <c r="P384" s="22">
        <f t="shared" si="64"/>
        <v>38248.24189670683</v>
      </c>
      <c r="Q384" s="22">
        <v>2777.0693256854333</v>
      </c>
      <c r="R384" s="22">
        <f t="shared" si="65"/>
        <v>16428.031303024749</v>
      </c>
      <c r="S384" s="22">
        <f t="shared" si="66"/>
        <v>54676.273199731579</v>
      </c>
      <c r="T384" s="23">
        <v>0.55859868298040061</v>
      </c>
      <c r="U384" s="24">
        <v>0.1</v>
      </c>
      <c r="V384" s="25">
        <f t="shared" si="63"/>
        <v>93740.204139316033</v>
      </c>
      <c r="W384" s="26" t="s">
        <v>29</v>
      </c>
    </row>
    <row r="385" spans="1:23" ht="89.25" x14ac:dyDescent="0.25">
      <c r="A385" s="17">
        <f t="shared" ca="1" si="56"/>
        <v>381</v>
      </c>
      <c r="B385" s="18" t="s">
        <v>139</v>
      </c>
      <c r="C385" s="18" t="s">
        <v>791</v>
      </c>
      <c r="D385" s="18"/>
      <c r="E385" s="18"/>
      <c r="F385" s="18"/>
      <c r="G385" s="18"/>
      <c r="H385" s="19" t="s">
        <v>792</v>
      </c>
      <c r="I385" s="18" t="s">
        <v>161</v>
      </c>
      <c r="J385" s="20">
        <v>1</v>
      </c>
      <c r="K385" s="20">
        <v>1.1499999999999999</v>
      </c>
      <c r="L385" s="21" t="s">
        <v>28</v>
      </c>
      <c r="M385" s="22">
        <v>10.6173</v>
      </c>
      <c r="N385" s="22">
        <v>1.6623999999999999</v>
      </c>
      <c r="O385" s="22">
        <v>1017.1985435894751</v>
      </c>
      <c r="P385" s="22">
        <f t="shared" si="64"/>
        <v>12419.887411380414</v>
      </c>
      <c r="Q385" s="22">
        <v>2777.0693256854333</v>
      </c>
      <c r="R385" s="22">
        <f t="shared" si="65"/>
        <v>5309.0900540723833</v>
      </c>
      <c r="S385" s="22">
        <f t="shared" si="66"/>
        <v>17728.977465452797</v>
      </c>
      <c r="T385" s="23">
        <v>0.55859868298040061</v>
      </c>
      <c r="U385" s="24">
        <v>0.1</v>
      </c>
      <c r="V385" s="25">
        <f t="shared" si="63"/>
        <v>30395.597021068323</v>
      </c>
      <c r="W385" s="26" t="s">
        <v>29</v>
      </c>
    </row>
    <row r="386" spans="1:23" ht="89.25" x14ac:dyDescent="0.25">
      <c r="A386" s="17">
        <f t="shared" ca="1" si="56"/>
        <v>382</v>
      </c>
      <c r="B386" s="18" t="s">
        <v>139</v>
      </c>
      <c r="C386" s="18" t="s">
        <v>793</v>
      </c>
      <c r="D386" s="18"/>
      <c r="E386" s="18"/>
      <c r="F386" s="18"/>
      <c r="G386" s="18"/>
      <c r="H386" s="19" t="s">
        <v>794</v>
      </c>
      <c r="I386" s="18" t="s">
        <v>161</v>
      </c>
      <c r="J386" s="20">
        <v>1</v>
      </c>
      <c r="K386" s="20">
        <v>1.1499999999999999</v>
      </c>
      <c r="L386" s="21" t="s">
        <v>28</v>
      </c>
      <c r="M386" s="22">
        <v>12.5946</v>
      </c>
      <c r="N386" s="22">
        <v>1.9392</v>
      </c>
      <c r="O386" s="22">
        <v>1017.1985435894751</v>
      </c>
      <c r="P386" s="22">
        <f t="shared" si="64"/>
        <v>14732.890093655802</v>
      </c>
      <c r="Q386" s="22">
        <v>2777.0693256854333</v>
      </c>
      <c r="R386" s="22">
        <f t="shared" si="65"/>
        <v>6193.0867618245711</v>
      </c>
      <c r="S386" s="22">
        <f t="shared" si="66"/>
        <v>20925.976855480374</v>
      </c>
      <c r="T386" s="23">
        <v>0.55859868298040061</v>
      </c>
      <c r="U386" s="24">
        <v>0.1</v>
      </c>
      <c r="V386" s="25">
        <f t="shared" si="63"/>
        <v>35876.719963733063</v>
      </c>
      <c r="W386" s="26" t="s">
        <v>29</v>
      </c>
    </row>
    <row r="387" spans="1:23" x14ac:dyDescent="0.25">
      <c r="A387" s="12">
        <f t="shared" ref="A387:A450" ca="1" si="67">CELL("строка",A387)-4</f>
        <v>383</v>
      </c>
      <c r="B387" s="13" t="s">
        <v>139</v>
      </c>
      <c r="C387" s="13" t="s">
        <v>795</v>
      </c>
      <c r="D387" s="13"/>
      <c r="E387" s="13"/>
      <c r="F387" s="13"/>
      <c r="G387" s="13"/>
      <c r="H387" s="15" t="s">
        <v>796</v>
      </c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27"/>
      <c r="U387" s="16"/>
      <c r="V387" s="13"/>
      <c r="W387" s="13"/>
    </row>
    <row r="388" spans="1:23" ht="89.25" x14ac:dyDescent="0.25">
      <c r="A388" s="17">
        <f t="shared" ca="1" si="67"/>
        <v>384</v>
      </c>
      <c r="B388" s="18" t="s">
        <v>139</v>
      </c>
      <c r="C388" s="18" t="s">
        <v>797</v>
      </c>
      <c r="D388" s="18"/>
      <c r="E388" s="18"/>
      <c r="F388" s="18"/>
      <c r="G388" s="18"/>
      <c r="H388" s="19" t="s">
        <v>798</v>
      </c>
      <c r="I388" s="18" t="s">
        <v>161</v>
      </c>
      <c r="J388" s="20">
        <v>1</v>
      </c>
      <c r="K388" s="20">
        <v>1.1499999999999999</v>
      </c>
      <c r="L388" s="21" t="s">
        <v>28</v>
      </c>
      <c r="M388" s="22">
        <v>0.7299000000000001</v>
      </c>
      <c r="N388" s="22">
        <v>6.4000000000000001E-2</v>
      </c>
      <c r="O388" s="22">
        <v>1017.1985435894751</v>
      </c>
      <c r="P388" s="22">
        <f t="shared" si="64"/>
        <v>853.82119951085156</v>
      </c>
      <c r="Q388" s="22">
        <v>2777.0693256854333</v>
      </c>
      <c r="R388" s="22">
        <f t="shared" si="65"/>
        <v>204.39230237044788</v>
      </c>
      <c r="S388" s="22">
        <f t="shared" si="66"/>
        <v>1058.2135018812994</v>
      </c>
      <c r="T388" s="23">
        <v>0.55859868298040061</v>
      </c>
      <c r="U388" s="24">
        <v>0.1</v>
      </c>
      <c r="V388" s="25">
        <f t="shared" ref="V388:V394" si="68">S388+S388*T388+(S388+S388*T388)*U388</f>
        <v>1814.2631873786981</v>
      </c>
      <c r="W388" s="26" t="s">
        <v>29</v>
      </c>
    </row>
    <row r="389" spans="1:23" ht="89.25" x14ac:dyDescent="0.25">
      <c r="A389" s="17">
        <f t="shared" ca="1" si="67"/>
        <v>385</v>
      </c>
      <c r="B389" s="18" t="s">
        <v>139</v>
      </c>
      <c r="C389" s="18" t="s">
        <v>799</v>
      </c>
      <c r="D389" s="18"/>
      <c r="E389" s="18"/>
      <c r="F389" s="18"/>
      <c r="G389" s="18"/>
      <c r="H389" s="19" t="s">
        <v>800</v>
      </c>
      <c r="I389" s="18" t="s">
        <v>161</v>
      </c>
      <c r="J389" s="20">
        <v>1</v>
      </c>
      <c r="K389" s="20">
        <v>1.1499999999999999</v>
      </c>
      <c r="L389" s="21" t="s">
        <v>28</v>
      </c>
      <c r="M389" s="22">
        <v>1.5543</v>
      </c>
      <c r="N389" s="22">
        <v>0.27999999999999997</v>
      </c>
      <c r="O389" s="22">
        <v>1017.1985435894751</v>
      </c>
      <c r="P389" s="22">
        <f t="shared" si="64"/>
        <v>1818.1864507462892</v>
      </c>
      <c r="Q389" s="22">
        <v>2777.0693256854333</v>
      </c>
      <c r="R389" s="22">
        <f t="shared" si="65"/>
        <v>894.2163228707094</v>
      </c>
      <c r="S389" s="22">
        <f t="shared" si="66"/>
        <v>2712.4027736169987</v>
      </c>
      <c r="T389" s="23">
        <v>0.55859868298040061</v>
      </c>
      <c r="U389" s="24">
        <v>0.1</v>
      </c>
      <c r="V389" s="25">
        <f t="shared" si="68"/>
        <v>4650.3021297390242</v>
      </c>
      <c r="W389" s="26" t="s">
        <v>29</v>
      </c>
    </row>
    <row r="390" spans="1:23" ht="89.25" x14ac:dyDescent="0.25">
      <c r="A390" s="17">
        <f t="shared" ca="1" si="67"/>
        <v>386</v>
      </c>
      <c r="B390" s="18" t="s">
        <v>139</v>
      </c>
      <c r="C390" s="18" t="s">
        <v>801</v>
      </c>
      <c r="D390" s="18"/>
      <c r="E390" s="18"/>
      <c r="F390" s="18"/>
      <c r="G390" s="18"/>
      <c r="H390" s="19" t="s">
        <v>802</v>
      </c>
      <c r="I390" s="18" t="s">
        <v>161</v>
      </c>
      <c r="J390" s="20">
        <v>1</v>
      </c>
      <c r="K390" s="20">
        <v>1.1499999999999999</v>
      </c>
      <c r="L390" s="21" t="s">
        <v>28</v>
      </c>
      <c r="M390" s="22">
        <v>15.939000000000002</v>
      </c>
      <c r="N390" s="22">
        <v>3.04</v>
      </c>
      <c r="O390" s="22">
        <v>1017.1985435894751</v>
      </c>
      <c r="P390" s="22">
        <f t="shared" si="64"/>
        <v>18645.096724213541</v>
      </c>
      <c r="Q390" s="22">
        <v>2777.0693256854333</v>
      </c>
      <c r="R390" s="22">
        <f t="shared" si="65"/>
        <v>9708.6343625962745</v>
      </c>
      <c r="S390" s="22">
        <f t="shared" si="66"/>
        <v>28353.731086809814</v>
      </c>
      <c r="T390" s="23">
        <v>0.55859868298040061</v>
      </c>
      <c r="U390" s="24">
        <v>0.1</v>
      </c>
      <c r="V390" s="25">
        <f t="shared" si="68"/>
        <v>48611.296722430445</v>
      </c>
      <c r="W390" s="26" t="s">
        <v>29</v>
      </c>
    </row>
    <row r="391" spans="1:23" ht="89.25" x14ac:dyDescent="0.25">
      <c r="A391" s="17">
        <f t="shared" ca="1" si="67"/>
        <v>387</v>
      </c>
      <c r="B391" s="18" t="s">
        <v>139</v>
      </c>
      <c r="C391" s="18" t="s">
        <v>803</v>
      </c>
      <c r="D391" s="18"/>
      <c r="E391" s="18"/>
      <c r="F391" s="18"/>
      <c r="G391" s="18"/>
      <c r="H391" s="19" t="s">
        <v>804</v>
      </c>
      <c r="I391" s="18" t="s">
        <v>161</v>
      </c>
      <c r="J391" s="20">
        <v>1</v>
      </c>
      <c r="K391" s="20">
        <v>1.1499999999999999</v>
      </c>
      <c r="L391" s="21" t="s">
        <v>28</v>
      </c>
      <c r="M391" s="22">
        <v>19.233000000000001</v>
      </c>
      <c r="N391" s="22">
        <v>3.7360000000000002</v>
      </c>
      <c r="O391" s="22">
        <v>1017.1985435894751</v>
      </c>
      <c r="P391" s="22">
        <f t="shared" si="64"/>
        <v>22498.346527184829</v>
      </c>
      <c r="Q391" s="22">
        <v>2777.0693256854333</v>
      </c>
      <c r="R391" s="22">
        <f t="shared" si="65"/>
        <v>11931.400650874895</v>
      </c>
      <c r="S391" s="22">
        <f t="shared" si="66"/>
        <v>34429.747178059726</v>
      </c>
      <c r="T391" s="23">
        <v>0.55859868298040061</v>
      </c>
      <c r="U391" s="24">
        <v>0.1</v>
      </c>
      <c r="V391" s="25">
        <f t="shared" si="68"/>
        <v>59028.374467779257</v>
      </c>
      <c r="W391" s="26" t="s">
        <v>29</v>
      </c>
    </row>
    <row r="392" spans="1:23" ht="89.25" x14ac:dyDescent="0.25">
      <c r="A392" s="17">
        <f t="shared" ca="1" si="67"/>
        <v>388</v>
      </c>
      <c r="B392" s="18" t="s">
        <v>139</v>
      </c>
      <c r="C392" s="18" t="s">
        <v>805</v>
      </c>
      <c r="D392" s="18"/>
      <c r="E392" s="18"/>
      <c r="F392" s="18"/>
      <c r="G392" s="18"/>
      <c r="H392" s="19" t="s">
        <v>806</v>
      </c>
      <c r="I392" s="18" t="s">
        <v>161</v>
      </c>
      <c r="J392" s="20">
        <v>1</v>
      </c>
      <c r="K392" s="20">
        <v>1.1499999999999999</v>
      </c>
      <c r="L392" s="21" t="s">
        <v>28</v>
      </c>
      <c r="M392" s="22">
        <v>23.931000000000001</v>
      </c>
      <c r="N392" s="22">
        <v>4.5040000000000004</v>
      </c>
      <c r="O392" s="22">
        <v>1017.1985435894751</v>
      </c>
      <c r="P392" s="22">
        <f t="shared" si="64"/>
        <v>27993.965098635686</v>
      </c>
      <c r="Q392" s="22">
        <v>2777.0693256854333</v>
      </c>
      <c r="R392" s="22">
        <f t="shared" si="65"/>
        <v>14384.10827932027</v>
      </c>
      <c r="S392" s="22">
        <f t="shared" si="66"/>
        <v>42378.073377955952</v>
      </c>
      <c r="T392" s="23">
        <v>0.55859868298040061</v>
      </c>
      <c r="U392" s="24">
        <v>0.1</v>
      </c>
      <c r="V392" s="25">
        <f t="shared" si="68"/>
        <v>72655.450289541826</v>
      </c>
      <c r="W392" s="26" t="s">
        <v>29</v>
      </c>
    </row>
    <row r="393" spans="1:23" ht="89.25" x14ac:dyDescent="0.25">
      <c r="A393" s="17">
        <f t="shared" ca="1" si="67"/>
        <v>389</v>
      </c>
      <c r="B393" s="18" t="s">
        <v>139</v>
      </c>
      <c r="C393" s="18" t="s">
        <v>807</v>
      </c>
      <c r="D393" s="18"/>
      <c r="E393" s="18"/>
      <c r="F393" s="18"/>
      <c r="G393" s="18"/>
      <c r="H393" s="19" t="s">
        <v>808</v>
      </c>
      <c r="I393" s="18" t="s">
        <v>161</v>
      </c>
      <c r="J393" s="20">
        <v>1</v>
      </c>
      <c r="K393" s="20">
        <v>1.1499999999999999</v>
      </c>
      <c r="L393" s="21" t="s">
        <v>28</v>
      </c>
      <c r="M393" s="22">
        <v>5.2254000000000005</v>
      </c>
      <c r="N393" s="22">
        <v>0.70720000000000005</v>
      </c>
      <c r="O393" s="22">
        <v>1017.1985435894751</v>
      </c>
      <c r="P393" s="22">
        <f t="shared" si="64"/>
        <v>6112.5596601233092</v>
      </c>
      <c r="Q393" s="22">
        <v>2777.0693256854333</v>
      </c>
      <c r="R393" s="22">
        <f t="shared" si="65"/>
        <v>2258.534941193449</v>
      </c>
      <c r="S393" s="22">
        <f t="shared" si="66"/>
        <v>8371.0946013167577</v>
      </c>
      <c r="T393" s="23">
        <v>0.55859868298040061</v>
      </c>
      <c r="U393" s="24">
        <v>0.1</v>
      </c>
      <c r="V393" s="25">
        <f t="shared" si="68"/>
        <v>14351.894722788305</v>
      </c>
      <c r="W393" s="26" t="s">
        <v>29</v>
      </c>
    </row>
    <row r="394" spans="1:23" ht="89.25" x14ac:dyDescent="0.25">
      <c r="A394" s="17">
        <f t="shared" ca="1" si="67"/>
        <v>390</v>
      </c>
      <c r="B394" s="18" t="s">
        <v>139</v>
      </c>
      <c r="C394" s="18" t="s">
        <v>809</v>
      </c>
      <c r="D394" s="18"/>
      <c r="E394" s="18"/>
      <c r="F394" s="18"/>
      <c r="G394" s="18"/>
      <c r="H394" s="19" t="s">
        <v>810</v>
      </c>
      <c r="I394" s="18" t="s">
        <v>161</v>
      </c>
      <c r="J394" s="20">
        <v>1</v>
      </c>
      <c r="K394" s="20">
        <v>1.1499999999999999</v>
      </c>
      <c r="L394" s="21" t="s">
        <v>28</v>
      </c>
      <c r="M394" s="22">
        <v>2.9628000000000001</v>
      </c>
      <c r="N394" s="22">
        <v>0.6784</v>
      </c>
      <c r="O394" s="22">
        <v>1017.1985435894751</v>
      </c>
      <c r="P394" s="22">
        <f t="shared" si="64"/>
        <v>3465.8192216889315</v>
      </c>
      <c r="Q394" s="22">
        <v>2777.0693256854333</v>
      </c>
      <c r="R394" s="22">
        <f t="shared" si="65"/>
        <v>2166.5584051267474</v>
      </c>
      <c r="S394" s="22">
        <f t="shared" si="66"/>
        <v>5632.3776268156789</v>
      </c>
      <c r="T394" s="23">
        <v>0.55859868298040061</v>
      </c>
      <c r="U394" s="24">
        <v>0.1</v>
      </c>
      <c r="V394" s="25">
        <f t="shared" si="68"/>
        <v>9656.4779863235126</v>
      </c>
      <c r="W394" s="26" t="s">
        <v>29</v>
      </c>
    </row>
    <row r="395" spans="1:23" x14ac:dyDescent="0.25">
      <c r="A395" s="28">
        <f t="shared" ca="1" si="67"/>
        <v>391</v>
      </c>
      <c r="B395" s="9" t="s">
        <v>139</v>
      </c>
      <c r="C395" s="9" t="s">
        <v>811</v>
      </c>
      <c r="D395" s="9"/>
      <c r="E395" s="9"/>
      <c r="F395" s="9"/>
      <c r="G395" s="9"/>
      <c r="H395" s="10" t="s">
        <v>812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29"/>
      <c r="U395" s="11"/>
      <c r="V395" s="9"/>
      <c r="W395" s="9"/>
    </row>
    <row r="396" spans="1:23" x14ac:dyDescent="0.25">
      <c r="A396" s="12">
        <f t="shared" ca="1" si="67"/>
        <v>392</v>
      </c>
      <c r="B396" s="13" t="s">
        <v>139</v>
      </c>
      <c r="C396" s="13" t="s">
        <v>813</v>
      </c>
      <c r="D396" s="13"/>
      <c r="E396" s="13"/>
      <c r="F396" s="13"/>
      <c r="G396" s="13"/>
      <c r="H396" s="15" t="s">
        <v>814</v>
      </c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27"/>
      <c r="U396" s="16"/>
      <c r="V396" s="13"/>
      <c r="W396" s="13"/>
    </row>
    <row r="397" spans="1:23" ht="89.25" x14ac:dyDescent="0.25">
      <c r="A397" s="17">
        <f t="shared" ca="1" si="67"/>
        <v>393</v>
      </c>
      <c r="B397" s="18" t="s">
        <v>139</v>
      </c>
      <c r="C397" s="18" t="s">
        <v>815</v>
      </c>
      <c r="D397" s="18"/>
      <c r="E397" s="18"/>
      <c r="F397" s="18"/>
      <c r="G397" s="18"/>
      <c r="H397" s="19" t="s">
        <v>816</v>
      </c>
      <c r="I397" s="18" t="s">
        <v>161</v>
      </c>
      <c r="J397" s="20">
        <v>1</v>
      </c>
      <c r="K397" s="20">
        <v>1.1499999999999999</v>
      </c>
      <c r="L397" s="21" t="s">
        <v>28</v>
      </c>
      <c r="M397" s="22">
        <v>0.33739999999999998</v>
      </c>
      <c r="N397" s="22">
        <v>1.26E-2</v>
      </c>
      <c r="O397" s="22">
        <v>1017.1985435894751</v>
      </c>
      <c r="P397" s="22">
        <f t="shared" si="64"/>
        <v>394.68320689815215</v>
      </c>
      <c r="Q397" s="22">
        <v>2777.0693256854333</v>
      </c>
      <c r="R397" s="22">
        <f t="shared" si="65"/>
        <v>40.239734529181924</v>
      </c>
      <c r="S397" s="22">
        <f t="shared" si="66"/>
        <v>434.92294142733408</v>
      </c>
      <c r="T397" s="23">
        <v>0.55859868298040061</v>
      </c>
      <c r="U397" s="24">
        <v>0.1</v>
      </c>
      <c r="V397" s="25">
        <f t="shared" ref="V397:V402" si="69">S397+S397*T397+(S397+S397*T397)*U397</f>
        <v>745.65735607726538</v>
      </c>
      <c r="W397" s="26" t="s">
        <v>29</v>
      </c>
    </row>
    <row r="398" spans="1:23" ht="89.25" x14ac:dyDescent="0.25">
      <c r="A398" s="17">
        <f t="shared" ca="1" si="67"/>
        <v>394</v>
      </c>
      <c r="B398" s="18" t="s">
        <v>139</v>
      </c>
      <c r="C398" s="18" t="s">
        <v>817</v>
      </c>
      <c r="D398" s="18"/>
      <c r="E398" s="18"/>
      <c r="F398" s="18"/>
      <c r="G398" s="18"/>
      <c r="H398" s="19" t="s">
        <v>818</v>
      </c>
      <c r="I398" s="18" t="s">
        <v>161</v>
      </c>
      <c r="J398" s="20">
        <v>1</v>
      </c>
      <c r="K398" s="20">
        <v>1.1499999999999999</v>
      </c>
      <c r="L398" s="21" t="s">
        <v>28</v>
      </c>
      <c r="M398" s="22">
        <v>0.35069999999999996</v>
      </c>
      <c r="N398" s="22">
        <v>1.26E-2</v>
      </c>
      <c r="O398" s="22">
        <v>1017.1985435894751</v>
      </c>
      <c r="P398" s="22">
        <f t="shared" si="64"/>
        <v>410.24125862235314</v>
      </c>
      <c r="Q398" s="22">
        <v>2777.0693256854333</v>
      </c>
      <c r="R398" s="22">
        <f t="shared" si="65"/>
        <v>40.239734529181924</v>
      </c>
      <c r="S398" s="22">
        <f t="shared" si="66"/>
        <v>450.48099315153507</v>
      </c>
      <c r="T398" s="23">
        <v>0.55859868298040061</v>
      </c>
      <c r="U398" s="24">
        <v>0.1</v>
      </c>
      <c r="V398" s="25">
        <f t="shared" si="69"/>
        <v>772.33099089705388</v>
      </c>
      <c r="W398" s="26" t="s">
        <v>29</v>
      </c>
    </row>
    <row r="399" spans="1:23" ht="89.25" x14ac:dyDescent="0.25">
      <c r="A399" s="17">
        <f t="shared" ca="1" si="67"/>
        <v>395</v>
      </c>
      <c r="B399" s="18" t="s">
        <v>139</v>
      </c>
      <c r="C399" s="18" t="s">
        <v>819</v>
      </c>
      <c r="D399" s="18"/>
      <c r="E399" s="18"/>
      <c r="F399" s="18"/>
      <c r="G399" s="18"/>
      <c r="H399" s="19" t="s">
        <v>820</v>
      </c>
      <c r="I399" s="18" t="s">
        <v>161</v>
      </c>
      <c r="J399" s="20">
        <v>1</v>
      </c>
      <c r="K399" s="20">
        <v>1.1499999999999999</v>
      </c>
      <c r="L399" s="21" t="s">
        <v>28</v>
      </c>
      <c r="M399" s="22">
        <v>0.34509999999999996</v>
      </c>
      <c r="N399" s="22">
        <v>1.26E-2</v>
      </c>
      <c r="O399" s="22">
        <v>1017.1985435894751</v>
      </c>
      <c r="P399" s="22">
        <f t="shared" si="64"/>
        <v>403.69050000163696</v>
      </c>
      <c r="Q399" s="22">
        <v>2777.0693256854333</v>
      </c>
      <c r="R399" s="22">
        <f t="shared" si="65"/>
        <v>40.239734529181924</v>
      </c>
      <c r="S399" s="22">
        <f t="shared" si="66"/>
        <v>443.93023453081889</v>
      </c>
      <c r="T399" s="23">
        <v>0.55859868298040061</v>
      </c>
      <c r="U399" s="24">
        <v>0.1</v>
      </c>
      <c r="V399" s="25">
        <f t="shared" si="69"/>
        <v>761.09998676240616</v>
      </c>
      <c r="W399" s="26" t="s">
        <v>29</v>
      </c>
    </row>
    <row r="400" spans="1:23" ht="89.25" x14ac:dyDescent="0.25">
      <c r="A400" s="17">
        <f t="shared" ca="1" si="67"/>
        <v>396</v>
      </c>
      <c r="B400" s="18" t="s">
        <v>139</v>
      </c>
      <c r="C400" s="18" t="s">
        <v>821</v>
      </c>
      <c r="D400" s="18"/>
      <c r="E400" s="18"/>
      <c r="F400" s="18"/>
      <c r="G400" s="18"/>
      <c r="H400" s="19" t="s">
        <v>822</v>
      </c>
      <c r="I400" s="18" t="s">
        <v>161</v>
      </c>
      <c r="J400" s="20">
        <v>1</v>
      </c>
      <c r="K400" s="20">
        <v>1.1499999999999999</v>
      </c>
      <c r="L400" s="21" t="s">
        <v>28</v>
      </c>
      <c r="M400" s="22">
        <v>0.35069999999999996</v>
      </c>
      <c r="N400" s="22">
        <v>1.26E-2</v>
      </c>
      <c r="O400" s="22">
        <v>1017.1985435894751</v>
      </c>
      <c r="P400" s="22">
        <f t="shared" si="64"/>
        <v>410.24125862235314</v>
      </c>
      <c r="Q400" s="22">
        <v>2777.0693256854333</v>
      </c>
      <c r="R400" s="22">
        <f t="shared" si="65"/>
        <v>40.239734529181924</v>
      </c>
      <c r="S400" s="22">
        <f t="shared" si="66"/>
        <v>450.48099315153507</v>
      </c>
      <c r="T400" s="23">
        <v>0.55859868298040061</v>
      </c>
      <c r="U400" s="24">
        <v>0.1</v>
      </c>
      <c r="V400" s="25">
        <f t="shared" si="69"/>
        <v>772.33099089705388</v>
      </c>
      <c r="W400" s="26" t="s">
        <v>29</v>
      </c>
    </row>
    <row r="401" spans="1:23" ht="89.25" x14ac:dyDescent="0.25">
      <c r="A401" s="17">
        <f t="shared" ca="1" si="67"/>
        <v>397</v>
      </c>
      <c r="B401" s="18" t="s">
        <v>139</v>
      </c>
      <c r="C401" s="18" t="s">
        <v>823</v>
      </c>
      <c r="D401" s="18"/>
      <c r="E401" s="18"/>
      <c r="F401" s="18"/>
      <c r="G401" s="18"/>
      <c r="H401" s="19" t="s">
        <v>824</v>
      </c>
      <c r="I401" s="18" t="s">
        <v>161</v>
      </c>
      <c r="J401" s="20">
        <v>1</v>
      </c>
      <c r="K401" s="20">
        <v>1.1499999999999999</v>
      </c>
      <c r="L401" s="21" t="s">
        <v>28</v>
      </c>
      <c r="M401" s="22">
        <v>0.25900000000000001</v>
      </c>
      <c r="N401" s="22">
        <v>1.2E-2</v>
      </c>
      <c r="O401" s="22">
        <v>1017.1985435894751</v>
      </c>
      <c r="P401" s="22">
        <f t="shared" si="64"/>
        <v>302.97258620812516</v>
      </c>
      <c r="Q401" s="22">
        <v>2777.0693256854333</v>
      </c>
      <c r="R401" s="22">
        <f t="shared" si="65"/>
        <v>38.323556694458979</v>
      </c>
      <c r="S401" s="22">
        <f t="shared" si="66"/>
        <v>341.29614290258417</v>
      </c>
      <c r="T401" s="23">
        <v>0.55859868298040061</v>
      </c>
      <c r="U401" s="24">
        <v>0.1</v>
      </c>
      <c r="V401" s="25">
        <f t="shared" si="69"/>
        <v>585.13809071768412</v>
      </c>
      <c r="W401" s="26" t="s">
        <v>29</v>
      </c>
    </row>
    <row r="402" spans="1:23" ht="89.25" x14ac:dyDescent="0.25">
      <c r="A402" s="17">
        <f t="shared" ca="1" si="67"/>
        <v>398</v>
      </c>
      <c r="B402" s="18" t="s">
        <v>139</v>
      </c>
      <c r="C402" s="18" t="s">
        <v>825</v>
      </c>
      <c r="D402" s="18"/>
      <c r="E402" s="18"/>
      <c r="F402" s="18"/>
      <c r="G402" s="18"/>
      <c r="H402" s="19" t="s">
        <v>826</v>
      </c>
      <c r="I402" s="18" t="s">
        <v>161</v>
      </c>
      <c r="J402" s="20">
        <v>1</v>
      </c>
      <c r="K402" s="20">
        <v>1.1499999999999999</v>
      </c>
      <c r="L402" s="21" t="s">
        <v>28</v>
      </c>
      <c r="M402" s="22">
        <v>0.83300000000000007</v>
      </c>
      <c r="N402" s="22">
        <v>1.2E-2</v>
      </c>
      <c r="O402" s="22">
        <v>1017.1985435894751</v>
      </c>
      <c r="P402" s="22">
        <f t="shared" si="64"/>
        <v>974.42534483153759</v>
      </c>
      <c r="Q402" s="22">
        <v>2777.0693256854333</v>
      </c>
      <c r="R402" s="22">
        <f t="shared" si="65"/>
        <v>38.323556694458979</v>
      </c>
      <c r="S402" s="22">
        <f t="shared" si="66"/>
        <v>1012.7489015259965</v>
      </c>
      <c r="T402" s="23">
        <v>0.55859868298040061</v>
      </c>
      <c r="U402" s="24">
        <v>0.1</v>
      </c>
      <c r="V402" s="25">
        <f t="shared" si="69"/>
        <v>1736.3160145190923</v>
      </c>
      <c r="W402" s="26" t="s">
        <v>29</v>
      </c>
    </row>
    <row r="403" spans="1:23" x14ac:dyDescent="0.25">
      <c r="A403" s="12">
        <f t="shared" ca="1" si="67"/>
        <v>399</v>
      </c>
      <c r="B403" s="13" t="s">
        <v>139</v>
      </c>
      <c r="C403" s="13" t="s">
        <v>827</v>
      </c>
      <c r="D403" s="13"/>
      <c r="E403" s="13"/>
      <c r="F403" s="13"/>
      <c r="G403" s="13"/>
      <c r="H403" s="15" t="s">
        <v>828</v>
      </c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27"/>
      <c r="U403" s="16"/>
      <c r="V403" s="13"/>
      <c r="W403" s="13"/>
    </row>
    <row r="404" spans="1:23" ht="89.25" x14ac:dyDescent="0.25">
      <c r="A404" s="17">
        <f t="shared" ca="1" si="67"/>
        <v>400</v>
      </c>
      <c r="B404" s="18" t="s">
        <v>139</v>
      </c>
      <c r="C404" s="18" t="s">
        <v>829</v>
      </c>
      <c r="D404" s="18"/>
      <c r="E404" s="18"/>
      <c r="F404" s="18"/>
      <c r="G404" s="18"/>
      <c r="H404" s="19" t="s">
        <v>830</v>
      </c>
      <c r="I404" s="18" t="s">
        <v>161</v>
      </c>
      <c r="J404" s="20">
        <v>1</v>
      </c>
      <c r="K404" s="20">
        <v>1.1499999999999999</v>
      </c>
      <c r="L404" s="21" t="s">
        <v>28</v>
      </c>
      <c r="M404" s="22">
        <v>0.26739999999999997</v>
      </c>
      <c r="N404" s="22">
        <v>1.44E-2</v>
      </c>
      <c r="O404" s="22">
        <v>1017.1985435894751</v>
      </c>
      <c r="P404" s="22">
        <f t="shared" si="64"/>
        <v>312.79872413919941</v>
      </c>
      <c r="Q404" s="22">
        <v>2777.0693256854333</v>
      </c>
      <c r="R404" s="22">
        <f t="shared" si="65"/>
        <v>45.988268033350771</v>
      </c>
      <c r="S404" s="22">
        <f t="shared" si="66"/>
        <v>358.78699217255019</v>
      </c>
      <c r="T404" s="23">
        <v>0.55859868298040061</v>
      </c>
      <c r="U404" s="24">
        <v>0.1</v>
      </c>
      <c r="V404" s="25">
        <f t="shared" ref="V404:V405" si="70">S404+S404*T404+(S404+S404*T404)*U404</f>
        <v>615.12542681769958</v>
      </c>
      <c r="W404" s="26" t="s">
        <v>29</v>
      </c>
    </row>
    <row r="405" spans="1:23" ht="89.25" x14ac:dyDescent="0.25">
      <c r="A405" s="17">
        <f t="shared" ca="1" si="67"/>
        <v>401</v>
      </c>
      <c r="B405" s="18" t="s">
        <v>139</v>
      </c>
      <c r="C405" s="18" t="s">
        <v>831</v>
      </c>
      <c r="D405" s="18"/>
      <c r="E405" s="18"/>
      <c r="F405" s="18"/>
      <c r="G405" s="18"/>
      <c r="H405" s="19" t="s">
        <v>832</v>
      </c>
      <c r="I405" s="18" t="s">
        <v>161</v>
      </c>
      <c r="J405" s="20">
        <v>1</v>
      </c>
      <c r="K405" s="20">
        <v>1.1499999999999999</v>
      </c>
      <c r="L405" s="21" t="s">
        <v>28</v>
      </c>
      <c r="M405" s="22">
        <v>0.76439999999999997</v>
      </c>
      <c r="N405" s="22">
        <v>1.7999999999999999E-2</v>
      </c>
      <c r="O405" s="22">
        <v>1017.1985435894751</v>
      </c>
      <c r="P405" s="22">
        <f t="shared" si="64"/>
        <v>894.17855172776387</v>
      </c>
      <c r="Q405" s="22">
        <v>2777.0693256854333</v>
      </c>
      <c r="R405" s="22">
        <f t="shared" si="65"/>
        <v>57.485335041688458</v>
      </c>
      <c r="S405" s="22">
        <f t="shared" si="66"/>
        <v>951.66388676945235</v>
      </c>
      <c r="T405" s="23">
        <v>0.55859868298040061</v>
      </c>
      <c r="U405" s="24">
        <v>0.1</v>
      </c>
      <c r="V405" s="25">
        <f t="shared" si="70"/>
        <v>1631.5882886147654</v>
      </c>
      <c r="W405" s="26" t="s">
        <v>29</v>
      </c>
    </row>
    <row r="406" spans="1:23" x14ac:dyDescent="0.25">
      <c r="A406" s="28">
        <f t="shared" ca="1" si="67"/>
        <v>402</v>
      </c>
      <c r="B406" s="9" t="s">
        <v>139</v>
      </c>
      <c r="C406" s="9" t="s">
        <v>833</v>
      </c>
      <c r="D406" s="9"/>
      <c r="E406" s="9"/>
      <c r="F406" s="9"/>
      <c r="G406" s="9"/>
      <c r="H406" s="10" t="s">
        <v>834</v>
      </c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29"/>
      <c r="U406" s="11"/>
      <c r="V406" s="9"/>
      <c r="W406" s="9"/>
    </row>
    <row r="407" spans="1:23" x14ac:dyDescent="0.25">
      <c r="A407" s="12">
        <f t="shared" ca="1" si="67"/>
        <v>403</v>
      </c>
      <c r="B407" s="13" t="s">
        <v>139</v>
      </c>
      <c r="C407" s="13" t="s">
        <v>835</v>
      </c>
      <c r="D407" s="13"/>
      <c r="E407" s="13"/>
      <c r="F407" s="13"/>
      <c r="G407" s="13"/>
      <c r="H407" s="15" t="s">
        <v>836</v>
      </c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27"/>
      <c r="U407" s="16"/>
      <c r="V407" s="13"/>
      <c r="W407" s="13"/>
    </row>
    <row r="408" spans="1:23" ht="89.25" x14ac:dyDescent="0.25">
      <c r="A408" s="17">
        <f t="shared" ca="1" si="67"/>
        <v>404</v>
      </c>
      <c r="B408" s="18" t="s">
        <v>139</v>
      </c>
      <c r="C408" s="18" t="s">
        <v>837</v>
      </c>
      <c r="D408" s="18"/>
      <c r="E408" s="18"/>
      <c r="F408" s="18"/>
      <c r="G408" s="18"/>
      <c r="H408" s="19" t="s">
        <v>838</v>
      </c>
      <c r="I408" s="18" t="s">
        <v>104</v>
      </c>
      <c r="J408" s="20">
        <v>1</v>
      </c>
      <c r="K408" s="20">
        <v>1.1499999999999999</v>
      </c>
      <c r="L408" s="21" t="s">
        <v>28</v>
      </c>
      <c r="M408" s="22">
        <v>0.13159999999999999</v>
      </c>
      <c r="N408" s="22">
        <v>1.3199999999999998E-2</v>
      </c>
      <c r="O408" s="22">
        <v>1017.1985435894751</v>
      </c>
      <c r="P408" s="22">
        <f t="shared" si="64"/>
        <v>153.94282758683113</v>
      </c>
      <c r="Q408" s="22">
        <v>2777.0693256854333</v>
      </c>
      <c r="R408" s="22">
        <f t="shared" si="65"/>
        <v>42.155912363904868</v>
      </c>
      <c r="S408" s="22">
        <f t="shared" si="66"/>
        <v>196.09873995073599</v>
      </c>
      <c r="T408" s="23">
        <v>0.55859868298040061</v>
      </c>
      <c r="U408" s="24">
        <v>0.1</v>
      </c>
      <c r="V408" s="25">
        <f t="shared" ref="V408:V457" si="71">S408+S408*T408+(S408+S408*T408)*U408</f>
        <v>336.20316160346647</v>
      </c>
      <c r="W408" s="26" t="s">
        <v>29</v>
      </c>
    </row>
    <row r="409" spans="1:23" ht="89.25" x14ac:dyDescent="0.25">
      <c r="A409" s="17">
        <f t="shared" ca="1" si="67"/>
        <v>405</v>
      </c>
      <c r="B409" s="18" t="s">
        <v>139</v>
      </c>
      <c r="C409" s="18" t="s">
        <v>839</v>
      </c>
      <c r="D409" s="18"/>
      <c r="E409" s="18"/>
      <c r="F409" s="18"/>
      <c r="G409" s="18"/>
      <c r="H409" s="19" t="s">
        <v>840</v>
      </c>
      <c r="I409" s="18" t="s">
        <v>104</v>
      </c>
      <c r="J409" s="20">
        <v>1</v>
      </c>
      <c r="K409" s="20">
        <v>1.1499999999999999</v>
      </c>
      <c r="L409" s="21" t="s">
        <v>28</v>
      </c>
      <c r="M409" s="22">
        <v>0.12739999999999999</v>
      </c>
      <c r="N409" s="22">
        <v>1.7999999999999999E-2</v>
      </c>
      <c r="O409" s="22">
        <v>1017.1985435894751</v>
      </c>
      <c r="P409" s="22">
        <f t="shared" si="64"/>
        <v>149.02975862129398</v>
      </c>
      <c r="Q409" s="22">
        <v>2777.0693256854333</v>
      </c>
      <c r="R409" s="22">
        <f t="shared" si="65"/>
        <v>57.485335041688458</v>
      </c>
      <c r="S409" s="22">
        <f t="shared" si="66"/>
        <v>206.51509366298245</v>
      </c>
      <c r="T409" s="23">
        <v>0.55859868298040061</v>
      </c>
      <c r="U409" s="24">
        <v>0.1</v>
      </c>
      <c r="V409" s="25">
        <f t="shared" si="71"/>
        <v>354.06156829856832</v>
      </c>
      <c r="W409" s="26" t="s">
        <v>29</v>
      </c>
    </row>
    <row r="410" spans="1:23" ht="89.25" x14ac:dyDescent="0.25">
      <c r="A410" s="17">
        <f t="shared" ca="1" si="67"/>
        <v>406</v>
      </c>
      <c r="B410" s="18" t="s">
        <v>139</v>
      </c>
      <c r="C410" s="18" t="s">
        <v>841</v>
      </c>
      <c r="D410" s="18"/>
      <c r="E410" s="18"/>
      <c r="F410" s="18"/>
      <c r="G410" s="18"/>
      <c r="H410" s="19" t="s">
        <v>842</v>
      </c>
      <c r="I410" s="18" t="s">
        <v>104</v>
      </c>
      <c r="J410" s="20">
        <v>1</v>
      </c>
      <c r="K410" s="20">
        <v>1.1499999999999999</v>
      </c>
      <c r="L410" s="21" t="s">
        <v>28</v>
      </c>
      <c r="M410" s="22">
        <v>0.12739999999999999</v>
      </c>
      <c r="N410" s="22">
        <v>1.7999999999999999E-2</v>
      </c>
      <c r="O410" s="22">
        <v>1017.1985435894751</v>
      </c>
      <c r="P410" s="22">
        <f t="shared" si="64"/>
        <v>149.02975862129398</v>
      </c>
      <c r="Q410" s="22">
        <v>2777.0693256854333</v>
      </c>
      <c r="R410" s="22">
        <f t="shared" si="65"/>
        <v>57.485335041688458</v>
      </c>
      <c r="S410" s="22">
        <f t="shared" si="66"/>
        <v>206.51509366298245</v>
      </c>
      <c r="T410" s="23">
        <v>0.55859868298040061</v>
      </c>
      <c r="U410" s="24">
        <v>0.1</v>
      </c>
      <c r="V410" s="25">
        <f t="shared" si="71"/>
        <v>354.06156829856832</v>
      </c>
      <c r="W410" s="26" t="s">
        <v>29</v>
      </c>
    </row>
    <row r="411" spans="1:23" ht="89.25" x14ac:dyDescent="0.25">
      <c r="A411" s="17">
        <f t="shared" ca="1" si="67"/>
        <v>407</v>
      </c>
      <c r="B411" s="18" t="s">
        <v>139</v>
      </c>
      <c r="C411" s="18" t="s">
        <v>843</v>
      </c>
      <c r="D411" s="18"/>
      <c r="E411" s="18"/>
      <c r="F411" s="18"/>
      <c r="G411" s="18"/>
      <c r="H411" s="19" t="s">
        <v>844</v>
      </c>
      <c r="I411" s="18" t="s">
        <v>104</v>
      </c>
      <c r="J411" s="20">
        <v>1</v>
      </c>
      <c r="K411" s="20">
        <v>1.1499999999999999</v>
      </c>
      <c r="L411" s="21" t="s">
        <v>28</v>
      </c>
      <c r="M411" s="22">
        <v>0.1288</v>
      </c>
      <c r="N411" s="22">
        <v>1.7999999999999999E-2</v>
      </c>
      <c r="O411" s="22">
        <v>1017.1985435894751</v>
      </c>
      <c r="P411" s="22">
        <f t="shared" si="64"/>
        <v>150.66744827647304</v>
      </c>
      <c r="Q411" s="22">
        <v>2777.0693256854333</v>
      </c>
      <c r="R411" s="22">
        <f t="shared" si="65"/>
        <v>57.485335041688458</v>
      </c>
      <c r="S411" s="22">
        <f t="shared" si="66"/>
        <v>208.15278331816148</v>
      </c>
      <c r="T411" s="23">
        <v>0.55859868298040061</v>
      </c>
      <c r="U411" s="24">
        <v>0.1</v>
      </c>
      <c r="V411" s="25">
        <f t="shared" si="71"/>
        <v>356.86931933223025</v>
      </c>
      <c r="W411" s="26" t="s">
        <v>29</v>
      </c>
    </row>
    <row r="412" spans="1:23" ht="89.25" x14ac:dyDescent="0.25">
      <c r="A412" s="17">
        <f t="shared" ca="1" si="67"/>
        <v>408</v>
      </c>
      <c r="B412" s="18" t="s">
        <v>139</v>
      </c>
      <c r="C412" s="18" t="s">
        <v>845</v>
      </c>
      <c r="D412" s="18"/>
      <c r="E412" s="18"/>
      <c r="F412" s="18"/>
      <c r="G412" s="18"/>
      <c r="H412" s="19" t="s">
        <v>846</v>
      </c>
      <c r="I412" s="18" t="s">
        <v>104</v>
      </c>
      <c r="J412" s="20">
        <v>1</v>
      </c>
      <c r="K412" s="20">
        <v>1.1499999999999999</v>
      </c>
      <c r="L412" s="21" t="s">
        <v>28</v>
      </c>
      <c r="M412" s="22">
        <v>0.1421</v>
      </c>
      <c r="N412" s="22">
        <v>1.7999999999999999E-2</v>
      </c>
      <c r="O412" s="22">
        <v>1017.1985435894751</v>
      </c>
      <c r="P412" s="22">
        <f t="shared" si="64"/>
        <v>166.22550000067409</v>
      </c>
      <c r="Q412" s="22">
        <v>2777.0693256854333</v>
      </c>
      <c r="R412" s="22">
        <f t="shared" si="65"/>
        <v>57.485335041688458</v>
      </c>
      <c r="S412" s="22">
        <f t="shared" si="66"/>
        <v>223.71083504236253</v>
      </c>
      <c r="T412" s="23">
        <v>0.55859868298040061</v>
      </c>
      <c r="U412" s="24">
        <v>0.1</v>
      </c>
      <c r="V412" s="25">
        <f t="shared" si="71"/>
        <v>383.54295415201909</v>
      </c>
      <c r="W412" s="26" t="s">
        <v>29</v>
      </c>
    </row>
    <row r="413" spans="1:23" ht="89.25" x14ac:dyDescent="0.25">
      <c r="A413" s="17">
        <f t="shared" ca="1" si="67"/>
        <v>409</v>
      </c>
      <c r="B413" s="18" t="s">
        <v>139</v>
      </c>
      <c r="C413" s="18" t="s">
        <v>847</v>
      </c>
      <c r="D413" s="18"/>
      <c r="E413" s="18"/>
      <c r="F413" s="18"/>
      <c r="G413" s="18"/>
      <c r="H413" s="19" t="s">
        <v>848</v>
      </c>
      <c r="I413" s="18" t="s">
        <v>104</v>
      </c>
      <c r="J413" s="20">
        <v>1</v>
      </c>
      <c r="K413" s="20">
        <v>1.1499999999999999</v>
      </c>
      <c r="L413" s="21" t="s">
        <v>28</v>
      </c>
      <c r="M413" s="22">
        <v>0.1421</v>
      </c>
      <c r="N413" s="22">
        <v>1.7999999999999999E-2</v>
      </c>
      <c r="O413" s="22">
        <v>1017.1985435894751</v>
      </c>
      <c r="P413" s="22">
        <f t="shared" si="64"/>
        <v>166.22550000067409</v>
      </c>
      <c r="Q413" s="22">
        <v>2777.0693256854333</v>
      </c>
      <c r="R413" s="22">
        <f t="shared" si="65"/>
        <v>57.485335041688458</v>
      </c>
      <c r="S413" s="22">
        <f t="shared" si="66"/>
        <v>223.71083504236253</v>
      </c>
      <c r="T413" s="23">
        <v>0.55859868298040061</v>
      </c>
      <c r="U413" s="24">
        <v>0.1</v>
      </c>
      <c r="V413" s="25">
        <f t="shared" si="71"/>
        <v>383.54295415201909</v>
      </c>
      <c r="W413" s="26" t="s">
        <v>29</v>
      </c>
    </row>
    <row r="414" spans="1:23" ht="89.25" x14ac:dyDescent="0.25">
      <c r="A414" s="17">
        <f t="shared" ca="1" si="67"/>
        <v>410</v>
      </c>
      <c r="B414" s="18" t="s">
        <v>139</v>
      </c>
      <c r="C414" s="18" t="s">
        <v>849</v>
      </c>
      <c r="D414" s="18"/>
      <c r="E414" s="18"/>
      <c r="F414" s="18"/>
      <c r="G414" s="18"/>
      <c r="H414" s="19" t="s">
        <v>850</v>
      </c>
      <c r="I414" s="18" t="s">
        <v>104</v>
      </c>
      <c r="J414" s="20">
        <v>1</v>
      </c>
      <c r="K414" s="20">
        <v>1.1499999999999999</v>
      </c>
      <c r="L414" s="21" t="s">
        <v>28</v>
      </c>
      <c r="M414" s="22">
        <v>0.14069999999999999</v>
      </c>
      <c r="N414" s="22">
        <v>1.38E-2</v>
      </c>
      <c r="O414" s="22">
        <v>1017.1985435894751</v>
      </c>
      <c r="P414" s="22">
        <f t="shared" si="64"/>
        <v>164.587810345495</v>
      </c>
      <c r="Q414" s="22">
        <v>2777.0693256854333</v>
      </c>
      <c r="R414" s="22">
        <f t="shared" si="65"/>
        <v>44.072090198627819</v>
      </c>
      <c r="S414" s="22">
        <f t="shared" si="66"/>
        <v>208.65990054412282</v>
      </c>
      <c r="T414" s="23">
        <v>0.55859868298040061</v>
      </c>
      <c r="U414" s="24">
        <v>0.1</v>
      </c>
      <c r="V414" s="25">
        <f t="shared" si="71"/>
        <v>357.73875079678032</v>
      </c>
      <c r="W414" s="26" t="s">
        <v>29</v>
      </c>
    </row>
    <row r="415" spans="1:23" ht="89.25" x14ac:dyDescent="0.25">
      <c r="A415" s="17">
        <f t="shared" ca="1" si="67"/>
        <v>411</v>
      </c>
      <c r="B415" s="18" t="s">
        <v>139</v>
      </c>
      <c r="C415" s="18" t="s">
        <v>851</v>
      </c>
      <c r="D415" s="18"/>
      <c r="E415" s="18"/>
      <c r="F415" s="18"/>
      <c r="G415" s="18"/>
      <c r="H415" s="19" t="s">
        <v>852</v>
      </c>
      <c r="I415" s="18" t="s">
        <v>104</v>
      </c>
      <c r="J415" s="20">
        <v>1</v>
      </c>
      <c r="K415" s="20">
        <v>1.1499999999999999</v>
      </c>
      <c r="L415" s="21" t="s">
        <v>28</v>
      </c>
      <c r="M415" s="22">
        <v>0.13649999999999998</v>
      </c>
      <c r="N415" s="22">
        <v>1.38E-2</v>
      </c>
      <c r="O415" s="22">
        <v>1017.1985435894751</v>
      </c>
      <c r="P415" s="22">
        <f t="shared" si="64"/>
        <v>159.67474137995779</v>
      </c>
      <c r="Q415" s="22">
        <v>2777.0693256854333</v>
      </c>
      <c r="R415" s="22">
        <f t="shared" si="65"/>
        <v>44.072090198627819</v>
      </c>
      <c r="S415" s="22">
        <f t="shared" si="66"/>
        <v>203.74683157858561</v>
      </c>
      <c r="T415" s="23">
        <v>0.55859868298040061</v>
      </c>
      <c r="U415" s="24">
        <v>0.1</v>
      </c>
      <c r="V415" s="25">
        <f t="shared" si="71"/>
        <v>349.31549769579431</v>
      </c>
      <c r="W415" s="26" t="s">
        <v>29</v>
      </c>
    </row>
    <row r="416" spans="1:23" ht="89.25" x14ac:dyDescent="0.25">
      <c r="A416" s="17">
        <f t="shared" ca="1" si="67"/>
        <v>412</v>
      </c>
      <c r="B416" s="18" t="s">
        <v>139</v>
      </c>
      <c r="C416" s="18" t="s">
        <v>853</v>
      </c>
      <c r="D416" s="18"/>
      <c r="E416" s="18"/>
      <c r="F416" s="18"/>
      <c r="G416" s="18"/>
      <c r="H416" s="19" t="s">
        <v>854</v>
      </c>
      <c r="I416" s="18" t="s">
        <v>104</v>
      </c>
      <c r="J416" s="20">
        <v>1</v>
      </c>
      <c r="K416" s="20">
        <v>1.1499999999999999</v>
      </c>
      <c r="L416" s="21" t="s">
        <v>28</v>
      </c>
      <c r="M416" s="22">
        <v>0.13159999999999999</v>
      </c>
      <c r="N416" s="22">
        <v>1.2599999999999998E-2</v>
      </c>
      <c r="O416" s="22">
        <v>1017.1985435894751</v>
      </c>
      <c r="P416" s="22">
        <f t="shared" si="64"/>
        <v>153.94282758683113</v>
      </c>
      <c r="Q416" s="22">
        <v>2777.0693256854333</v>
      </c>
      <c r="R416" s="22">
        <f t="shared" si="65"/>
        <v>40.239734529181924</v>
      </c>
      <c r="S416" s="22">
        <f t="shared" si="66"/>
        <v>194.18256211601306</v>
      </c>
      <c r="T416" s="23">
        <v>0.55859868298040061</v>
      </c>
      <c r="U416" s="24">
        <v>0.1</v>
      </c>
      <c r="V416" s="25">
        <f t="shared" si="71"/>
        <v>332.91795412895556</v>
      </c>
      <c r="W416" s="26" t="s">
        <v>29</v>
      </c>
    </row>
    <row r="417" spans="1:23" ht="89.25" x14ac:dyDescent="0.25">
      <c r="A417" s="17">
        <f t="shared" ca="1" si="67"/>
        <v>413</v>
      </c>
      <c r="B417" s="18" t="s">
        <v>139</v>
      </c>
      <c r="C417" s="18" t="s">
        <v>855</v>
      </c>
      <c r="D417" s="18"/>
      <c r="E417" s="18"/>
      <c r="F417" s="18"/>
      <c r="G417" s="18"/>
      <c r="H417" s="19" t="s">
        <v>856</v>
      </c>
      <c r="I417" s="18" t="s">
        <v>104</v>
      </c>
      <c r="J417" s="20">
        <v>1</v>
      </c>
      <c r="K417" s="20">
        <v>1.1499999999999999</v>
      </c>
      <c r="L417" s="21" t="s">
        <v>28</v>
      </c>
      <c r="M417" s="22">
        <v>0.1323</v>
      </c>
      <c r="N417" s="22">
        <v>1.2599999999999998E-2</v>
      </c>
      <c r="O417" s="22">
        <v>1017.1985435894751</v>
      </c>
      <c r="P417" s="22">
        <f t="shared" si="64"/>
        <v>154.7616724144207</v>
      </c>
      <c r="Q417" s="22">
        <v>2777.0693256854333</v>
      </c>
      <c r="R417" s="22">
        <f t="shared" si="65"/>
        <v>40.239734529181924</v>
      </c>
      <c r="S417" s="22">
        <f t="shared" si="66"/>
        <v>195.00140694360263</v>
      </c>
      <c r="T417" s="23">
        <v>0.55859868298040061</v>
      </c>
      <c r="U417" s="24">
        <v>0.1</v>
      </c>
      <c r="V417" s="25">
        <f t="shared" si="71"/>
        <v>334.32182964578658</v>
      </c>
      <c r="W417" s="26" t="s">
        <v>29</v>
      </c>
    </row>
    <row r="418" spans="1:23" ht="89.25" x14ac:dyDescent="0.25">
      <c r="A418" s="17">
        <f t="shared" ca="1" si="67"/>
        <v>414</v>
      </c>
      <c r="B418" s="18" t="s">
        <v>139</v>
      </c>
      <c r="C418" s="18" t="s">
        <v>857</v>
      </c>
      <c r="D418" s="18"/>
      <c r="E418" s="18"/>
      <c r="F418" s="18"/>
      <c r="G418" s="18"/>
      <c r="H418" s="19" t="s">
        <v>858</v>
      </c>
      <c r="I418" s="18" t="s">
        <v>104</v>
      </c>
      <c r="J418" s="20">
        <v>1</v>
      </c>
      <c r="K418" s="20">
        <v>1.1499999999999999</v>
      </c>
      <c r="L418" s="21" t="s">
        <v>28</v>
      </c>
      <c r="M418" s="22">
        <v>0.16869999999999999</v>
      </c>
      <c r="N418" s="22">
        <v>1.5600000000000001E-2</v>
      </c>
      <c r="O418" s="22">
        <v>1017.1985435894751</v>
      </c>
      <c r="P418" s="22">
        <f t="shared" si="64"/>
        <v>197.34160344907608</v>
      </c>
      <c r="Q418" s="22">
        <v>2777.0693256854333</v>
      </c>
      <c r="R418" s="22">
        <f t="shared" si="65"/>
        <v>49.820623702796674</v>
      </c>
      <c r="S418" s="22">
        <f t="shared" si="66"/>
        <v>247.16222715187274</v>
      </c>
      <c r="T418" s="23">
        <v>0.55859868298040061</v>
      </c>
      <c r="U418" s="24">
        <v>0.1</v>
      </c>
      <c r="V418" s="25">
        <f t="shared" si="71"/>
        <v>423.74939389355262</v>
      </c>
      <c r="W418" s="26" t="s">
        <v>29</v>
      </c>
    </row>
    <row r="419" spans="1:23" ht="89.25" x14ac:dyDescent="0.25">
      <c r="A419" s="17">
        <f t="shared" ca="1" si="67"/>
        <v>415</v>
      </c>
      <c r="B419" s="18" t="s">
        <v>139</v>
      </c>
      <c r="C419" s="18" t="s">
        <v>859</v>
      </c>
      <c r="D419" s="18"/>
      <c r="E419" s="18"/>
      <c r="F419" s="18"/>
      <c r="G419" s="18"/>
      <c r="H419" s="19" t="s">
        <v>860</v>
      </c>
      <c r="I419" s="18" t="s">
        <v>104</v>
      </c>
      <c r="J419" s="20">
        <v>1</v>
      </c>
      <c r="K419" s="20">
        <v>1.1499999999999999</v>
      </c>
      <c r="L419" s="21" t="s">
        <v>28</v>
      </c>
      <c r="M419" s="22">
        <v>0.1323</v>
      </c>
      <c r="N419" s="22">
        <v>1.3199999999999998E-2</v>
      </c>
      <c r="O419" s="22">
        <v>1017.1985435894751</v>
      </c>
      <c r="P419" s="22">
        <f t="shared" si="64"/>
        <v>154.7616724144207</v>
      </c>
      <c r="Q419" s="22">
        <v>2777.0693256854333</v>
      </c>
      <c r="R419" s="22">
        <f t="shared" si="65"/>
        <v>42.155912363904868</v>
      </c>
      <c r="S419" s="22">
        <f t="shared" si="66"/>
        <v>196.91758477832556</v>
      </c>
      <c r="T419" s="23">
        <v>0.55859868298040061</v>
      </c>
      <c r="U419" s="24">
        <v>0.1</v>
      </c>
      <c r="V419" s="25">
        <f t="shared" si="71"/>
        <v>337.60703712029755</v>
      </c>
      <c r="W419" s="26" t="s">
        <v>29</v>
      </c>
    </row>
    <row r="420" spans="1:23" ht="89.25" x14ac:dyDescent="0.25">
      <c r="A420" s="17">
        <f t="shared" ca="1" si="67"/>
        <v>416</v>
      </c>
      <c r="B420" s="18" t="s">
        <v>139</v>
      </c>
      <c r="C420" s="18" t="s">
        <v>861</v>
      </c>
      <c r="D420" s="18"/>
      <c r="E420" s="18"/>
      <c r="F420" s="18"/>
      <c r="G420" s="18"/>
      <c r="H420" s="19" t="s">
        <v>862</v>
      </c>
      <c r="I420" s="18" t="s">
        <v>104</v>
      </c>
      <c r="J420" s="20">
        <v>1</v>
      </c>
      <c r="K420" s="20">
        <v>1.1499999999999999</v>
      </c>
      <c r="L420" s="21" t="s">
        <v>28</v>
      </c>
      <c r="M420" s="22">
        <v>0.1323</v>
      </c>
      <c r="N420" s="22">
        <v>1.3199999999999998E-2</v>
      </c>
      <c r="O420" s="22">
        <v>1017.1985435894751</v>
      </c>
      <c r="P420" s="22">
        <f t="shared" si="64"/>
        <v>154.7616724144207</v>
      </c>
      <c r="Q420" s="22">
        <v>2777.0693256854333</v>
      </c>
      <c r="R420" s="22">
        <f t="shared" si="65"/>
        <v>42.155912363904868</v>
      </c>
      <c r="S420" s="22">
        <f t="shared" si="66"/>
        <v>196.91758477832556</v>
      </c>
      <c r="T420" s="23">
        <v>0.55859868298040061</v>
      </c>
      <c r="U420" s="24">
        <v>0.1</v>
      </c>
      <c r="V420" s="25">
        <f t="shared" si="71"/>
        <v>337.60703712029755</v>
      </c>
      <c r="W420" s="26" t="s">
        <v>29</v>
      </c>
    </row>
    <row r="421" spans="1:23" ht="89.25" x14ac:dyDescent="0.25">
      <c r="A421" s="17">
        <f t="shared" ca="1" si="67"/>
        <v>417</v>
      </c>
      <c r="B421" s="18" t="s">
        <v>139</v>
      </c>
      <c r="C421" s="18" t="s">
        <v>863</v>
      </c>
      <c r="D421" s="18"/>
      <c r="E421" s="18"/>
      <c r="F421" s="18"/>
      <c r="G421" s="18"/>
      <c r="H421" s="19" t="s">
        <v>864</v>
      </c>
      <c r="I421" s="18" t="s">
        <v>104</v>
      </c>
      <c r="J421" s="20">
        <v>1</v>
      </c>
      <c r="K421" s="20">
        <v>1.1499999999999999</v>
      </c>
      <c r="L421" s="21" t="s">
        <v>28</v>
      </c>
      <c r="M421" s="22">
        <v>0.13649999999999998</v>
      </c>
      <c r="N421" s="22">
        <v>1.38E-2</v>
      </c>
      <c r="O421" s="22">
        <v>1017.1985435894751</v>
      </c>
      <c r="P421" s="22">
        <f t="shared" si="64"/>
        <v>159.67474137995779</v>
      </c>
      <c r="Q421" s="22">
        <v>2777.0693256854333</v>
      </c>
      <c r="R421" s="22">
        <f t="shared" si="65"/>
        <v>44.072090198627819</v>
      </c>
      <c r="S421" s="22">
        <f t="shared" si="66"/>
        <v>203.74683157858561</v>
      </c>
      <c r="T421" s="23">
        <v>0.55859868298040061</v>
      </c>
      <c r="U421" s="24">
        <v>0.1</v>
      </c>
      <c r="V421" s="25">
        <f t="shared" si="71"/>
        <v>349.31549769579431</v>
      </c>
      <c r="W421" s="26" t="s">
        <v>29</v>
      </c>
    </row>
    <row r="422" spans="1:23" ht="89.25" x14ac:dyDescent="0.25">
      <c r="A422" s="17">
        <f t="shared" ca="1" si="67"/>
        <v>418</v>
      </c>
      <c r="B422" s="18" t="s">
        <v>139</v>
      </c>
      <c r="C422" s="18" t="s">
        <v>865</v>
      </c>
      <c r="D422" s="18"/>
      <c r="E422" s="18"/>
      <c r="F422" s="18"/>
      <c r="G422" s="18"/>
      <c r="H422" s="19" t="s">
        <v>866</v>
      </c>
      <c r="I422" s="18" t="s">
        <v>104</v>
      </c>
      <c r="J422" s="20">
        <v>1</v>
      </c>
      <c r="K422" s="20">
        <v>1.1499999999999999</v>
      </c>
      <c r="L422" s="21" t="s">
        <v>28</v>
      </c>
      <c r="M422" s="22">
        <v>0.14069999999999999</v>
      </c>
      <c r="N422" s="22">
        <v>1.38E-2</v>
      </c>
      <c r="O422" s="22">
        <v>1017.1985435894751</v>
      </c>
      <c r="P422" s="22">
        <f t="shared" si="64"/>
        <v>164.587810345495</v>
      </c>
      <c r="Q422" s="22">
        <v>2777.0693256854333</v>
      </c>
      <c r="R422" s="22">
        <f t="shared" si="65"/>
        <v>44.072090198627819</v>
      </c>
      <c r="S422" s="22">
        <f t="shared" si="66"/>
        <v>208.65990054412282</v>
      </c>
      <c r="T422" s="23">
        <v>0.55859868298040061</v>
      </c>
      <c r="U422" s="24">
        <v>0.1</v>
      </c>
      <c r="V422" s="25">
        <f t="shared" si="71"/>
        <v>357.73875079678032</v>
      </c>
      <c r="W422" s="26" t="s">
        <v>29</v>
      </c>
    </row>
    <row r="423" spans="1:23" ht="89.25" x14ac:dyDescent="0.25">
      <c r="A423" s="17">
        <f t="shared" ca="1" si="67"/>
        <v>419</v>
      </c>
      <c r="B423" s="18" t="s">
        <v>139</v>
      </c>
      <c r="C423" s="18" t="s">
        <v>867</v>
      </c>
      <c r="D423" s="18"/>
      <c r="E423" s="18"/>
      <c r="F423" s="18"/>
      <c r="G423" s="18"/>
      <c r="H423" s="19" t="s">
        <v>868</v>
      </c>
      <c r="I423" s="18" t="s">
        <v>104</v>
      </c>
      <c r="J423" s="20">
        <v>1</v>
      </c>
      <c r="K423" s="20">
        <v>1.1499999999999999</v>
      </c>
      <c r="L423" s="21" t="s">
        <v>28</v>
      </c>
      <c r="M423" s="22">
        <v>0.14069999999999999</v>
      </c>
      <c r="N423" s="22">
        <v>1.38E-2</v>
      </c>
      <c r="O423" s="22">
        <v>1017.1985435894751</v>
      </c>
      <c r="P423" s="22">
        <f t="shared" si="64"/>
        <v>164.587810345495</v>
      </c>
      <c r="Q423" s="22">
        <v>2777.0693256854333</v>
      </c>
      <c r="R423" s="22">
        <f t="shared" si="65"/>
        <v>44.072090198627819</v>
      </c>
      <c r="S423" s="22">
        <f t="shared" si="66"/>
        <v>208.65990054412282</v>
      </c>
      <c r="T423" s="23">
        <v>0.55859868298040061</v>
      </c>
      <c r="U423" s="24">
        <v>0.1</v>
      </c>
      <c r="V423" s="25">
        <f t="shared" si="71"/>
        <v>357.73875079678032</v>
      </c>
      <c r="W423" s="26" t="s">
        <v>29</v>
      </c>
    </row>
    <row r="424" spans="1:23" ht="89.25" x14ac:dyDescent="0.25">
      <c r="A424" s="17">
        <f t="shared" ca="1" si="67"/>
        <v>420</v>
      </c>
      <c r="B424" s="18" t="s">
        <v>139</v>
      </c>
      <c r="C424" s="18" t="s">
        <v>869</v>
      </c>
      <c r="D424" s="18"/>
      <c r="E424" s="18"/>
      <c r="F424" s="18"/>
      <c r="G424" s="18"/>
      <c r="H424" s="19" t="s">
        <v>870</v>
      </c>
      <c r="I424" s="18" t="s">
        <v>104</v>
      </c>
      <c r="J424" s="20">
        <v>1</v>
      </c>
      <c r="K424" s="20">
        <v>1.1499999999999999</v>
      </c>
      <c r="L424" s="21" t="s">
        <v>28</v>
      </c>
      <c r="M424" s="22">
        <v>0.1323</v>
      </c>
      <c r="N424" s="22">
        <v>1.2599999999999998E-2</v>
      </c>
      <c r="O424" s="22">
        <v>1017.1985435894751</v>
      </c>
      <c r="P424" s="22">
        <f t="shared" si="64"/>
        <v>154.7616724144207</v>
      </c>
      <c r="Q424" s="22">
        <v>2777.0693256854333</v>
      </c>
      <c r="R424" s="22">
        <f t="shared" si="65"/>
        <v>40.239734529181924</v>
      </c>
      <c r="S424" s="22">
        <f t="shared" si="66"/>
        <v>195.00140694360263</v>
      </c>
      <c r="T424" s="23">
        <v>0.55859868298040061</v>
      </c>
      <c r="U424" s="24">
        <v>0.1</v>
      </c>
      <c r="V424" s="25">
        <f t="shared" si="71"/>
        <v>334.32182964578658</v>
      </c>
      <c r="W424" s="26" t="s">
        <v>29</v>
      </c>
    </row>
    <row r="425" spans="1:23" ht="89.25" x14ac:dyDescent="0.25">
      <c r="A425" s="17">
        <f t="shared" ca="1" si="67"/>
        <v>421</v>
      </c>
      <c r="B425" s="18" t="s">
        <v>139</v>
      </c>
      <c r="C425" s="18" t="s">
        <v>871</v>
      </c>
      <c r="D425" s="18"/>
      <c r="E425" s="18"/>
      <c r="F425" s="18"/>
      <c r="G425" s="18"/>
      <c r="H425" s="19" t="s">
        <v>872</v>
      </c>
      <c r="I425" s="18" t="s">
        <v>104</v>
      </c>
      <c r="J425" s="20">
        <v>1</v>
      </c>
      <c r="K425" s="20">
        <v>1.1499999999999999</v>
      </c>
      <c r="L425" s="21" t="s">
        <v>28</v>
      </c>
      <c r="M425" s="22">
        <v>0.13649999999999998</v>
      </c>
      <c r="N425" s="22">
        <v>1.3199999999999998E-2</v>
      </c>
      <c r="O425" s="22">
        <v>1017.1985435894751</v>
      </c>
      <c r="P425" s="22">
        <f t="shared" si="64"/>
        <v>159.67474137995779</v>
      </c>
      <c r="Q425" s="22">
        <v>2777.0693256854333</v>
      </c>
      <c r="R425" s="22">
        <f t="shared" si="65"/>
        <v>42.155912363904868</v>
      </c>
      <c r="S425" s="22">
        <f t="shared" si="66"/>
        <v>201.83065374386265</v>
      </c>
      <c r="T425" s="23">
        <v>0.55859868298040061</v>
      </c>
      <c r="U425" s="24">
        <v>0.1</v>
      </c>
      <c r="V425" s="25">
        <f t="shared" si="71"/>
        <v>346.03029022128334</v>
      </c>
      <c r="W425" s="26" t="s">
        <v>29</v>
      </c>
    </row>
    <row r="426" spans="1:23" ht="89.25" x14ac:dyDescent="0.25">
      <c r="A426" s="17">
        <f t="shared" ca="1" si="67"/>
        <v>422</v>
      </c>
      <c r="B426" s="18" t="s">
        <v>139</v>
      </c>
      <c r="C426" s="18" t="s">
        <v>873</v>
      </c>
      <c r="D426" s="18"/>
      <c r="E426" s="18"/>
      <c r="F426" s="18"/>
      <c r="G426" s="18"/>
      <c r="H426" s="19" t="s">
        <v>874</v>
      </c>
      <c r="I426" s="18" t="s">
        <v>104</v>
      </c>
      <c r="J426" s="20">
        <v>1</v>
      </c>
      <c r="K426" s="20">
        <v>1.1499999999999999</v>
      </c>
      <c r="L426" s="21" t="s">
        <v>28</v>
      </c>
      <c r="M426" s="22">
        <v>0.13649999999999998</v>
      </c>
      <c r="N426" s="22">
        <v>1.3199999999999998E-2</v>
      </c>
      <c r="O426" s="22">
        <v>1017.1985435894751</v>
      </c>
      <c r="P426" s="22">
        <f t="shared" si="64"/>
        <v>159.67474137995779</v>
      </c>
      <c r="Q426" s="22">
        <v>2777.0693256854333</v>
      </c>
      <c r="R426" s="22">
        <f t="shared" si="65"/>
        <v>42.155912363904868</v>
      </c>
      <c r="S426" s="22">
        <f t="shared" si="66"/>
        <v>201.83065374386265</v>
      </c>
      <c r="T426" s="23">
        <v>0.55859868298040061</v>
      </c>
      <c r="U426" s="24">
        <v>0.1</v>
      </c>
      <c r="V426" s="25">
        <f t="shared" si="71"/>
        <v>346.03029022128334</v>
      </c>
      <c r="W426" s="26" t="s">
        <v>29</v>
      </c>
    </row>
    <row r="427" spans="1:23" ht="89.25" x14ac:dyDescent="0.25">
      <c r="A427" s="17">
        <f t="shared" ca="1" si="67"/>
        <v>423</v>
      </c>
      <c r="B427" s="18" t="s">
        <v>139</v>
      </c>
      <c r="C427" s="18" t="s">
        <v>875</v>
      </c>
      <c r="D427" s="18"/>
      <c r="E427" s="18"/>
      <c r="F427" s="18"/>
      <c r="G427" s="18"/>
      <c r="H427" s="19" t="s">
        <v>876</v>
      </c>
      <c r="I427" s="18" t="s">
        <v>104</v>
      </c>
      <c r="J427" s="20">
        <v>1</v>
      </c>
      <c r="K427" s="20">
        <v>1.1499999999999999</v>
      </c>
      <c r="L427" s="21" t="s">
        <v>28</v>
      </c>
      <c r="M427" s="22">
        <v>0.1414</v>
      </c>
      <c r="N427" s="22">
        <v>1.3199999999999998E-2</v>
      </c>
      <c r="O427" s="22">
        <v>1017.1985435894751</v>
      </c>
      <c r="P427" s="22">
        <f t="shared" si="64"/>
        <v>165.40665517308452</v>
      </c>
      <c r="Q427" s="22">
        <v>2777.0693256854333</v>
      </c>
      <c r="R427" s="22">
        <f t="shared" si="65"/>
        <v>42.155912363904868</v>
      </c>
      <c r="S427" s="22">
        <f t="shared" si="66"/>
        <v>207.56256753698938</v>
      </c>
      <c r="T427" s="23">
        <v>0.55859868298040061</v>
      </c>
      <c r="U427" s="24">
        <v>0.1</v>
      </c>
      <c r="V427" s="25">
        <f t="shared" si="71"/>
        <v>355.85741883910032</v>
      </c>
      <c r="W427" s="26" t="s">
        <v>29</v>
      </c>
    </row>
    <row r="428" spans="1:23" ht="89.25" x14ac:dyDescent="0.25">
      <c r="A428" s="17">
        <f t="shared" ca="1" si="67"/>
        <v>424</v>
      </c>
      <c r="B428" s="18" t="s">
        <v>139</v>
      </c>
      <c r="C428" s="18" t="s">
        <v>877</v>
      </c>
      <c r="D428" s="18"/>
      <c r="E428" s="18"/>
      <c r="F428" s="18"/>
      <c r="G428" s="18"/>
      <c r="H428" s="19" t="s">
        <v>878</v>
      </c>
      <c r="I428" s="18" t="s">
        <v>104</v>
      </c>
      <c r="J428" s="20">
        <v>1</v>
      </c>
      <c r="K428" s="20">
        <v>1.1499999999999999</v>
      </c>
      <c r="L428" s="21" t="s">
        <v>28</v>
      </c>
      <c r="M428" s="22">
        <v>0.1414</v>
      </c>
      <c r="N428" s="22">
        <v>1.3199999999999998E-2</v>
      </c>
      <c r="O428" s="22">
        <v>1017.1985435894751</v>
      </c>
      <c r="P428" s="22">
        <f t="shared" si="64"/>
        <v>165.40665517308452</v>
      </c>
      <c r="Q428" s="22">
        <v>2777.0693256854333</v>
      </c>
      <c r="R428" s="22">
        <f t="shared" si="65"/>
        <v>42.155912363904868</v>
      </c>
      <c r="S428" s="22">
        <f t="shared" si="66"/>
        <v>207.56256753698938</v>
      </c>
      <c r="T428" s="23">
        <v>0.55859868298040061</v>
      </c>
      <c r="U428" s="24">
        <v>0.1</v>
      </c>
      <c r="V428" s="25">
        <f t="shared" si="71"/>
        <v>355.85741883910032</v>
      </c>
      <c r="W428" s="26" t="s">
        <v>29</v>
      </c>
    </row>
    <row r="429" spans="1:23" ht="89.25" x14ac:dyDescent="0.25">
      <c r="A429" s="17">
        <f t="shared" ca="1" si="67"/>
        <v>425</v>
      </c>
      <c r="B429" s="18" t="s">
        <v>139</v>
      </c>
      <c r="C429" s="18" t="s">
        <v>879</v>
      </c>
      <c r="D429" s="18"/>
      <c r="E429" s="18"/>
      <c r="F429" s="18"/>
      <c r="G429" s="18"/>
      <c r="H429" s="19" t="s">
        <v>880</v>
      </c>
      <c r="I429" s="18" t="s">
        <v>104</v>
      </c>
      <c r="J429" s="20">
        <v>1</v>
      </c>
      <c r="K429" s="20">
        <v>1.1499999999999999</v>
      </c>
      <c r="L429" s="21" t="s">
        <v>28</v>
      </c>
      <c r="M429" s="22">
        <v>0.16869999999999999</v>
      </c>
      <c r="N429" s="22">
        <v>1.5600000000000001E-2</v>
      </c>
      <c r="O429" s="22">
        <v>1017.1985435894751</v>
      </c>
      <c r="P429" s="22">
        <f t="shared" si="64"/>
        <v>197.34160344907608</v>
      </c>
      <c r="Q429" s="22">
        <v>2777.0693256854333</v>
      </c>
      <c r="R429" s="22">
        <f t="shared" si="65"/>
        <v>49.820623702796674</v>
      </c>
      <c r="S429" s="22">
        <f t="shared" si="66"/>
        <v>247.16222715187274</v>
      </c>
      <c r="T429" s="23">
        <v>0.55859868298040061</v>
      </c>
      <c r="U429" s="24">
        <v>0.1</v>
      </c>
      <c r="V429" s="25">
        <f t="shared" si="71"/>
        <v>423.74939389355262</v>
      </c>
      <c r="W429" s="26" t="s">
        <v>29</v>
      </c>
    </row>
    <row r="430" spans="1:23" ht="89.25" x14ac:dyDescent="0.25">
      <c r="A430" s="17">
        <f t="shared" ca="1" si="67"/>
        <v>426</v>
      </c>
      <c r="B430" s="18" t="s">
        <v>139</v>
      </c>
      <c r="C430" s="18" t="s">
        <v>881</v>
      </c>
      <c r="D430" s="18"/>
      <c r="E430" s="18"/>
      <c r="F430" s="18"/>
      <c r="G430" s="18"/>
      <c r="H430" s="19" t="s">
        <v>882</v>
      </c>
      <c r="I430" s="18" t="s">
        <v>104</v>
      </c>
      <c r="J430" s="20">
        <v>1</v>
      </c>
      <c r="K430" s="20">
        <v>1.1499999999999999</v>
      </c>
      <c r="L430" s="21" t="s">
        <v>28</v>
      </c>
      <c r="M430" s="22">
        <v>0.17359999999999998</v>
      </c>
      <c r="N430" s="22">
        <v>1.5600000000000001E-2</v>
      </c>
      <c r="O430" s="22">
        <v>1017.1985435894751</v>
      </c>
      <c r="P430" s="22">
        <f t="shared" si="64"/>
        <v>203.07351724220274</v>
      </c>
      <c r="Q430" s="22">
        <v>2777.0693256854333</v>
      </c>
      <c r="R430" s="22">
        <f t="shared" si="65"/>
        <v>49.820623702796674</v>
      </c>
      <c r="S430" s="22">
        <f t="shared" si="66"/>
        <v>252.89414094499941</v>
      </c>
      <c r="T430" s="23">
        <v>0.55859868298040061</v>
      </c>
      <c r="U430" s="24">
        <v>0.1</v>
      </c>
      <c r="V430" s="25">
        <f t="shared" si="71"/>
        <v>433.57652251136943</v>
      </c>
      <c r="W430" s="26" t="s">
        <v>29</v>
      </c>
    </row>
    <row r="431" spans="1:23" ht="89.25" x14ac:dyDescent="0.25">
      <c r="A431" s="17">
        <f t="shared" ca="1" si="67"/>
        <v>427</v>
      </c>
      <c r="B431" s="18" t="s">
        <v>139</v>
      </c>
      <c r="C431" s="18" t="s">
        <v>883</v>
      </c>
      <c r="D431" s="18"/>
      <c r="E431" s="18"/>
      <c r="F431" s="18"/>
      <c r="G431" s="18"/>
      <c r="H431" s="19" t="s">
        <v>884</v>
      </c>
      <c r="I431" s="18" t="s">
        <v>104</v>
      </c>
      <c r="J431" s="20">
        <v>1</v>
      </c>
      <c r="K431" s="20">
        <v>1.1499999999999999</v>
      </c>
      <c r="L431" s="21" t="s">
        <v>28</v>
      </c>
      <c r="M431" s="22">
        <v>0.1792</v>
      </c>
      <c r="N431" s="22">
        <v>1.5600000000000001E-2</v>
      </c>
      <c r="O431" s="22">
        <v>1017.1985435894751</v>
      </c>
      <c r="P431" s="22">
        <f t="shared" si="64"/>
        <v>209.62427586291901</v>
      </c>
      <c r="Q431" s="22">
        <v>2777.0693256854333</v>
      </c>
      <c r="R431" s="22">
        <f t="shared" si="65"/>
        <v>49.820623702796674</v>
      </c>
      <c r="S431" s="22">
        <f t="shared" si="66"/>
        <v>259.44489956571567</v>
      </c>
      <c r="T431" s="23">
        <v>0.55859868298040061</v>
      </c>
      <c r="U431" s="24">
        <v>0.1</v>
      </c>
      <c r="V431" s="25">
        <f t="shared" si="71"/>
        <v>444.80752664601744</v>
      </c>
      <c r="W431" s="26" t="s">
        <v>29</v>
      </c>
    </row>
    <row r="432" spans="1:23" ht="89.25" x14ac:dyDescent="0.25">
      <c r="A432" s="17">
        <f t="shared" ca="1" si="67"/>
        <v>428</v>
      </c>
      <c r="B432" s="18" t="s">
        <v>139</v>
      </c>
      <c r="C432" s="18" t="s">
        <v>885</v>
      </c>
      <c r="D432" s="18"/>
      <c r="E432" s="18"/>
      <c r="F432" s="18"/>
      <c r="G432" s="18"/>
      <c r="H432" s="19" t="s">
        <v>886</v>
      </c>
      <c r="I432" s="18" t="s">
        <v>104</v>
      </c>
      <c r="J432" s="20">
        <v>1</v>
      </c>
      <c r="K432" s="20">
        <v>1.1499999999999999</v>
      </c>
      <c r="L432" s="21" t="s">
        <v>28</v>
      </c>
      <c r="M432" s="22">
        <v>0.17499999999999999</v>
      </c>
      <c r="N432" s="22">
        <v>1.5600000000000001E-2</v>
      </c>
      <c r="O432" s="22">
        <v>1017.1985435894751</v>
      </c>
      <c r="P432" s="22">
        <f t="shared" si="64"/>
        <v>204.71120689738183</v>
      </c>
      <c r="Q432" s="22">
        <v>2777.0693256854333</v>
      </c>
      <c r="R432" s="22">
        <f t="shared" si="65"/>
        <v>49.820623702796674</v>
      </c>
      <c r="S432" s="22">
        <f t="shared" si="66"/>
        <v>254.53183060017849</v>
      </c>
      <c r="T432" s="23">
        <v>0.55859868298040061</v>
      </c>
      <c r="U432" s="24">
        <v>0.1</v>
      </c>
      <c r="V432" s="25">
        <f t="shared" si="71"/>
        <v>436.38427354503153</v>
      </c>
      <c r="W432" s="26" t="s">
        <v>29</v>
      </c>
    </row>
    <row r="433" spans="1:23" ht="89.25" x14ac:dyDescent="0.25">
      <c r="A433" s="17">
        <f t="shared" ca="1" si="67"/>
        <v>429</v>
      </c>
      <c r="B433" s="18" t="s">
        <v>139</v>
      </c>
      <c r="C433" s="18" t="s">
        <v>887</v>
      </c>
      <c r="D433" s="18"/>
      <c r="E433" s="18"/>
      <c r="F433" s="18"/>
      <c r="G433" s="18"/>
      <c r="H433" s="19" t="s">
        <v>888</v>
      </c>
      <c r="I433" s="18" t="s">
        <v>104</v>
      </c>
      <c r="J433" s="20">
        <v>1</v>
      </c>
      <c r="K433" s="20">
        <v>1.1499999999999999</v>
      </c>
      <c r="L433" s="21" t="s">
        <v>28</v>
      </c>
      <c r="M433" s="22">
        <v>0.17779999999999999</v>
      </c>
      <c r="N433" s="22">
        <v>1.5600000000000001E-2</v>
      </c>
      <c r="O433" s="22">
        <v>1017.1985435894751</v>
      </c>
      <c r="P433" s="22">
        <f t="shared" si="64"/>
        <v>207.98658620773995</v>
      </c>
      <c r="Q433" s="22">
        <v>2777.0693256854333</v>
      </c>
      <c r="R433" s="22">
        <f t="shared" si="65"/>
        <v>49.820623702796674</v>
      </c>
      <c r="S433" s="22">
        <f t="shared" si="66"/>
        <v>257.80720991053664</v>
      </c>
      <c r="T433" s="23">
        <v>0.55859868298040061</v>
      </c>
      <c r="U433" s="24">
        <v>0.1</v>
      </c>
      <c r="V433" s="25">
        <f t="shared" si="71"/>
        <v>441.99977561235551</v>
      </c>
      <c r="W433" s="26" t="s">
        <v>29</v>
      </c>
    </row>
    <row r="434" spans="1:23" ht="89.25" x14ac:dyDescent="0.25">
      <c r="A434" s="17">
        <f t="shared" ca="1" si="67"/>
        <v>430</v>
      </c>
      <c r="B434" s="18" t="s">
        <v>139</v>
      </c>
      <c r="C434" s="18" t="s">
        <v>889</v>
      </c>
      <c r="D434" s="18"/>
      <c r="E434" s="18"/>
      <c r="F434" s="18"/>
      <c r="G434" s="18"/>
      <c r="H434" s="19" t="s">
        <v>890</v>
      </c>
      <c r="I434" s="18" t="s">
        <v>104</v>
      </c>
      <c r="J434" s="20">
        <v>1</v>
      </c>
      <c r="K434" s="20">
        <v>1.1499999999999999</v>
      </c>
      <c r="L434" s="21" t="s">
        <v>28</v>
      </c>
      <c r="M434" s="22">
        <v>0.13649999999999998</v>
      </c>
      <c r="N434" s="22">
        <v>1.38E-2</v>
      </c>
      <c r="O434" s="22">
        <v>1017.1985435894751</v>
      </c>
      <c r="P434" s="22">
        <f t="shared" si="64"/>
        <v>159.67474137995779</v>
      </c>
      <c r="Q434" s="22">
        <v>2777.0693256854333</v>
      </c>
      <c r="R434" s="22">
        <f t="shared" si="65"/>
        <v>44.072090198627819</v>
      </c>
      <c r="S434" s="22">
        <f t="shared" si="66"/>
        <v>203.74683157858561</v>
      </c>
      <c r="T434" s="23">
        <v>0.55859868298040061</v>
      </c>
      <c r="U434" s="24">
        <v>0.1</v>
      </c>
      <c r="V434" s="25">
        <f t="shared" si="71"/>
        <v>349.31549769579431</v>
      </c>
      <c r="W434" s="26" t="s">
        <v>29</v>
      </c>
    </row>
    <row r="435" spans="1:23" ht="89.25" x14ac:dyDescent="0.25">
      <c r="A435" s="17">
        <f t="shared" ca="1" si="67"/>
        <v>431</v>
      </c>
      <c r="B435" s="18" t="s">
        <v>139</v>
      </c>
      <c r="C435" s="18" t="s">
        <v>891</v>
      </c>
      <c r="D435" s="18"/>
      <c r="E435" s="18"/>
      <c r="F435" s="18"/>
      <c r="G435" s="18"/>
      <c r="H435" s="19" t="s">
        <v>892</v>
      </c>
      <c r="I435" s="18" t="s">
        <v>104</v>
      </c>
      <c r="J435" s="20">
        <v>1</v>
      </c>
      <c r="K435" s="20">
        <v>1.1499999999999999</v>
      </c>
      <c r="L435" s="21" t="s">
        <v>28</v>
      </c>
      <c r="M435" s="22">
        <v>0.13159999999999999</v>
      </c>
      <c r="N435" s="22">
        <v>1.2599999999999998E-2</v>
      </c>
      <c r="O435" s="22">
        <v>1017.1985435894751</v>
      </c>
      <c r="P435" s="22">
        <f t="shared" si="64"/>
        <v>153.94282758683113</v>
      </c>
      <c r="Q435" s="22">
        <v>2777.0693256854333</v>
      </c>
      <c r="R435" s="22">
        <f t="shared" si="65"/>
        <v>40.239734529181924</v>
      </c>
      <c r="S435" s="22">
        <f t="shared" si="66"/>
        <v>194.18256211601306</v>
      </c>
      <c r="T435" s="23">
        <v>0.55859868298040061</v>
      </c>
      <c r="U435" s="24">
        <v>0.1</v>
      </c>
      <c r="V435" s="25">
        <f t="shared" si="71"/>
        <v>332.91795412895556</v>
      </c>
      <c r="W435" s="26" t="s">
        <v>29</v>
      </c>
    </row>
    <row r="436" spans="1:23" ht="89.25" x14ac:dyDescent="0.25">
      <c r="A436" s="17">
        <f t="shared" ca="1" si="67"/>
        <v>432</v>
      </c>
      <c r="B436" s="18" t="s">
        <v>139</v>
      </c>
      <c r="C436" s="18" t="s">
        <v>893</v>
      </c>
      <c r="D436" s="18"/>
      <c r="E436" s="18"/>
      <c r="F436" s="18"/>
      <c r="G436" s="18"/>
      <c r="H436" s="19" t="s">
        <v>894</v>
      </c>
      <c r="I436" s="18" t="s">
        <v>104</v>
      </c>
      <c r="J436" s="20">
        <v>1</v>
      </c>
      <c r="K436" s="20">
        <v>1.1499999999999999</v>
      </c>
      <c r="L436" s="21" t="s">
        <v>28</v>
      </c>
      <c r="M436" s="22">
        <v>0.14069999999999999</v>
      </c>
      <c r="N436" s="22">
        <v>1.3199999999999998E-2</v>
      </c>
      <c r="O436" s="22">
        <v>1017.1985435894751</v>
      </c>
      <c r="P436" s="22">
        <f t="shared" si="64"/>
        <v>164.587810345495</v>
      </c>
      <c r="Q436" s="22">
        <v>2777.0693256854333</v>
      </c>
      <c r="R436" s="22">
        <f t="shared" si="65"/>
        <v>42.155912363904868</v>
      </c>
      <c r="S436" s="22">
        <f t="shared" si="66"/>
        <v>206.74372270939986</v>
      </c>
      <c r="T436" s="23">
        <v>0.55859868298040061</v>
      </c>
      <c r="U436" s="24">
        <v>0.1</v>
      </c>
      <c r="V436" s="25">
        <f t="shared" si="71"/>
        <v>354.4535433222693</v>
      </c>
      <c r="W436" s="26" t="s">
        <v>29</v>
      </c>
    </row>
    <row r="437" spans="1:23" ht="89.25" x14ac:dyDescent="0.25">
      <c r="A437" s="17">
        <f t="shared" ca="1" si="67"/>
        <v>433</v>
      </c>
      <c r="B437" s="18" t="s">
        <v>139</v>
      </c>
      <c r="C437" s="18" t="s">
        <v>895</v>
      </c>
      <c r="D437" s="18"/>
      <c r="E437" s="18"/>
      <c r="F437" s="18"/>
      <c r="G437" s="18"/>
      <c r="H437" s="19" t="s">
        <v>896</v>
      </c>
      <c r="I437" s="18" t="s">
        <v>104</v>
      </c>
      <c r="J437" s="20">
        <v>1</v>
      </c>
      <c r="K437" s="20">
        <v>1.1499999999999999</v>
      </c>
      <c r="L437" s="21" t="s">
        <v>28</v>
      </c>
      <c r="M437" s="22">
        <v>0.1414</v>
      </c>
      <c r="N437" s="22">
        <v>1.3199999999999998E-2</v>
      </c>
      <c r="O437" s="22">
        <v>1017.1985435894751</v>
      </c>
      <c r="P437" s="22">
        <f t="shared" si="64"/>
        <v>165.40665517308452</v>
      </c>
      <c r="Q437" s="22">
        <v>2777.0693256854333</v>
      </c>
      <c r="R437" s="22">
        <f t="shared" si="65"/>
        <v>42.155912363904868</v>
      </c>
      <c r="S437" s="22">
        <f t="shared" si="66"/>
        <v>207.56256753698938</v>
      </c>
      <c r="T437" s="23">
        <v>0.55859868298040061</v>
      </c>
      <c r="U437" s="24">
        <v>0.1</v>
      </c>
      <c r="V437" s="25">
        <f t="shared" si="71"/>
        <v>355.85741883910032</v>
      </c>
      <c r="W437" s="26" t="s">
        <v>29</v>
      </c>
    </row>
    <row r="438" spans="1:23" ht="89.25" x14ac:dyDescent="0.25">
      <c r="A438" s="17">
        <f t="shared" ca="1" si="67"/>
        <v>434</v>
      </c>
      <c r="B438" s="18" t="s">
        <v>139</v>
      </c>
      <c r="C438" s="18" t="s">
        <v>897</v>
      </c>
      <c r="D438" s="18"/>
      <c r="E438" s="18"/>
      <c r="F438" s="18"/>
      <c r="G438" s="18"/>
      <c r="H438" s="19" t="s">
        <v>898</v>
      </c>
      <c r="I438" s="18" t="s">
        <v>104</v>
      </c>
      <c r="J438" s="20">
        <v>1</v>
      </c>
      <c r="K438" s="20">
        <v>1.1499999999999999</v>
      </c>
      <c r="L438" s="21" t="s">
        <v>28</v>
      </c>
      <c r="M438" s="22">
        <v>0.1414</v>
      </c>
      <c r="N438" s="22">
        <v>1.3199999999999998E-2</v>
      </c>
      <c r="O438" s="22">
        <v>1017.1985435894751</v>
      </c>
      <c r="P438" s="22">
        <f t="shared" si="64"/>
        <v>165.40665517308452</v>
      </c>
      <c r="Q438" s="22">
        <v>2777.0693256854333</v>
      </c>
      <c r="R438" s="22">
        <f t="shared" si="65"/>
        <v>42.155912363904868</v>
      </c>
      <c r="S438" s="22">
        <f t="shared" si="66"/>
        <v>207.56256753698938</v>
      </c>
      <c r="T438" s="23">
        <v>0.55859868298040061</v>
      </c>
      <c r="U438" s="24">
        <v>0.1</v>
      </c>
      <c r="V438" s="25">
        <f t="shared" si="71"/>
        <v>355.85741883910032</v>
      </c>
      <c r="W438" s="26" t="s">
        <v>29</v>
      </c>
    </row>
    <row r="439" spans="1:23" ht="89.25" x14ac:dyDescent="0.25">
      <c r="A439" s="17">
        <f t="shared" ca="1" si="67"/>
        <v>435</v>
      </c>
      <c r="B439" s="18" t="s">
        <v>139</v>
      </c>
      <c r="C439" s="18" t="s">
        <v>899</v>
      </c>
      <c r="D439" s="18"/>
      <c r="E439" s="18"/>
      <c r="F439" s="18"/>
      <c r="G439" s="18"/>
      <c r="H439" s="19" t="s">
        <v>900</v>
      </c>
      <c r="I439" s="18" t="s">
        <v>104</v>
      </c>
      <c r="J439" s="20">
        <v>1</v>
      </c>
      <c r="K439" s="20">
        <v>1.1499999999999999</v>
      </c>
      <c r="L439" s="21" t="s">
        <v>28</v>
      </c>
      <c r="M439" s="22">
        <v>0.16869999999999999</v>
      </c>
      <c r="N439" s="22">
        <v>1.5600000000000001E-2</v>
      </c>
      <c r="O439" s="22">
        <v>1017.1985435894751</v>
      </c>
      <c r="P439" s="22">
        <f t="shared" si="64"/>
        <v>197.34160344907608</v>
      </c>
      <c r="Q439" s="22">
        <v>2777.0693256854333</v>
      </c>
      <c r="R439" s="22">
        <f t="shared" si="65"/>
        <v>49.820623702796674</v>
      </c>
      <c r="S439" s="22">
        <f t="shared" si="66"/>
        <v>247.16222715187274</v>
      </c>
      <c r="T439" s="23">
        <v>0.55859868298040061</v>
      </c>
      <c r="U439" s="24">
        <v>0.1</v>
      </c>
      <c r="V439" s="25">
        <f t="shared" si="71"/>
        <v>423.74939389355262</v>
      </c>
      <c r="W439" s="26" t="s">
        <v>29</v>
      </c>
    </row>
    <row r="440" spans="1:23" ht="89.25" x14ac:dyDescent="0.25">
      <c r="A440" s="17">
        <f t="shared" ca="1" si="67"/>
        <v>436</v>
      </c>
      <c r="B440" s="18" t="s">
        <v>139</v>
      </c>
      <c r="C440" s="18" t="s">
        <v>901</v>
      </c>
      <c r="D440" s="18"/>
      <c r="E440" s="18"/>
      <c r="F440" s="18"/>
      <c r="G440" s="18"/>
      <c r="H440" s="19" t="s">
        <v>902</v>
      </c>
      <c r="I440" s="18" t="s">
        <v>104</v>
      </c>
      <c r="J440" s="20">
        <v>1</v>
      </c>
      <c r="K440" s="20">
        <v>1.1499999999999999</v>
      </c>
      <c r="L440" s="21" t="s">
        <v>28</v>
      </c>
      <c r="M440" s="22">
        <v>0.1792</v>
      </c>
      <c r="N440" s="22">
        <v>1.5600000000000001E-2</v>
      </c>
      <c r="O440" s="22">
        <v>1017.1985435894751</v>
      </c>
      <c r="P440" s="22">
        <f t="shared" si="64"/>
        <v>209.62427586291901</v>
      </c>
      <c r="Q440" s="22">
        <v>2777.0693256854333</v>
      </c>
      <c r="R440" s="22">
        <f t="shared" si="65"/>
        <v>49.820623702796674</v>
      </c>
      <c r="S440" s="22">
        <f t="shared" si="66"/>
        <v>259.44489956571567</v>
      </c>
      <c r="T440" s="23">
        <v>0.55859868298040061</v>
      </c>
      <c r="U440" s="24">
        <v>0.1</v>
      </c>
      <c r="V440" s="25">
        <f t="shared" si="71"/>
        <v>444.80752664601744</v>
      </c>
      <c r="W440" s="26" t="s">
        <v>29</v>
      </c>
    </row>
    <row r="441" spans="1:23" ht="89.25" x14ac:dyDescent="0.25">
      <c r="A441" s="17">
        <f t="shared" ca="1" si="67"/>
        <v>437</v>
      </c>
      <c r="B441" s="18" t="s">
        <v>139</v>
      </c>
      <c r="C441" s="18" t="s">
        <v>903</v>
      </c>
      <c r="D441" s="18"/>
      <c r="E441" s="18"/>
      <c r="F441" s="18"/>
      <c r="G441" s="18"/>
      <c r="H441" s="19" t="s">
        <v>904</v>
      </c>
      <c r="I441" s="18" t="s">
        <v>104</v>
      </c>
      <c r="J441" s="20">
        <v>1</v>
      </c>
      <c r="K441" s="20">
        <v>1.1499999999999999</v>
      </c>
      <c r="L441" s="21" t="s">
        <v>28</v>
      </c>
      <c r="M441" s="22">
        <v>0.1694</v>
      </c>
      <c r="N441" s="22">
        <v>1.5600000000000001E-2</v>
      </c>
      <c r="O441" s="22">
        <v>1017.1985435894751</v>
      </c>
      <c r="P441" s="22">
        <f t="shared" si="64"/>
        <v>198.16044827666562</v>
      </c>
      <c r="Q441" s="22">
        <v>2777.0693256854333</v>
      </c>
      <c r="R441" s="22">
        <f t="shared" si="65"/>
        <v>49.820623702796674</v>
      </c>
      <c r="S441" s="22">
        <f t="shared" si="66"/>
        <v>247.98107197946229</v>
      </c>
      <c r="T441" s="23">
        <v>0.55859868298040061</v>
      </c>
      <c r="U441" s="24">
        <v>0.1</v>
      </c>
      <c r="V441" s="25">
        <f t="shared" si="71"/>
        <v>425.15326941038364</v>
      </c>
      <c r="W441" s="26" t="s">
        <v>29</v>
      </c>
    </row>
    <row r="442" spans="1:23" ht="89.25" x14ac:dyDescent="0.25">
      <c r="A442" s="17">
        <f t="shared" ca="1" si="67"/>
        <v>438</v>
      </c>
      <c r="B442" s="18" t="s">
        <v>139</v>
      </c>
      <c r="C442" s="18" t="s">
        <v>905</v>
      </c>
      <c r="D442" s="18"/>
      <c r="E442" s="18"/>
      <c r="F442" s="18"/>
      <c r="G442" s="18"/>
      <c r="H442" s="19" t="s">
        <v>906</v>
      </c>
      <c r="I442" s="18" t="s">
        <v>104</v>
      </c>
      <c r="J442" s="20">
        <v>1</v>
      </c>
      <c r="K442" s="20">
        <v>1.1499999999999999</v>
      </c>
      <c r="L442" s="21" t="s">
        <v>28</v>
      </c>
      <c r="M442" s="22">
        <v>0.17499999999999999</v>
      </c>
      <c r="N442" s="22">
        <v>1.5600000000000001E-2</v>
      </c>
      <c r="O442" s="22">
        <v>1017.1985435894751</v>
      </c>
      <c r="P442" s="22">
        <f t="shared" si="64"/>
        <v>204.71120689738183</v>
      </c>
      <c r="Q442" s="22">
        <v>2777.0693256854333</v>
      </c>
      <c r="R442" s="22">
        <f t="shared" si="65"/>
        <v>49.820623702796674</v>
      </c>
      <c r="S442" s="22">
        <f t="shared" si="66"/>
        <v>254.53183060017849</v>
      </c>
      <c r="T442" s="23">
        <v>0.55859868298040061</v>
      </c>
      <c r="U442" s="24">
        <v>0.1</v>
      </c>
      <c r="V442" s="25">
        <f t="shared" si="71"/>
        <v>436.38427354503153</v>
      </c>
      <c r="W442" s="26" t="s">
        <v>29</v>
      </c>
    </row>
    <row r="443" spans="1:23" ht="89.25" x14ac:dyDescent="0.25">
      <c r="A443" s="17">
        <f t="shared" ca="1" si="67"/>
        <v>439</v>
      </c>
      <c r="B443" s="18" t="s">
        <v>139</v>
      </c>
      <c r="C443" s="18" t="s">
        <v>907</v>
      </c>
      <c r="D443" s="18"/>
      <c r="E443" s="18"/>
      <c r="F443" s="18"/>
      <c r="G443" s="18"/>
      <c r="H443" s="19" t="s">
        <v>908</v>
      </c>
      <c r="I443" s="18" t="s">
        <v>104</v>
      </c>
      <c r="J443" s="20">
        <v>1</v>
      </c>
      <c r="K443" s="20">
        <v>1.1499999999999999</v>
      </c>
      <c r="L443" s="21" t="s">
        <v>28</v>
      </c>
      <c r="M443" s="22">
        <v>0.17779999999999999</v>
      </c>
      <c r="N443" s="22">
        <v>1.5600000000000001E-2</v>
      </c>
      <c r="O443" s="22">
        <v>1017.1985435894751</v>
      </c>
      <c r="P443" s="22">
        <f t="shared" si="64"/>
        <v>207.98658620773995</v>
      </c>
      <c r="Q443" s="22">
        <v>2777.0693256854333</v>
      </c>
      <c r="R443" s="22">
        <f t="shared" si="65"/>
        <v>49.820623702796674</v>
      </c>
      <c r="S443" s="22">
        <f t="shared" si="66"/>
        <v>257.80720991053664</v>
      </c>
      <c r="T443" s="23">
        <v>0.55859868298040061</v>
      </c>
      <c r="U443" s="24">
        <v>0.1</v>
      </c>
      <c r="V443" s="25">
        <f t="shared" si="71"/>
        <v>441.99977561235551</v>
      </c>
      <c r="W443" s="26" t="s">
        <v>29</v>
      </c>
    </row>
    <row r="444" spans="1:23" ht="89.25" x14ac:dyDescent="0.25">
      <c r="A444" s="17">
        <f t="shared" ca="1" si="67"/>
        <v>440</v>
      </c>
      <c r="B444" s="18" t="s">
        <v>139</v>
      </c>
      <c r="C444" s="18" t="s">
        <v>909</v>
      </c>
      <c r="D444" s="18"/>
      <c r="E444" s="18"/>
      <c r="F444" s="18"/>
      <c r="G444" s="18"/>
      <c r="H444" s="19" t="s">
        <v>910</v>
      </c>
      <c r="I444" s="18" t="s">
        <v>104</v>
      </c>
      <c r="J444" s="20">
        <v>1</v>
      </c>
      <c r="K444" s="20">
        <v>1.1499999999999999</v>
      </c>
      <c r="L444" s="21" t="s">
        <v>28</v>
      </c>
      <c r="M444" s="22">
        <v>0.189</v>
      </c>
      <c r="N444" s="22">
        <v>1.8599999999999998E-2</v>
      </c>
      <c r="O444" s="22">
        <v>1017.1985435894751</v>
      </c>
      <c r="P444" s="22">
        <f t="shared" si="64"/>
        <v>221.08810344917239</v>
      </c>
      <c r="Q444" s="22">
        <v>2777.0693256854333</v>
      </c>
      <c r="R444" s="22">
        <f t="shared" si="65"/>
        <v>59.40151287641141</v>
      </c>
      <c r="S444" s="22">
        <f t="shared" si="66"/>
        <v>280.48961632558382</v>
      </c>
      <c r="T444" s="23">
        <v>0.55859868298040061</v>
      </c>
      <c r="U444" s="24">
        <v>0.1</v>
      </c>
      <c r="V444" s="25">
        <f t="shared" si="71"/>
        <v>480.88782125420607</v>
      </c>
      <c r="W444" s="26" t="s">
        <v>29</v>
      </c>
    </row>
    <row r="445" spans="1:23" ht="89.25" x14ac:dyDescent="0.25">
      <c r="A445" s="17">
        <f t="shared" ca="1" si="67"/>
        <v>441</v>
      </c>
      <c r="B445" s="18" t="s">
        <v>139</v>
      </c>
      <c r="C445" s="18" t="s">
        <v>911</v>
      </c>
      <c r="D445" s="18"/>
      <c r="E445" s="18"/>
      <c r="F445" s="18"/>
      <c r="G445" s="18"/>
      <c r="H445" s="19" t="s">
        <v>912</v>
      </c>
      <c r="I445" s="18" t="s">
        <v>104</v>
      </c>
      <c r="J445" s="20">
        <v>1</v>
      </c>
      <c r="K445" s="20">
        <v>1.1499999999999999</v>
      </c>
      <c r="L445" s="21" t="s">
        <v>28</v>
      </c>
      <c r="M445" s="22">
        <v>0.1323</v>
      </c>
      <c r="N445" s="22">
        <v>1.2599999999999998E-2</v>
      </c>
      <c r="O445" s="22">
        <v>1017.1985435894751</v>
      </c>
      <c r="P445" s="22">
        <f t="shared" si="64"/>
        <v>154.7616724144207</v>
      </c>
      <c r="Q445" s="22">
        <v>2777.0693256854333</v>
      </c>
      <c r="R445" s="22">
        <f t="shared" si="65"/>
        <v>40.239734529181924</v>
      </c>
      <c r="S445" s="22">
        <f t="shared" si="66"/>
        <v>195.00140694360263</v>
      </c>
      <c r="T445" s="23">
        <v>0.55859868298040061</v>
      </c>
      <c r="U445" s="24">
        <v>0.1</v>
      </c>
      <c r="V445" s="25">
        <f t="shared" si="71"/>
        <v>334.32182964578658</v>
      </c>
      <c r="W445" s="26" t="s">
        <v>29</v>
      </c>
    </row>
    <row r="446" spans="1:23" ht="89.25" x14ac:dyDescent="0.25">
      <c r="A446" s="17">
        <f t="shared" ca="1" si="67"/>
        <v>442</v>
      </c>
      <c r="B446" s="18" t="s">
        <v>139</v>
      </c>
      <c r="C446" s="18" t="s">
        <v>913</v>
      </c>
      <c r="D446" s="18"/>
      <c r="E446" s="18"/>
      <c r="F446" s="18"/>
      <c r="G446" s="18"/>
      <c r="H446" s="19" t="s">
        <v>914</v>
      </c>
      <c r="I446" s="18" t="s">
        <v>104</v>
      </c>
      <c r="J446" s="20">
        <v>1</v>
      </c>
      <c r="K446" s="20">
        <v>1.1499999999999999</v>
      </c>
      <c r="L446" s="21" t="s">
        <v>28</v>
      </c>
      <c r="M446" s="22">
        <v>0.13649999999999998</v>
      </c>
      <c r="N446" s="22">
        <v>1.3199999999999998E-2</v>
      </c>
      <c r="O446" s="22">
        <v>1017.1985435894751</v>
      </c>
      <c r="P446" s="22">
        <f t="shared" si="64"/>
        <v>159.67474137995779</v>
      </c>
      <c r="Q446" s="22">
        <v>2777.0693256854333</v>
      </c>
      <c r="R446" s="22">
        <f t="shared" si="65"/>
        <v>42.155912363904868</v>
      </c>
      <c r="S446" s="22">
        <f t="shared" si="66"/>
        <v>201.83065374386265</v>
      </c>
      <c r="T446" s="23">
        <v>0.55859868298040061</v>
      </c>
      <c r="U446" s="24">
        <v>0.1</v>
      </c>
      <c r="V446" s="25">
        <f t="shared" si="71"/>
        <v>346.03029022128334</v>
      </c>
      <c r="W446" s="26" t="s">
        <v>29</v>
      </c>
    </row>
    <row r="447" spans="1:23" ht="89.25" x14ac:dyDescent="0.25">
      <c r="A447" s="17">
        <f t="shared" ca="1" si="67"/>
        <v>443</v>
      </c>
      <c r="B447" s="18" t="s">
        <v>139</v>
      </c>
      <c r="C447" s="18" t="s">
        <v>915</v>
      </c>
      <c r="D447" s="18"/>
      <c r="E447" s="18"/>
      <c r="F447" s="18"/>
      <c r="G447" s="18"/>
      <c r="H447" s="19" t="s">
        <v>916</v>
      </c>
      <c r="I447" s="18" t="s">
        <v>104</v>
      </c>
      <c r="J447" s="20">
        <v>1</v>
      </c>
      <c r="K447" s="20">
        <v>1.1499999999999999</v>
      </c>
      <c r="L447" s="21" t="s">
        <v>28</v>
      </c>
      <c r="M447" s="22">
        <v>0.1414</v>
      </c>
      <c r="N447" s="22">
        <v>1.3199999999999998E-2</v>
      </c>
      <c r="O447" s="22">
        <v>1017.1985435894751</v>
      </c>
      <c r="P447" s="22">
        <f t="shared" ref="P447:P510" si="72">O447*M447*K447</f>
        <v>165.40665517308452</v>
      </c>
      <c r="Q447" s="22">
        <v>2777.0693256854333</v>
      </c>
      <c r="R447" s="22">
        <f t="shared" ref="R447:R510" si="73">N447*Q447*K447</f>
        <v>42.155912363904868</v>
      </c>
      <c r="S447" s="22">
        <f t="shared" ref="S447:S510" si="74">P447+R447</f>
        <v>207.56256753698938</v>
      </c>
      <c r="T447" s="23">
        <v>0.55859868298040061</v>
      </c>
      <c r="U447" s="24">
        <v>0.1</v>
      </c>
      <c r="V447" s="25">
        <f t="shared" si="71"/>
        <v>355.85741883910032</v>
      </c>
      <c r="W447" s="26" t="s">
        <v>29</v>
      </c>
    </row>
    <row r="448" spans="1:23" ht="89.25" x14ac:dyDescent="0.25">
      <c r="A448" s="17">
        <f t="shared" ca="1" si="67"/>
        <v>444</v>
      </c>
      <c r="B448" s="18" t="s">
        <v>139</v>
      </c>
      <c r="C448" s="18" t="s">
        <v>917</v>
      </c>
      <c r="D448" s="18"/>
      <c r="E448" s="18"/>
      <c r="F448" s="18"/>
      <c r="G448" s="18"/>
      <c r="H448" s="19" t="s">
        <v>918</v>
      </c>
      <c r="I448" s="18" t="s">
        <v>104</v>
      </c>
      <c r="J448" s="20">
        <v>1</v>
      </c>
      <c r="K448" s="20">
        <v>1.1499999999999999</v>
      </c>
      <c r="L448" s="21" t="s">
        <v>28</v>
      </c>
      <c r="M448" s="22">
        <v>0.1414</v>
      </c>
      <c r="N448" s="22">
        <v>1.3199999999999998E-2</v>
      </c>
      <c r="O448" s="22">
        <v>1017.1985435894751</v>
      </c>
      <c r="P448" s="22">
        <f t="shared" si="72"/>
        <v>165.40665517308452</v>
      </c>
      <c r="Q448" s="22">
        <v>2777.0693256854333</v>
      </c>
      <c r="R448" s="22">
        <f t="shared" si="73"/>
        <v>42.155912363904868</v>
      </c>
      <c r="S448" s="22">
        <f t="shared" si="74"/>
        <v>207.56256753698938</v>
      </c>
      <c r="T448" s="23">
        <v>0.55859868298040061</v>
      </c>
      <c r="U448" s="24">
        <v>0.1</v>
      </c>
      <c r="V448" s="25">
        <f t="shared" si="71"/>
        <v>355.85741883910032</v>
      </c>
      <c r="W448" s="26" t="s">
        <v>29</v>
      </c>
    </row>
    <row r="449" spans="1:23" ht="89.25" x14ac:dyDescent="0.25">
      <c r="A449" s="17">
        <f t="shared" ca="1" si="67"/>
        <v>445</v>
      </c>
      <c r="B449" s="18" t="s">
        <v>139</v>
      </c>
      <c r="C449" s="18" t="s">
        <v>919</v>
      </c>
      <c r="D449" s="18"/>
      <c r="E449" s="18"/>
      <c r="F449" s="18"/>
      <c r="G449" s="18"/>
      <c r="H449" s="19" t="s">
        <v>920</v>
      </c>
      <c r="I449" s="18" t="s">
        <v>104</v>
      </c>
      <c r="J449" s="20">
        <v>1</v>
      </c>
      <c r="K449" s="20">
        <v>1.1499999999999999</v>
      </c>
      <c r="L449" s="21" t="s">
        <v>28</v>
      </c>
      <c r="M449" s="22">
        <v>0.16869999999999999</v>
      </c>
      <c r="N449" s="22">
        <v>1.5600000000000001E-2</v>
      </c>
      <c r="O449" s="22">
        <v>1017.1985435894751</v>
      </c>
      <c r="P449" s="22">
        <f t="shared" si="72"/>
        <v>197.34160344907608</v>
      </c>
      <c r="Q449" s="22">
        <v>2777.0693256854333</v>
      </c>
      <c r="R449" s="22">
        <f t="shared" si="73"/>
        <v>49.820623702796674</v>
      </c>
      <c r="S449" s="22">
        <f t="shared" si="74"/>
        <v>247.16222715187274</v>
      </c>
      <c r="T449" s="23">
        <v>0.55859868298040061</v>
      </c>
      <c r="U449" s="24">
        <v>0.1</v>
      </c>
      <c r="V449" s="25">
        <f t="shared" si="71"/>
        <v>423.74939389355262</v>
      </c>
      <c r="W449" s="26" t="s">
        <v>29</v>
      </c>
    </row>
    <row r="450" spans="1:23" ht="89.25" x14ac:dyDescent="0.25">
      <c r="A450" s="17">
        <f t="shared" ca="1" si="67"/>
        <v>446</v>
      </c>
      <c r="B450" s="18" t="s">
        <v>139</v>
      </c>
      <c r="C450" s="18" t="s">
        <v>921</v>
      </c>
      <c r="D450" s="18"/>
      <c r="E450" s="18"/>
      <c r="F450" s="18"/>
      <c r="G450" s="18"/>
      <c r="H450" s="19" t="s">
        <v>922</v>
      </c>
      <c r="I450" s="18" t="s">
        <v>104</v>
      </c>
      <c r="J450" s="20">
        <v>1</v>
      </c>
      <c r="K450" s="20">
        <v>1.1499999999999999</v>
      </c>
      <c r="L450" s="21" t="s">
        <v>28</v>
      </c>
      <c r="M450" s="22">
        <v>0.17359999999999998</v>
      </c>
      <c r="N450" s="22">
        <v>1.5600000000000001E-2</v>
      </c>
      <c r="O450" s="22">
        <v>1017.1985435894751</v>
      </c>
      <c r="P450" s="22">
        <f t="shared" si="72"/>
        <v>203.07351724220274</v>
      </c>
      <c r="Q450" s="22">
        <v>2777.0693256854333</v>
      </c>
      <c r="R450" s="22">
        <f t="shared" si="73"/>
        <v>49.820623702796674</v>
      </c>
      <c r="S450" s="22">
        <f t="shared" si="74"/>
        <v>252.89414094499941</v>
      </c>
      <c r="T450" s="23">
        <v>0.55859868298040061</v>
      </c>
      <c r="U450" s="24">
        <v>0.1</v>
      </c>
      <c r="V450" s="25">
        <f t="shared" si="71"/>
        <v>433.57652251136943</v>
      </c>
      <c r="W450" s="26" t="s">
        <v>29</v>
      </c>
    </row>
    <row r="451" spans="1:23" ht="89.25" x14ac:dyDescent="0.25">
      <c r="A451" s="17">
        <f t="shared" ref="A451:A514" ca="1" si="75">CELL("строка",A451)-4</f>
        <v>447</v>
      </c>
      <c r="B451" s="18" t="s">
        <v>139</v>
      </c>
      <c r="C451" s="18" t="s">
        <v>923</v>
      </c>
      <c r="D451" s="18"/>
      <c r="E451" s="18"/>
      <c r="F451" s="18"/>
      <c r="G451" s="18"/>
      <c r="H451" s="19" t="s">
        <v>924</v>
      </c>
      <c r="I451" s="18" t="s">
        <v>104</v>
      </c>
      <c r="J451" s="20">
        <v>1</v>
      </c>
      <c r="K451" s="20">
        <v>1.1499999999999999</v>
      </c>
      <c r="L451" s="21" t="s">
        <v>28</v>
      </c>
      <c r="M451" s="22">
        <v>0.1694</v>
      </c>
      <c r="N451" s="22">
        <v>1.5600000000000001E-2</v>
      </c>
      <c r="O451" s="22">
        <v>1017.1985435894751</v>
      </c>
      <c r="P451" s="22">
        <f t="shared" si="72"/>
        <v>198.16044827666562</v>
      </c>
      <c r="Q451" s="22">
        <v>2777.0693256854333</v>
      </c>
      <c r="R451" s="22">
        <f t="shared" si="73"/>
        <v>49.820623702796674</v>
      </c>
      <c r="S451" s="22">
        <f t="shared" si="74"/>
        <v>247.98107197946229</v>
      </c>
      <c r="T451" s="23">
        <v>0.55859868298040061</v>
      </c>
      <c r="U451" s="24">
        <v>0.1</v>
      </c>
      <c r="V451" s="25">
        <f t="shared" si="71"/>
        <v>425.15326941038364</v>
      </c>
      <c r="W451" s="26" t="s">
        <v>29</v>
      </c>
    </row>
    <row r="452" spans="1:23" ht="89.25" x14ac:dyDescent="0.25">
      <c r="A452" s="17">
        <f t="shared" ca="1" si="75"/>
        <v>448</v>
      </c>
      <c r="B452" s="18" t="s">
        <v>139</v>
      </c>
      <c r="C452" s="18" t="s">
        <v>925</v>
      </c>
      <c r="D452" s="18"/>
      <c r="E452" s="18"/>
      <c r="F452" s="18"/>
      <c r="G452" s="18"/>
      <c r="H452" s="19" t="s">
        <v>926</v>
      </c>
      <c r="I452" s="18" t="s">
        <v>104</v>
      </c>
      <c r="J452" s="20">
        <v>1</v>
      </c>
      <c r="K452" s="20">
        <v>1.1499999999999999</v>
      </c>
      <c r="L452" s="21" t="s">
        <v>28</v>
      </c>
      <c r="M452" s="22">
        <v>0.17499999999999999</v>
      </c>
      <c r="N452" s="22">
        <v>1.5600000000000001E-2</v>
      </c>
      <c r="O452" s="22">
        <v>1017.1985435894751</v>
      </c>
      <c r="P452" s="22">
        <f t="shared" si="72"/>
        <v>204.71120689738183</v>
      </c>
      <c r="Q452" s="22">
        <v>2777.0693256854333</v>
      </c>
      <c r="R452" s="22">
        <f t="shared" si="73"/>
        <v>49.820623702796674</v>
      </c>
      <c r="S452" s="22">
        <f t="shared" si="74"/>
        <v>254.53183060017849</v>
      </c>
      <c r="T452" s="23">
        <v>0.55859868298040061</v>
      </c>
      <c r="U452" s="24">
        <v>0.1</v>
      </c>
      <c r="V452" s="25">
        <f t="shared" si="71"/>
        <v>436.38427354503153</v>
      </c>
      <c r="W452" s="26" t="s">
        <v>29</v>
      </c>
    </row>
    <row r="453" spans="1:23" ht="89.25" x14ac:dyDescent="0.25">
      <c r="A453" s="17">
        <f t="shared" ca="1" si="75"/>
        <v>449</v>
      </c>
      <c r="B453" s="18" t="s">
        <v>139</v>
      </c>
      <c r="C453" s="18" t="s">
        <v>927</v>
      </c>
      <c r="D453" s="18"/>
      <c r="E453" s="18"/>
      <c r="F453" s="18"/>
      <c r="G453" s="18"/>
      <c r="H453" s="19" t="s">
        <v>928</v>
      </c>
      <c r="I453" s="18" t="s">
        <v>104</v>
      </c>
      <c r="J453" s="20">
        <v>1</v>
      </c>
      <c r="K453" s="20">
        <v>1.1499999999999999</v>
      </c>
      <c r="L453" s="21" t="s">
        <v>28</v>
      </c>
      <c r="M453" s="22">
        <v>0.17779999999999999</v>
      </c>
      <c r="N453" s="22">
        <v>1.5600000000000001E-2</v>
      </c>
      <c r="O453" s="22">
        <v>1017.1985435894751</v>
      </c>
      <c r="P453" s="22">
        <f t="shared" si="72"/>
        <v>207.98658620773995</v>
      </c>
      <c r="Q453" s="22">
        <v>2777.0693256854333</v>
      </c>
      <c r="R453" s="22">
        <f t="shared" si="73"/>
        <v>49.820623702796674</v>
      </c>
      <c r="S453" s="22">
        <f t="shared" si="74"/>
        <v>257.80720991053664</v>
      </c>
      <c r="T453" s="23">
        <v>0.55859868298040061</v>
      </c>
      <c r="U453" s="24">
        <v>0.1</v>
      </c>
      <c r="V453" s="25">
        <f t="shared" si="71"/>
        <v>441.99977561235551</v>
      </c>
      <c r="W453" s="26" t="s">
        <v>29</v>
      </c>
    </row>
    <row r="454" spans="1:23" ht="89.25" x14ac:dyDescent="0.25">
      <c r="A454" s="17">
        <f t="shared" ca="1" si="75"/>
        <v>450</v>
      </c>
      <c r="B454" s="18" t="s">
        <v>139</v>
      </c>
      <c r="C454" s="18" t="s">
        <v>929</v>
      </c>
      <c r="D454" s="18"/>
      <c r="E454" s="18"/>
      <c r="F454" s="18"/>
      <c r="G454" s="18"/>
      <c r="H454" s="19" t="s">
        <v>930</v>
      </c>
      <c r="I454" s="18" t="s">
        <v>104</v>
      </c>
      <c r="J454" s="20">
        <v>1</v>
      </c>
      <c r="K454" s="20">
        <v>1.1499999999999999</v>
      </c>
      <c r="L454" s="21" t="s">
        <v>28</v>
      </c>
      <c r="M454" s="22">
        <v>0.18340000000000001</v>
      </c>
      <c r="N454" s="22">
        <v>1.6200000000000003E-2</v>
      </c>
      <c r="O454" s="22">
        <v>1017.1985435894751</v>
      </c>
      <c r="P454" s="22">
        <f t="shared" si="72"/>
        <v>214.53734482845618</v>
      </c>
      <c r="Q454" s="22">
        <v>2777.0693256854333</v>
      </c>
      <c r="R454" s="22">
        <f t="shared" si="73"/>
        <v>51.736801537519632</v>
      </c>
      <c r="S454" s="22">
        <f t="shared" si="74"/>
        <v>266.27414636597581</v>
      </c>
      <c r="T454" s="23">
        <v>0.55859868298040061</v>
      </c>
      <c r="U454" s="24">
        <v>0.1</v>
      </c>
      <c r="V454" s="25">
        <f t="shared" si="71"/>
        <v>456.51598722151437</v>
      </c>
      <c r="W454" s="26" t="s">
        <v>29</v>
      </c>
    </row>
    <row r="455" spans="1:23" ht="89.25" x14ac:dyDescent="0.25">
      <c r="A455" s="17">
        <f t="shared" ca="1" si="75"/>
        <v>451</v>
      </c>
      <c r="B455" s="18" t="s">
        <v>139</v>
      </c>
      <c r="C455" s="18" t="s">
        <v>931</v>
      </c>
      <c r="D455" s="18"/>
      <c r="E455" s="18"/>
      <c r="F455" s="18"/>
      <c r="G455" s="18"/>
      <c r="H455" s="19" t="s">
        <v>932</v>
      </c>
      <c r="I455" s="18" t="s">
        <v>104</v>
      </c>
      <c r="J455" s="20">
        <v>1</v>
      </c>
      <c r="K455" s="20">
        <v>1.1499999999999999</v>
      </c>
      <c r="L455" s="21" t="s">
        <v>28</v>
      </c>
      <c r="M455" s="22">
        <v>0.22259999999999999</v>
      </c>
      <c r="N455" s="22">
        <v>1.9799999999999995E-2</v>
      </c>
      <c r="O455" s="22">
        <v>1017.1985435894751</v>
      </c>
      <c r="P455" s="22">
        <f t="shared" si="72"/>
        <v>260.39265517346968</v>
      </c>
      <c r="Q455" s="22">
        <v>2777.0693256854333</v>
      </c>
      <c r="R455" s="22">
        <f t="shared" si="73"/>
        <v>63.233868545857298</v>
      </c>
      <c r="S455" s="22">
        <f t="shared" si="74"/>
        <v>323.626523719327</v>
      </c>
      <c r="T455" s="23">
        <v>0.55859868298040061</v>
      </c>
      <c r="U455" s="24">
        <v>0.1</v>
      </c>
      <c r="V455" s="25">
        <f t="shared" si="71"/>
        <v>554.84426101111535</v>
      </c>
      <c r="W455" s="26" t="s">
        <v>29</v>
      </c>
    </row>
    <row r="456" spans="1:23" ht="89.25" x14ac:dyDescent="0.25">
      <c r="A456" s="17">
        <f t="shared" ca="1" si="75"/>
        <v>452</v>
      </c>
      <c r="B456" s="18" t="s">
        <v>139</v>
      </c>
      <c r="C456" s="18" t="s">
        <v>933</v>
      </c>
      <c r="D456" s="18"/>
      <c r="E456" s="18"/>
      <c r="F456" s="18"/>
      <c r="G456" s="18"/>
      <c r="H456" s="19" t="s">
        <v>934</v>
      </c>
      <c r="I456" s="18" t="s">
        <v>104</v>
      </c>
      <c r="J456" s="20">
        <v>1</v>
      </c>
      <c r="K456" s="20">
        <v>1.1499999999999999</v>
      </c>
      <c r="L456" s="21" t="s">
        <v>28</v>
      </c>
      <c r="M456" s="22">
        <v>0.1323</v>
      </c>
      <c r="N456" s="22">
        <v>1.3199999999999998E-2</v>
      </c>
      <c r="O456" s="22">
        <v>1017.1985435894751</v>
      </c>
      <c r="P456" s="22">
        <f t="shared" si="72"/>
        <v>154.7616724144207</v>
      </c>
      <c r="Q456" s="22">
        <v>2777.0693256854333</v>
      </c>
      <c r="R456" s="22">
        <f t="shared" si="73"/>
        <v>42.155912363904868</v>
      </c>
      <c r="S456" s="22">
        <f t="shared" si="74"/>
        <v>196.91758477832556</v>
      </c>
      <c r="T456" s="23">
        <v>0.55859868298040061</v>
      </c>
      <c r="U456" s="24">
        <v>0.1</v>
      </c>
      <c r="V456" s="25">
        <f t="shared" si="71"/>
        <v>337.60703712029755</v>
      </c>
      <c r="W456" s="26" t="s">
        <v>29</v>
      </c>
    </row>
    <row r="457" spans="1:23" ht="89.25" x14ac:dyDescent="0.25">
      <c r="A457" s="17">
        <f t="shared" ca="1" si="75"/>
        <v>453</v>
      </c>
      <c r="B457" s="18" t="s">
        <v>139</v>
      </c>
      <c r="C457" s="18" t="s">
        <v>935</v>
      </c>
      <c r="D457" s="18"/>
      <c r="E457" s="18"/>
      <c r="F457" s="18"/>
      <c r="G457" s="18"/>
      <c r="H457" s="19" t="s">
        <v>936</v>
      </c>
      <c r="I457" s="18" t="s">
        <v>104</v>
      </c>
      <c r="J457" s="20">
        <v>1</v>
      </c>
      <c r="K457" s="20">
        <v>1.1499999999999999</v>
      </c>
      <c r="L457" s="21" t="s">
        <v>28</v>
      </c>
      <c r="M457" s="22">
        <v>0.1323</v>
      </c>
      <c r="N457" s="22">
        <v>1.3199999999999998E-2</v>
      </c>
      <c r="O457" s="22">
        <v>1017.1985435894751</v>
      </c>
      <c r="P457" s="22">
        <f t="shared" si="72"/>
        <v>154.7616724144207</v>
      </c>
      <c r="Q457" s="22">
        <v>2777.0693256854333</v>
      </c>
      <c r="R457" s="22">
        <f t="shared" si="73"/>
        <v>42.155912363904868</v>
      </c>
      <c r="S457" s="22">
        <f t="shared" si="74"/>
        <v>196.91758477832556</v>
      </c>
      <c r="T457" s="23">
        <v>0.55859868298040061</v>
      </c>
      <c r="U457" s="24">
        <v>0.1</v>
      </c>
      <c r="V457" s="25">
        <f t="shared" si="71"/>
        <v>337.60703712029755</v>
      </c>
      <c r="W457" s="26" t="s">
        <v>29</v>
      </c>
    </row>
    <row r="458" spans="1:23" x14ac:dyDescent="0.25">
      <c r="A458" s="12">
        <f t="shared" ca="1" si="75"/>
        <v>454</v>
      </c>
      <c r="B458" s="13" t="s">
        <v>139</v>
      </c>
      <c r="C458" s="13" t="s">
        <v>937</v>
      </c>
      <c r="D458" s="13"/>
      <c r="E458" s="13"/>
      <c r="F458" s="13"/>
      <c r="G458" s="13"/>
      <c r="H458" s="15" t="s">
        <v>938</v>
      </c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27"/>
      <c r="U458" s="16"/>
      <c r="V458" s="13"/>
      <c r="W458" s="13"/>
    </row>
    <row r="459" spans="1:23" ht="89.25" x14ac:dyDescent="0.25">
      <c r="A459" s="17">
        <f t="shared" ca="1" si="75"/>
        <v>455</v>
      </c>
      <c r="B459" s="18" t="s">
        <v>139</v>
      </c>
      <c r="C459" s="18" t="s">
        <v>939</v>
      </c>
      <c r="D459" s="18"/>
      <c r="E459" s="18"/>
      <c r="F459" s="18"/>
      <c r="G459" s="18"/>
      <c r="H459" s="19" t="s">
        <v>940</v>
      </c>
      <c r="I459" s="18" t="s">
        <v>104</v>
      </c>
      <c r="J459" s="20">
        <v>1</v>
      </c>
      <c r="K459" s="20">
        <v>1.1499999999999999</v>
      </c>
      <c r="L459" s="21" t="s">
        <v>28</v>
      </c>
      <c r="M459" s="22">
        <v>0.13649999999999998</v>
      </c>
      <c r="N459" s="22">
        <v>1.3199999999999998E-2</v>
      </c>
      <c r="O459" s="22">
        <v>1017.1985435894751</v>
      </c>
      <c r="P459" s="22">
        <f t="shared" si="72"/>
        <v>159.67474137995779</v>
      </c>
      <c r="Q459" s="22">
        <v>2777.0693256854333</v>
      </c>
      <c r="R459" s="22">
        <f t="shared" si="73"/>
        <v>42.155912363904868</v>
      </c>
      <c r="S459" s="22">
        <f t="shared" si="74"/>
        <v>201.83065374386265</v>
      </c>
      <c r="T459" s="23">
        <v>0.55859868298040061</v>
      </c>
      <c r="U459" s="24">
        <v>0.1</v>
      </c>
      <c r="V459" s="25">
        <f t="shared" ref="V459:V474" si="76">S459+S459*T459+(S459+S459*T459)*U459</f>
        <v>346.03029022128334</v>
      </c>
      <c r="W459" s="26" t="s">
        <v>29</v>
      </c>
    </row>
    <row r="460" spans="1:23" ht="89.25" x14ac:dyDescent="0.25">
      <c r="A460" s="17">
        <f t="shared" ca="1" si="75"/>
        <v>456</v>
      </c>
      <c r="B460" s="18" t="s">
        <v>139</v>
      </c>
      <c r="C460" s="18" t="s">
        <v>941</v>
      </c>
      <c r="D460" s="18"/>
      <c r="E460" s="18"/>
      <c r="F460" s="18"/>
      <c r="G460" s="18"/>
      <c r="H460" s="19" t="s">
        <v>942</v>
      </c>
      <c r="I460" s="18" t="s">
        <v>104</v>
      </c>
      <c r="J460" s="20">
        <v>1</v>
      </c>
      <c r="K460" s="20">
        <v>1.1499999999999999</v>
      </c>
      <c r="L460" s="21" t="s">
        <v>28</v>
      </c>
      <c r="M460" s="22">
        <v>0.18340000000000001</v>
      </c>
      <c r="N460" s="22">
        <v>1.7999999999999999E-2</v>
      </c>
      <c r="O460" s="22">
        <v>1017.1985435894751</v>
      </c>
      <c r="P460" s="22">
        <f t="shared" si="72"/>
        <v>214.53734482845618</v>
      </c>
      <c r="Q460" s="22">
        <v>2777.0693256854333</v>
      </c>
      <c r="R460" s="22">
        <f t="shared" si="73"/>
        <v>57.485335041688458</v>
      </c>
      <c r="S460" s="22">
        <f t="shared" si="74"/>
        <v>272.02267987014466</v>
      </c>
      <c r="T460" s="23">
        <v>0.55859868298040061</v>
      </c>
      <c r="U460" s="24">
        <v>0.1</v>
      </c>
      <c r="V460" s="25">
        <f t="shared" si="76"/>
        <v>466.37160964504727</v>
      </c>
      <c r="W460" s="26" t="s">
        <v>29</v>
      </c>
    </row>
    <row r="461" spans="1:23" ht="89.25" x14ac:dyDescent="0.25">
      <c r="A461" s="17">
        <f t="shared" ca="1" si="75"/>
        <v>457</v>
      </c>
      <c r="B461" s="18" t="s">
        <v>139</v>
      </c>
      <c r="C461" s="18" t="s">
        <v>943</v>
      </c>
      <c r="D461" s="18"/>
      <c r="E461" s="18"/>
      <c r="F461" s="18"/>
      <c r="G461" s="18"/>
      <c r="H461" s="19" t="s">
        <v>944</v>
      </c>
      <c r="I461" s="18" t="s">
        <v>104</v>
      </c>
      <c r="J461" s="20">
        <v>1</v>
      </c>
      <c r="K461" s="20">
        <v>1.1499999999999999</v>
      </c>
      <c r="L461" s="21" t="s">
        <v>28</v>
      </c>
      <c r="M461" s="22">
        <v>0.1414</v>
      </c>
      <c r="N461" s="22">
        <v>1.3199999999999998E-2</v>
      </c>
      <c r="O461" s="22">
        <v>1017.1985435894751</v>
      </c>
      <c r="P461" s="22">
        <f t="shared" si="72"/>
        <v>165.40665517308452</v>
      </c>
      <c r="Q461" s="22">
        <v>2777.0693256854333</v>
      </c>
      <c r="R461" s="22">
        <f t="shared" si="73"/>
        <v>42.155912363904868</v>
      </c>
      <c r="S461" s="22">
        <f t="shared" si="74"/>
        <v>207.56256753698938</v>
      </c>
      <c r="T461" s="23">
        <v>0.55859868298040061</v>
      </c>
      <c r="U461" s="24">
        <v>0.1</v>
      </c>
      <c r="V461" s="25">
        <f t="shared" si="76"/>
        <v>355.85741883910032</v>
      </c>
      <c r="W461" s="26" t="s">
        <v>29</v>
      </c>
    </row>
    <row r="462" spans="1:23" ht="89.25" x14ac:dyDescent="0.25">
      <c r="A462" s="17">
        <f t="shared" ca="1" si="75"/>
        <v>458</v>
      </c>
      <c r="B462" s="18" t="s">
        <v>139</v>
      </c>
      <c r="C462" s="18" t="s">
        <v>945</v>
      </c>
      <c r="D462" s="18"/>
      <c r="E462" s="18"/>
      <c r="F462" s="18"/>
      <c r="G462" s="18"/>
      <c r="H462" s="19" t="s">
        <v>946</v>
      </c>
      <c r="I462" s="18" t="s">
        <v>104</v>
      </c>
      <c r="J462" s="20">
        <v>1</v>
      </c>
      <c r="K462" s="20">
        <v>1.1499999999999999</v>
      </c>
      <c r="L462" s="21" t="s">
        <v>28</v>
      </c>
      <c r="M462" s="22">
        <v>0.16869999999999999</v>
      </c>
      <c r="N462" s="22">
        <v>1.5600000000000001E-2</v>
      </c>
      <c r="O462" s="22">
        <v>1017.1985435894751</v>
      </c>
      <c r="P462" s="22">
        <f t="shared" si="72"/>
        <v>197.34160344907608</v>
      </c>
      <c r="Q462" s="22">
        <v>2777.0693256854333</v>
      </c>
      <c r="R462" s="22">
        <f t="shared" si="73"/>
        <v>49.820623702796674</v>
      </c>
      <c r="S462" s="22">
        <f t="shared" si="74"/>
        <v>247.16222715187274</v>
      </c>
      <c r="T462" s="23">
        <v>0.55859868298040061</v>
      </c>
      <c r="U462" s="24">
        <v>0.1</v>
      </c>
      <c r="V462" s="25">
        <f t="shared" si="76"/>
        <v>423.74939389355262</v>
      </c>
      <c r="W462" s="26" t="s">
        <v>29</v>
      </c>
    </row>
    <row r="463" spans="1:23" ht="89.25" x14ac:dyDescent="0.25">
      <c r="A463" s="17">
        <f t="shared" ca="1" si="75"/>
        <v>459</v>
      </c>
      <c r="B463" s="18" t="s">
        <v>139</v>
      </c>
      <c r="C463" s="18" t="s">
        <v>947</v>
      </c>
      <c r="D463" s="18"/>
      <c r="E463" s="18"/>
      <c r="F463" s="18"/>
      <c r="G463" s="18"/>
      <c r="H463" s="19" t="s">
        <v>948</v>
      </c>
      <c r="I463" s="18" t="s">
        <v>104</v>
      </c>
      <c r="J463" s="20">
        <v>1</v>
      </c>
      <c r="K463" s="20">
        <v>1.1499999999999999</v>
      </c>
      <c r="L463" s="21" t="s">
        <v>28</v>
      </c>
      <c r="M463" s="22">
        <v>0.17359999999999998</v>
      </c>
      <c r="N463" s="22">
        <v>1.5600000000000001E-2</v>
      </c>
      <c r="O463" s="22">
        <v>1017.1985435894751</v>
      </c>
      <c r="P463" s="22">
        <f t="shared" si="72"/>
        <v>203.07351724220274</v>
      </c>
      <c r="Q463" s="22">
        <v>2777.0693256854333</v>
      </c>
      <c r="R463" s="22">
        <f t="shared" si="73"/>
        <v>49.820623702796674</v>
      </c>
      <c r="S463" s="22">
        <f t="shared" si="74"/>
        <v>252.89414094499941</v>
      </c>
      <c r="T463" s="23">
        <v>0.55859868298040061</v>
      </c>
      <c r="U463" s="24">
        <v>0.1</v>
      </c>
      <c r="V463" s="25">
        <f t="shared" si="76"/>
        <v>433.57652251136943</v>
      </c>
      <c r="W463" s="26" t="s">
        <v>29</v>
      </c>
    </row>
    <row r="464" spans="1:23" ht="89.25" x14ac:dyDescent="0.25">
      <c r="A464" s="17">
        <f t="shared" ca="1" si="75"/>
        <v>460</v>
      </c>
      <c r="B464" s="18" t="s">
        <v>139</v>
      </c>
      <c r="C464" s="18" t="s">
        <v>949</v>
      </c>
      <c r="D464" s="18"/>
      <c r="E464" s="18"/>
      <c r="F464" s="18"/>
      <c r="G464" s="18"/>
      <c r="H464" s="19" t="s">
        <v>950</v>
      </c>
      <c r="I464" s="18" t="s">
        <v>104</v>
      </c>
      <c r="J464" s="20">
        <v>1</v>
      </c>
      <c r="K464" s="20">
        <v>1.1499999999999999</v>
      </c>
      <c r="L464" s="21" t="s">
        <v>28</v>
      </c>
      <c r="M464" s="22">
        <v>0.1792</v>
      </c>
      <c r="N464" s="22">
        <v>1.5600000000000001E-2</v>
      </c>
      <c r="O464" s="22">
        <v>1017.1985435894751</v>
      </c>
      <c r="P464" s="22">
        <f t="shared" si="72"/>
        <v>209.62427586291901</v>
      </c>
      <c r="Q464" s="22">
        <v>2777.0693256854333</v>
      </c>
      <c r="R464" s="22">
        <f t="shared" si="73"/>
        <v>49.820623702796674</v>
      </c>
      <c r="S464" s="22">
        <f t="shared" si="74"/>
        <v>259.44489956571567</v>
      </c>
      <c r="T464" s="23">
        <v>0.55859868298040061</v>
      </c>
      <c r="U464" s="24">
        <v>0.1</v>
      </c>
      <c r="V464" s="25">
        <f t="shared" si="76"/>
        <v>444.80752664601744</v>
      </c>
      <c r="W464" s="26" t="s">
        <v>29</v>
      </c>
    </row>
    <row r="465" spans="1:23" ht="89.25" x14ac:dyDescent="0.25">
      <c r="A465" s="17">
        <f t="shared" ca="1" si="75"/>
        <v>461</v>
      </c>
      <c r="B465" s="18" t="s">
        <v>139</v>
      </c>
      <c r="C465" s="18" t="s">
        <v>951</v>
      </c>
      <c r="D465" s="18"/>
      <c r="E465" s="18"/>
      <c r="F465" s="18"/>
      <c r="G465" s="18"/>
      <c r="H465" s="19" t="s">
        <v>952</v>
      </c>
      <c r="I465" s="18" t="s">
        <v>104</v>
      </c>
      <c r="J465" s="20">
        <v>1</v>
      </c>
      <c r="K465" s="20">
        <v>1.1499999999999999</v>
      </c>
      <c r="L465" s="21" t="s">
        <v>28</v>
      </c>
      <c r="M465" s="22">
        <v>0.1694</v>
      </c>
      <c r="N465" s="22">
        <v>1.5600000000000001E-2</v>
      </c>
      <c r="O465" s="22">
        <v>1017.1985435894751</v>
      </c>
      <c r="P465" s="22">
        <f t="shared" si="72"/>
        <v>198.16044827666562</v>
      </c>
      <c r="Q465" s="22">
        <v>2777.0693256854333</v>
      </c>
      <c r="R465" s="22">
        <f t="shared" si="73"/>
        <v>49.820623702796674</v>
      </c>
      <c r="S465" s="22">
        <f t="shared" si="74"/>
        <v>247.98107197946229</v>
      </c>
      <c r="T465" s="23">
        <v>0.55859868298040061</v>
      </c>
      <c r="U465" s="24">
        <v>0.1</v>
      </c>
      <c r="V465" s="25">
        <f t="shared" si="76"/>
        <v>425.15326941038364</v>
      </c>
      <c r="W465" s="26" t="s">
        <v>29</v>
      </c>
    </row>
    <row r="466" spans="1:23" ht="89.25" x14ac:dyDescent="0.25">
      <c r="A466" s="17">
        <f t="shared" ca="1" si="75"/>
        <v>462</v>
      </c>
      <c r="B466" s="18" t="s">
        <v>139</v>
      </c>
      <c r="C466" s="18" t="s">
        <v>953</v>
      </c>
      <c r="D466" s="18"/>
      <c r="E466" s="18"/>
      <c r="F466" s="18"/>
      <c r="G466" s="18"/>
      <c r="H466" s="19" t="s">
        <v>954</v>
      </c>
      <c r="I466" s="18" t="s">
        <v>104</v>
      </c>
      <c r="J466" s="20">
        <v>1</v>
      </c>
      <c r="K466" s="20">
        <v>1.1499999999999999</v>
      </c>
      <c r="L466" s="21" t="s">
        <v>28</v>
      </c>
      <c r="M466" s="22">
        <v>0.17499999999999999</v>
      </c>
      <c r="N466" s="22">
        <v>1.5600000000000001E-2</v>
      </c>
      <c r="O466" s="22">
        <v>1017.1985435894751</v>
      </c>
      <c r="P466" s="22">
        <f t="shared" si="72"/>
        <v>204.71120689738183</v>
      </c>
      <c r="Q466" s="22">
        <v>2777.0693256854333</v>
      </c>
      <c r="R466" s="22">
        <f t="shared" si="73"/>
        <v>49.820623702796674</v>
      </c>
      <c r="S466" s="22">
        <f t="shared" si="74"/>
        <v>254.53183060017849</v>
      </c>
      <c r="T466" s="23">
        <v>0.55859868298040061</v>
      </c>
      <c r="U466" s="24">
        <v>0.1</v>
      </c>
      <c r="V466" s="25">
        <f t="shared" si="76"/>
        <v>436.38427354503153</v>
      </c>
      <c r="W466" s="26" t="s">
        <v>29</v>
      </c>
    </row>
    <row r="467" spans="1:23" ht="89.25" x14ac:dyDescent="0.25">
      <c r="A467" s="17">
        <f t="shared" ca="1" si="75"/>
        <v>463</v>
      </c>
      <c r="B467" s="18" t="s">
        <v>139</v>
      </c>
      <c r="C467" s="18" t="s">
        <v>955</v>
      </c>
      <c r="D467" s="18"/>
      <c r="E467" s="18"/>
      <c r="F467" s="18"/>
      <c r="G467" s="18"/>
      <c r="H467" s="19" t="s">
        <v>956</v>
      </c>
      <c r="I467" s="18" t="s">
        <v>104</v>
      </c>
      <c r="J467" s="20">
        <v>1</v>
      </c>
      <c r="K467" s="20">
        <v>1.1499999999999999</v>
      </c>
      <c r="L467" s="21" t="s">
        <v>28</v>
      </c>
      <c r="M467" s="22">
        <v>0.17779999999999999</v>
      </c>
      <c r="N467" s="22">
        <v>1.5600000000000001E-2</v>
      </c>
      <c r="O467" s="22">
        <v>1017.1985435894751</v>
      </c>
      <c r="P467" s="22">
        <f t="shared" si="72"/>
        <v>207.98658620773995</v>
      </c>
      <c r="Q467" s="22">
        <v>2777.0693256854333</v>
      </c>
      <c r="R467" s="22">
        <f t="shared" si="73"/>
        <v>49.820623702796674</v>
      </c>
      <c r="S467" s="22">
        <f t="shared" si="74"/>
        <v>257.80720991053664</v>
      </c>
      <c r="T467" s="23">
        <v>0.55859868298040061</v>
      </c>
      <c r="U467" s="24">
        <v>0.1</v>
      </c>
      <c r="V467" s="25">
        <f t="shared" si="76"/>
        <v>441.99977561235551</v>
      </c>
      <c r="W467" s="26" t="s">
        <v>29</v>
      </c>
    </row>
    <row r="468" spans="1:23" ht="89.25" x14ac:dyDescent="0.25">
      <c r="A468" s="17">
        <f t="shared" ca="1" si="75"/>
        <v>464</v>
      </c>
      <c r="B468" s="18" t="s">
        <v>139</v>
      </c>
      <c r="C468" s="18" t="s">
        <v>957</v>
      </c>
      <c r="D468" s="18"/>
      <c r="E468" s="18"/>
      <c r="F468" s="18"/>
      <c r="G468" s="18"/>
      <c r="H468" s="19" t="s">
        <v>958</v>
      </c>
      <c r="I468" s="18" t="s">
        <v>104</v>
      </c>
      <c r="J468" s="20">
        <v>1</v>
      </c>
      <c r="K468" s="20">
        <v>1.1499999999999999</v>
      </c>
      <c r="L468" s="21" t="s">
        <v>28</v>
      </c>
      <c r="M468" s="22">
        <v>0.17779999999999999</v>
      </c>
      <c r="N468" s="22">
        <v>1.5600000000000001E-2</v>
      </c>
      <c r="O468" s="22">
        <v>1017.1985435894751</v>
      </c>
      <c r="P468" s="22">
        <f t="shared" si="72"/>
        <v>207.98658620773995</v>
      </c>
      <c r="Q468" s="22">
        <v>2777.0693256854333</v>
      </c>
      <c r="R468" s="22">
        <f t="shared" si="73"/>
        <v>49.820623702796674</v>
      </c>
      <c r="S468" s="22">
        <f t="shared" si="74"/>
        <v>257.80720991053664</v>
      </c>
      <c r="T468" s="23">
        <v>0.55859868298040061</v>
      </c>
      <c r="U468" s="24">
        <v>0.1</v>
      </c>
      <c r="V468" s="25">
        <f t="shared" si="76"/>
        <v>441.99977561235551</v>
      </c>
      <c r="W468" s="26" t="s">
        <v>29</v>
      </c>
    </row>
    <row r="469" spans="1:23" ht="89.25" x14ac:dyDescent="0.25">
      <c r="A469" s="17">
        <f t="shared" ca="1" si="75"/>
        <v>465</v>
      </c>
      <c r="B469" s="18" t="s">
        <v>139</v>
      </c>
      <c r="C469" s="18" t="s">
        <v>959</v>
      </c>
      <c r="D469" s="18"/>
      <c r="E469" s="18"/>
      <c r="F469" s="18"/>
      <c r="G469" s="18"/>
      <c r="H469" s="19" t="s">
        <v>960</v>
      </c>
      <c r="I469" s="18" t="s">
        <v>104</v>
      </c>
      <c r="J469" s="20">
        <v>1</v>
      </c>
      <c r="K469" s="20">
        <v>1.1499999999999999</v>
      </c>
      <c r="L469" s="21" t="s">
        <v>28</v>
      </c>
      <c r="M469" s="22">
        <v>0.17499999999999999</v>
      </c>
      <c r="N469" s="22">
        <v>1.5600000000000001E-2</v>
      </c>
      <c r="O469" s="22">
        <v>1017.1985435894751</v>
      </c>
      <c r="P469" s="22">
        <f t="shared" si="72"/>
        <v>204.71120689738183</v>
      </c>
      <c r="Q469" s="22">
        <v>2777.0693256854333</v>
      </c>
      <c r="R469" s="22">
        <f t="shared" si="73"/>
        <v>49.820623702796674</v>
      </c>
      <c r="S469" s="22">
        <f t="shared" si="74"/>
        <v>254.53183060017849</v>
      </c>
      <c r="T469" s="23">
        <v>0.55859868298040061</v>
      </c>
      <c r="U469" s="24">
        <v>0.1</v>
      </c>
      <c r="V469" s="25">
        <f t="shared" si="76"/>
        <v>436.38427354503153</v>
      </c>
      <c r="W469" s="26" t="s">
        <v>29</v>
      </c>
    </row>
    <row r="470" spans="1:23" ht="89.25" x14ac:dyDescent="0.25">
      <c r="A470" s="17">
        <f t="shared" ca="1" si="75"/>
        <v>466</v>
      </c>
      <c r="B470" s="18" t="s">
        <v>139</v>
      </c>
      <c r="C470" s="18" t="s">
        <v>961</v>
      </c>
      <c r="D470" s="18"/>
      <c r="E470" s="18"/>
      <c r="F470" s="18"/>
      <c r="G470" s="18"/>
      <c r="H470" s="19" t="s">
        <v>962</v>
      </c>
      <c r="I470" s="18" t="s">
        <v>104</v>
      </c>
      <c r="J470" s="20">
        <v>1</v>
      </c>
      <c r="K470" s="20">
        <v>1.1499999999999999</v>
      </c>
      <c r="L470" s="21" t="s">
        <v>28</v>
      </c>
      <c r="M470" s="22">
        <v>0.17779999999999999</v>
      </c>
      <c r="N470" s="22">
        <v>1.5600000000000001E-2</v>
      </c>
      <c r="O470" s="22">
        <v>1017.1985435894751</v>
      </c>
      <c r="P470" s="22">
        <f t="shared" si="72"/>
        <v>207.98658620773995</v>
      </c>
      <c r="Q470" s="22">
        <v>2777.0693256854333</v>
      </c>
      <c r="R470" s="22">
        <f t="shared" si="73"/>
        <v>49.820623702796674</v>
      </c>
      <c r="S470" s="22">
        <f t="shared" si="74"/>
        <v>257.80720991053664</v>
      </c>
      <c r="T470" s="23">
        <v>0.55859868298040061</v>
      </c>
      <c r="U470" s="24">
        <v>0.1</v>
      </c>
      <c r="V470" s="25">
        <f t="shared" si="76"/>
        <v>441.99977561235551</v>
      </c>
      <c r="W470" s="26" t="s">
        <v>29</v>
      </c>
    </row>
    <row r="471" spans="1:23" ht="89.25" x14ac:dyDescent="0.25">
      <c r="A471" s="17">
        <f t="shared" ca="1" si="75"/>
        <v>467</v>
      </c>
      <c r="B471" s="18" t="s">
        <v>139</v>
      </c>
      <c r="C471" s="18" t="s">
        <v>963</v>
      </c>
      <c r="D471" s="18"/>
      <c r="E471" s="18"/>
      <c r="F471" s="18"/>
      <c r="G471" s="18"/>
      <c r="H471" s="19" t="s">
        <v>964</v>
      </c>
      <c r="I471" s="18" t="s">
        <v>104</v>
      </c>
      <c r="J471" s="20">
        <v>1</v>
      </c>
      <c r="K471" s="20">
        <v>1.1499999999999999</v>
      </c>
      <c r="L471" s="21" t="s">
        <v>28</v>
      </c>
      <c r="M471" s="22">
        <v>0.17779999999999999</v>
      </c>
      <c r="N471" s="22">
        <v>1.5600000000000001E-2</v>
      </c>
      <c r="O471" s="22">
        <v>1017.1985435894751</v>
      </c>
      <c r="P471" s="22">
        <f t="shared" si="72"/>
        <v>207.98658620773995</v>
      </c>
      <c r="Q471" s="22">
        <v>2777.0693256854333</v>
      </c>
      <c r="R471" s="22">
        <f t="shared" si="73"/>
        <v>49.820623702796674</v>
      </c>
      <c r="S471" s="22">
        <f t="shared" si="74"/>
        <v>257.80720991053664</v>
      </c>
      <c r="T471" s="23">
        <v>0.55859868298040061</v>
      </c>
      <c r="U471" s="24">
        <v>0.1</v>
      </c>
      <c r="V471" s="25">
        <f t="shared" si="76"/>
        <v>441.99977561235551</v>
      </c>
      <c r="W471" s="26" t="s">
        <v>29</v>
      </c>
    </row>
    <row r="472" spans="1:23" ht="89.25" x14ac:dyDescent="0.25">
      <c r="A472" s="17">
        <f t="shared" ca="1" si="75"/>
        <v>468</v>
      </c>
      <c r="B472" s="18" t="s">
        <v>139</v>
      </c>
      <c r="C472" s="18" t="s">
        <v>965</v>
      </c>
      <c r="D472" s="18"/>
      <c r="E472" s="18"/>
      <c r="F472" s="18"/>
      <c r="G472" s="18"/>
      <c r="H472" s="19" t="s">
        <v>966</v>
      </c>
      <c r="I472" s="18" t="s">
        <v>104</v>
      </c>
      <c r="J472" s="20">
        <v>1</v>
      </c>
      <c r="K472" s="20">
        <v>1.1499999999999999</v>
      </c>
      <c r="L472" s="21" t="s">
        <v>28</v>
      </c>
      <c r="M472" s="22">
        <v>0.18340000000000001</v>
      </c>
      <c r="N472" s="22">
        <v>1.6200000000000003E-2</v>
      </c>
      <c r="O472" s="22">
        <v>1017.1985435894751</v>
      </c>
      <c r="P472" s="22">
        <f t="shared" si="72"/>
        <v>214.53734482845618</v>
      </c>
      <c r="Q472" s="22">
        <v>2777.0693256854333</v>
      </c>
      <c r="R472" s="22">
        <f t="shared" si="73"/>
        <v>51.736801537519632</v>
      </c>
      <c r="S472" s="22">
        <f t="shared" si="74"/>
        <v>266.27414636597581</v>
      </c>
      <c r="T472" s="23">
        <v>0.55859868298040061</v>
      </c>
      <c r="U472" s="24">
        <v>0.1</v>
      </c>
      <c r="V472" s="25">
        <f t="shared" si="76"/>
        <v>456.51598722151437</v>
      </c>
      <c r="W472" s="26" t="s">
        <v>29</v>
      </c>
    </row>
    <row r="473" spans="1:23" ht="89.25" x14ac:dyDescent="0.25">
      <c r="A473" s="17">
        <f t="shared" ca="1" si="75"/>
        <v>469</v>
      </c>
      <c r="B473" s="18" t="s">
        <v>139</v>
      </c>
      <c r="C473" s="18" t="s">
        <v>967</v>
      </c>
      <c r="D473" s="18"/>
      <c r="E473" s="18"/>
      <c r="F473" s="18"/>
      <c r="G473" s="18"/>
      <c r="H473" s="19" t="s">
        <v>968</v>
      </c>
      <c r="I473" s="18" t="s">
        <v>104</v>
      </c>
      <c r="J473" s="20">
        <v>1</v>
      </c>
      <c r="K473" s="20">
        <v>1.1499999999999999</v>
      </c>
      <c r="L473" s="21" t="s">
        <v>28</v>
      </c>
      <c r="M473" s="22">
        <v>0.189</v>
      </c>
      <c r="N473" s="22">
        <v>1.8599999999999998E-2</v>
      </c>
      <c r="O473" s="22">
        <v>1017.1985435894751</v>
      </c>
      <c r="P473" s="22">
        <f t="shared" si="72"/>
        <v>221.08810344917239</v>
      </c>
      <c r="Q473" s="22">
        <v>2777.0693256854333</v>
      </c>
      <c r="R473" s="22">
        <f t="shared" si="73"/>
        <v>59.40151287641141</v>
      </c>
      <c r="S473" s="22">
        <f t="shared" si="74"/>
        <v>280.48961632558382</v>
      </c>
      <c r="T473" s="23">
        <v>0.55859868298040061</v>
      </c>
      <c r="U473" s="24">
        <v>0.1</v>
      </c>
      <c r="V473" s="25">
        <f t="shared" si="76"/>
        <v>480.88782125420607</v>
      </c>
      <c r="W473" s="26" t="s">
        <v>29</v>
      </c>
    </row>
    <row r="474" spans="1:23" ht="89.25" x14ac:dyDescent="0.25">
      <c r="A474" s="17">
        <f t="shared" ca="1" si="75"/>
        <v>470</v>
      </c>
      <c r="B474" s="18" t="s">
        <v>139</v>
      </c>
      <c r="C474" s="18" t="s">
        <v>969</v>
      </c>
      <c r="D474" s="18"/>
      <c r="E474" s="18"/>
      <c r="F474" s="18"/>
      <c r="G474" s="18"/>
      <c r="H474" s="19" t="s">
        <v>970</v>
      </c>
      <c r="I474" s="18" t="s">
        <v>104</v>
      </c>
      <c r="J474" s="20">
        <v>1</v>
      </c>
      <c r="K474" s="20">
        <v>1.1499999999999999</v>
      </c>
      <c r="L474" s="21" t="s">
        <v>28</v>
      </c>
      <c r="M474" s="22">
        <v>0.2303</v>
      </c>
      <c r="N474" s="22">
        <v>2.0999999999999998E-2</v>
      </c>
      <c r="O474" s="22">
        <v>1017.1985435894751</v>
      </c>
      <c r="P474" s="22">
        <f t="shared" si="72"/>
        <v>269.39994827695449</v>
      </c>
      <c r="Q474" s="22">
        <v>2777.0693256854333</v>
      </c>
      <c r="R474" s="22">
        <f t="shared" si="73"/>
        <v>67.066224215303208</v>
      </c>
      <c r="S474" s="22">
        <f t="shared" si="74"/>
        <v>336.46617249225767</v>
      </c>
      <c r="T474" s="23">
        <v>0.55859868298040061</v>
      </c>
      <c r="U474" s="24">
        <v>0.1</v>
      </c>
      <c r="V474" s="25">
        <f t="shared" si="76"/>
        <v>576.85730664527796</v>
      </c>
      <c r="W474" s="26" t="s">
        <v>29</v>
      </c>
    </row>
    <row r="475" spans="1:23" x14ac:dyDescent="0.25">
      <c r="A475" s="28">
        <f t="shared" ca="1" si="75"/>
        <v>471</v>
      </c>
      <c r="B475" s="9" t="s">
        <v>139</v>
      </c>
      <c r="C475" s="9" t="s">
        <v>971</v>
      </c>
      <c r="D475" s="9"/>
      <c r="E475" s="9"/>
      <c r="F475" s="9"/>
      <c r="G475" s="9"/>
      <c r="H475" s="10" t="s">
        <v>972</v>
      </c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29"/>
      <c r="U475" s="11"/>
      <c r="V475" s="9"/>
      <c r="W475" s="9"/>
    </row>
    <row r="476" spans="1:23" x14ac:dyDescent="0.25">
      <c r="A476" s="12">
        <f t="shared" ca="1" si="75"/>
        <v>472</v>
      </c>
      <c r="B476" s="13" t="s">
        <v>139</v>
      </c>
      <c r="C476" s="13" t="s">
        <v>973</v>
      </c>
      <c r="D476" s="13"/>
      <c r="E476" s="13"/>
      <c r="F476" s="13"/>
      <c r="G476" s="13"/>
      <c r="H476" s="15" t="s">
        <v>974</v>
      </c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27"/>
      <c r="U476" s="16"/>
      <c r="V476" s="13"/>
      <c r="W476" s="13"/>
    </row>
    <row r="477" spans="1:23" ht="89.25" x14ac:dyDescent="0.25">
      <c r="A477" s="17">
        <f t="shared" ca="1" si="75"/>
        <v>473</v>
      </c>
      <c r="B477" s="18" t="s">
        <v>139</v>
      </c>
      <c r="C477" s="18" t="s">
        <v>975</v>
      </c>
      <c r="D477" s="18"/>
      <c r="E477" s="18"/>
      <c r="F477" s="18"/>
      <c r="G477" s="18"/>
      <c r="H477" s="19" t="s">
        <v>976</v>
      </c>
      <c r="I477" s="18" t="s">
        <v>161</v>
      </c>
      <c r="J477" s="20">
        <v>1</v>
      </c>
      <c r="K477" s="20">
        <v>1.1499999999999999</v>
      </c>
      <c r="L477" s="21" t="s">
        <v>28</v>
      </c>
      <c r="M477" s="22">
        <v>1.5861999999999998</v>
      </c>
      <c r="N477" s="22">
        <v>4.4999999999999998E-2</v>
      </c>
      <c r="O477" s="22">
        <v>1017.1985435894751</v>
      </c>
      <c r="P477" s="22">
        <f t="shared" si="72"/>
        <v>1855.5023793178689</v>
      </c>
      <c r="Q477" s="22">
        <v>2777.0693256854333</v>
      </c>
      <c r="R477" s="22">
        <f t="shared" si="73"/>
        <v>143.71333760422115</v>
      </c>
      <c r="S477" s="22">
        <f t="shared" si="74"/>
        <v>1999.21571692209</v>
      </c>
      <c r="T477" s="23">
        <v>0.55859868298040061</v>
      </c>
      <c r="U477" s="24">
        <v>0.1</v>
      </c>
      <c r="V477" s="25">
        <f t="shared" ref="V477:V526" si="77">S477+S477*T477+(S477+S477*T477)*U477</f>
        <v>3427.5724817273358</v>
      </c>
      <c r="W477" s="26" t="s">
        <v>29</v>
      </c>
    </row>
    <row r="478" spans="1:23" ht="89.25" x14ac:dyDescent="0.25">
      <c r="A478" s="17">
        <f t="shared" ca="1" si="75"/>
        <v>474</v>
      </c>
      <c r="B478" s="18" t="s">
        <v>139</v>
      </c>
      <c r="C478" s="18" t="s">
        <v>977</v>
      </c>
      <c r="D478" s="18"/>
      <c r="E478" s="18"/>
      <c r="F478" s="18"/>
      <c r="G478" s="18"/>
      <c r="H478" s="19" t="s">
        <v>978</v>
      </c>
      <c r="I478" s="18" t="s">
        <v>161</v>
      </c>
      <c r="J478" s="20">
        <v>1</v>
      </c>
      <c r="K478" s="20">
        <v>1.1499999999999999</v>
      </c>
      <c r="L478" s="21" t="s">
        <v>28</v>
      </c>
      <c r="M478" s="22">
        <v>0.58589999999999998</v>
      </c>
      <c r="N478" s="22">
        <v>2.5799999999999997E-2</v>
      </c>
      <c r="O478" s="22">
        <v>1017.1985435894751</v>
      </c>
      <c r="P478" s="22">
        <f t="shared" si="72"/>
        <v>685.37312069243444</v>
      </c>
      <c r="Q478" s="22">
        <v>2777.0693256854333</v>
      </c>
      <c r="R478" s="22">
        <f t="shared" si="73"/>
        <v>82.395646893086777</v>
      </c>
      <c r="S478" s="22">
        <f t="shared" si="74"/>
        <v>767.76876758552123</v>
      </c>
      <c r="T478" s="23">
        <v>0.55859868298040061</v>
      </c>
      <c r="U478" s="24">
        <v>0.1</v>
      </c>
      <c r="V478" s="25">
        <f t="shared" si="77"/>
        <v>1316.3077289915063</v>
      </c>
      <c r="W478" s="26" t="s">
        <v>29</v>
      </c>
    </row>
    <row r="479" spans="1:23" ht="89.25" x14ac:dyDescent="0.25">
      <c r="A479" s="17">
        <f t="shared" ca="1" si="75"/>
        <v>475</v>
      </c>
      <c r="B479" s="18" t="s">
        <v>139</v>
      </c>
      <c r="C479" s="18" t="s">
        <v>979</v>
      </c>
      <c r="D479" s="18"/>
      <c r="E479" s="18"/>
      <c r="F479" s="18"/>
      <c r="G479" s="18"/>
      <c r="H479" s="19" t="s">
        <v>980</v>
      </c>
      <c r="I479" s="18" t="s">
        <v>161</v>
      </c>
      <c r="J479" s="20">
        <v>1</v>
      </c>
      <c r="K479" s="20">
        <v>1.1499999999999999</v>
      </c>
      <c r="L479" s="21" t="s">
        <v>28</v>
      </c>
      <c r="M479" s="22">
        <v>0.58589999999999998</v>
      </c>
      <c r="N479" s="22">
        <v>2.5799999999999997E-2</v>
      </c>
      <c r="O479" s="22">
        <v>1017.1985435894751</v>
      </c>
      <c r="P479" s="22">
        <f t="shared" si="72"/>
        <v>685.37312069243444</v>
      </c>
      <c r="Q479" s="22">
        <v>2777.0693256854333</v>
      </c>
      <c r="R479" s="22">
        <f t="shared" si="73"/>
        <v>82.395646893086777</v>
      </c>
      <c r="S479" s="22">
        <f t="shared" si="74"/>
        <v>767.76876758552123</v>
      </c>
      <c r="T479" s="23">
        <v>0.55859868298040061</v>
      </c>
      <c r="U479" s="24">
        <v>0.1</v>
      </c>
      <c r="V479" s="25">
        <f t="shared" si="77"/>
        <v>1316.3077289915063</v>
      </c>
      <c r="W479" s="26" t="s">
        <v>29</v>
      </c>
    </row>
    <row r="480" spans="1:23" ht="89.25" x14ac:dyDescent="0.25">
      <c r="A480" s="17">
        <f t="shared" ca="1" si="75"/>
        <v>476</v>
      </c>
      <c r="B480" s="18" t="s">
        <v>139</v>
      </c>
      <c r="C480" s="18" t="s">
        <v>981</v>
      </c>
      <c r="D480" s="18"/>
      <c r="E480" s="18"/>
      <c r="F480" s="18"/>
      <c r="G480" s="18"/>
      <c r="H480" s="19" t="s">
        <v>982</v>
      </c>
      <c r="I480" s="18" t="s">
        <v>161</v>
      </c>
      <c r="J480" s="20">
        <v>1</v>
      </c>
      <c r="K480" s="20">
        <v>1.1499999999999999</v>
      </c>
      <c r="L480" s="21" t="s">
        <v>28</v>
      </c>
      <c r="M480" s="22">
        <v>0.59919999999999995</v>
      </c>
      <c r="N480" s="22">
        <v>2.5799999999999997E-2</v>
      </c>
      <c r="O480" s="22">
        <v>1017.1985435894751</v>
      </c>
      <c r="P480" s="22">
        <f t="shared" si="72"/>
        <v>700.93117241663538</v>
      </c>
      <c r="Q480" s="22">
        <v>2777.0693256854333</v>
      </c>
      <c r="R480" s="22">
        <f t="shared" si="73"/>
        <v>82.395646893086777</v>
      </c>
      <c r="S480" s="22">
        <f t="shared" si="74"/>
        <v>783.32681930972217</v>
      </c>
      <c r="T480" s="23">
        <v>0.55859868298040061</v>
      </c>
      <c r="U480" s="24">
        <v>0.1</v>
      </c>
      <c r="V480" s="25">
        <f t="shared" si="77"/>
        <v>1342.9813638112951</v>
      </c>
      <c r="W480" s="26" t="s">
        <v>29</v>
      </c>
    </row>
    <row r="481" spans="1:23" ht="89.25" x14ac:dyDescent="0.25">
      <c r="A481" s="17">
        <f t="shared" ca="1" si="75"/>
        <v>477</v>
      </c>
      <c r="B481" s="18" t="s">
        <v>139</v>
      </c>
      <c r="C481" s="18" t="s">
        <v>983</v>
      </c>
      <c r="D481" s="18"/>
      <c r="E481" s="18"/>
      <c r="F481" s="18"/>
      <c r="G481" s="18"/>
      <c r="H481" s="19" t="s">
        <v>984</v>
      </c>
      <c r="I481" s="18" t="s">
        <v>161</v>
      </c>
      <c r="J481" s="20">
        <v>1</v>
      </c>
      <c r="K481" s="20">
        <v>1.1499999999999999</v>
      </c>
      <c r="L481" s="21" t="s">
        <v>28</v>
      </c>
      <c r="M481" s="22">
        <v>0.60619999999999996</v>
      </c>
      <c r="N481" s="22">
        <v>2.5799999999999997E-2</v>
      </c>
      <c r="O481" s="22">
        <v>1017.1985435894751</v>
      </c>
      <c r="P481" s="22">
        <f t="shared" si="72"/>
        <v>709.11962069253059</v>
      </c>
      <c r="Q481" s="22">
        <v>2777.0693256854333</v>
      </c>
      <c r="R481" s="22">
        <f t="shared" si="73"/>
        <v>82.395646893086777</v>
      </c>
      <c r="S481" s="22">
        <f t="shared" si="74"/>
        <v>791.51526758561738</v>
      </c>
      <c r="T481" s="23">
        <v>0.55859868298040061</v>
      </c>
      <c r="U481" s="24">
        <v>0.1</v>
      </c>
      <c r="V481" s="25">
        <f t="shared" si="77"/>
        <v>1357.0201189796048</v>
      </c>
      <c r="W481" s="26" t="s">
        <v>29</v>
      </c>
    </row>
    <row r="482" spans="1:23" ht="89.25" x14ac:dyDescent="0.25">
      <c r="A482" s="17">
        <f t="shared" ca="1" si="75"/>
        <v>478</v>
      </c>
      <c r="B482" s="18" t="s">
        <v>139</v>
      </c>
      <c r="C482" s="18" t="s">
        <v>985</v>
      </c>
      <c r="D482" s="18"/>
      <c r="E482" s="18"/>
      <c r="F482" s="18"/>
      <c r="G482" s="18"/>
      <c r="H482" s="19" t="s">
        <v>986</v>
      </c>
      <c r="I482" s="18" t="s">
        <v>161</v>
      </c>
      <c r="J482" s="20">
        <v>1</v>
      </c>
      <c r="K482" s="20">
        <v>1.1499999999999999</v>
      </c>
      <c r="L482" s="21" t="s">
        <v>28</v>
      </c>
      <c r="M482" s="22">
        <v>0.62649999999999995</v>
      </c>
      <c r="N482" s="22">
        <v>2.5799999999999997E-2</v>
      </c>
      <c r="O482" s="22">
        <v>1017.1985435894751</v>
      </c>
      <c r="P482" s="22">
        <f t="shared" si="72"/>
        <v>732.86612069262696</v>
      </c>
      <c r="Q482" s="22">
        <v>2777.0693256854333</v>
      </c>
      <c r="R482" s="22">
        <f t="shared" si="73"/>
        <v>82.395646893086777</v>
      </c>
      <c r="S482" s="22">
        <f t="shared" si="74"/>
        <v>815.26176758571376</v>
      </c>
      <c r="T482" s="23">
        <v>0.55859868298040061</v>
      </c>
      <c r="U482" s="24">
        <v>0.1</v>
      </c>
      <c r="V482" s="25">
        <f t="shared" si="77"/>
        <v>1397.7325089677036</v>
      </c>
      <c r="W482" s="26" t="s">
        <v>29</v>
      </c>
    </row>
    <row r="483" spans="1:23" ht="89.25" x14ac:dyDescent="0.25">
      <c r="A483" s="17">
        <f t="shared" ca="1" si="75"/>
        <v>479</v>
      </c>
      <c r="B483" s="18" t="s">
        <v>139</v>
      </c>
      <c r="C483" s="18" t="s">
        <v>987</v>
      </c>
      <c r="D483" s="18"/>
      <c r="E483" s="18"/>
      <c r="F483" s="18"/>
      <c r="G483" s="18"/>
      <c r="H483" s="19" t="s">
        <v>988</v>
      </c>
      <c r="I483" s="18" t="s">
        <v>161</v>
      </c>
      <c r="J483" s="20">
        <v>1</v>
      </c>
      <c r="K483" s="20">
        <v>1.1499999999999999</v>
      </c>
      <c r="L483" s="21" t="s">
        <v>28</v>
      </c>
      <c r="M483" s="22">
        <v>2.2595999999999998</v>
      </c>
      <c r="N483" s="22">
        <v>0.18</v>
      </c>
      <c r="O483" s="22">
        <v>1017.1985435894751</v>
      </c>
      <c r="P483" s="22">
        <f t="shared" si="72"/>
        <v>2643.2311034589943</v>
      </c>
      <c r="Q483" s="22">
        <v>2777.0693256854333</v>
      </c>
      <c r="R483" s="22">
        <f t="shared" si="73"/>
        <v>574.85335041688461</v>
      </c>
      <c r="S483" s="22">
        <f t="shared" si="74"/>
        <v>3218.0844538758788</v>
      </c>
      <c r="T483" s="23">
        <v>0.55859868298040061</v>
      </c>
      <c r="U483" s="24">
        <v>0.1</v>
      </c>
      <c r="V483" s="25">
        <f t="shared" si="77"/>
        <v>5517.2724106837113</v>
      </c>
      <c r="W483" s="26" t="s">
        <v>29</v>
      </c>
    </row>
    <row r="484" spans="1:23" ht="89.25" x14ac:dyDescent="0.25">
      <c r="A484" s="17">
        <f t="shared" ca="1" si="75"/>
        <v>480</v>
      </c>
      <c r="B484" s="18" t="s">
        <v>139</v>
      </c>
      <c r="C484" s="18" t="s">
        <v>989</v>
      </c>
      <c r="D484" s="18"/>
      <c r="E484" s="18"/>
      <c r="F484" s="18"/>
      <c r="G484" s="18"/>
      <c r="H484" s="19" t="s">
        <v>990</v>
      </c>
      <c r="I484" s="18" t="s">
        <v>161</v>
      </c>
      <c r="J484" s="20">
        <v>1</v>
      </c>
      <c r="K484" s="20">
        <v>1.1499999999999999</v>
      </c>
      <c r="L484" s="21" t="s">
        <v>28</v>
      </c>
      <c r="M484" s="22">
        <v>3.2473000000000001</v>
      </c>
      <c r="N484" s="22">
        <v>0.18</v>
      </c>
      <c r="O484" s="22">
        <v>1017.1985435894751</v>
      </c>
      <c r="P484" s="22">
        <f t="shared" si="72"/>
        <v>3798.6211551878177</v>
      </c>
      <c r="Q484" s="22">
        <v>2777.0693256854333</v>
      </c>
      <c r="R484" s="22">
        <f t="shared" si="73"/>
        <v>574.85335041688461</v>
      </c>
      <c r="S484" s="22">
        <f t="shared" si="74"/>
        <v>4373.4745056047022</v>
      </c>
      <c r="T484" s="23">
        <v>0.55859868298040061</v>
      </c>
      <c r="U484" s="24">
        <v>0.1</v>
      </c>
      <c r="V484" s="25">
        <f t="shared" si="77"/>
        <v>7498.1407649322318</v>
      </c>
      <c r="W484" s="26" t="s">
        <v>29</v>
      </c>
    </row>
    <row r="485" spans="1:23" ht="89.25" x14ac:dyDescent="0.25">
      <c r="A485" s="17">
        <f t="shared" ca="1" si="75"/>
        <v>481</v>
      </c>
      <c r="B485" s="18" t="s">
        <v>139</v>
      </c>
      <c r="C485" s="18" t="s">
        <v>991</v>
      </c>
      <c r="D485" s="18"/>
      <c r="E485" s="18"/>
      <c r="F485" s="18"/>
      <c r="G485" s="18"/>
      <c r="H485" s="19" t="s">
        <v>992</v>
      </c>
      <c r="I485" s="18" t="s">
        <v>161</v>
      </c>
      <c r="J485" s="20">
        <v>1</v>
      </c>
      <c r="K485" s="20">
        <v>1.1499999999999999</v>
      </c>
      <c r="L485" s="21" t="s">
        <v>28</v>
      </c>
      <c r="M485" s="22">
        <v>3.3075000000000001</v>
      </c>
      <c r="N485" s="22">
        <v>0.18</v>
      </c>
      <c r="O485" s="22">
        <v>1017.1985435894751</v>
      </c>
      <c r="P485" s="22">
        <f t="shared" si="72"/>
        <v>3869.0418103605166</v>
      </c>
      <c r="Q485" s="22">
        <v>2777.0693256854333</v>
      </c>
      <c r="R485" s="22">
        <f t="shared" si="73"/>
        <v>574.85335041688461</v>
      </c>
      <c r="S485" s="22">
        <f t="shared" si="74"/>
        <v>4443.8951607774015</v>
      </c>
      <c r="T485" s="23">
        <v>0.55859868298040061</v>
      </c>
      <c r="U485" s="24">
        <v>0.1</v>
      </c>
      <c r="V485" s="25">
        <f t="shared" si="77"/>
        <v>7618.8740593796965</v>
      </c>
      <c r="W485" s="26" t="s">
        <v>29</v>
      </c>
    </row>
    <row r="486" spans="1:23" ht="89.25" x14ac:dyDescent="0.25">
      <c r="A486" s="17">
        <f t="shared" ca="1" si="75"/>
        <v>482</v>
      </c>
      <c r="B486" s="18" t="s">
        <v>139</v>
      </c>
      <c r="C486" s="18" t="s">
        <v>993</v>
      </c>
      <c r="D486" s="18"/>
      <c r="E486" s="18"/>
      <c r="F486" s="18"/>
      <c r="G486" s="18"/>
      <c r="H486" s="19" t="s">
        <v>994</v>
      </c>
      <c r="I486" s="18" t="s">
        <v>161</v>
      </c>
      <c r="J486" s="20">
        <v>1</v>
      </c>
      <c r="K486" s="20">
        <v>1.1499999999999999</v>
      </c>
      <c r="L486" s="21" t="s">
        <v>28</v>
      </c>
      <c r="M486" s="22">
        <v>3.367</v>
      </c>
      <c r="N486" s="22">
        <v>0.18</v>
      </c>
      <c r="O486" s="22">
        <v>1017.1985435894751</v>
      </c>
      <c r="P486" s="22">
        <f t="shared" si="72"/>
        <v>3938.6436207056267</v>
      </c>
      <c r="Q486" s="22">
        <v>2777.0693256854333</v>
      </c>
      <c r="R486" s="22">
        <f t="shared" si="73"/>
        <v>574.85335041688461</v>
      </c>
      <c r="S486" s="22">
        <f t="shared" si="74"/>
        <v>4513.4969711225112</v>
      </c>
      <c r="T486" s="23">
        <v>0.55859868298040061</v>
      </c>
      <c r="U486" s="24">
        <v>0.1</v>
      </c>
      <c r="V486" s="25">
        <f t="shared" si="77"/>
        <v>7738.2034783103318</v>
      </c>
      <c r="W486" s="26" t="s">
        <v>29</v>
      </c>
    </row>
    <row r="487" spans="1:23" ht="89.25" x14ac:dyDescent="0.25">
      <c r="A487" s="17">
        <f t="shared" ca="1" si="75"/>
        <v>483</v>
      </c>
      <c r="B487" s="18" t="s">
        <v>139</v>
      </c>
      <c r="C487" s="18" t="s">
        <v>995</v>
      </c>
      <c r="D487" s="18"/>
      <c r="E487" s="18"/>
      <c r="F487" s="18"/>
      <c r="G487" s="18"/>
      <c r="H487" s="19" t="s">
        <v>996</v>
      </c>
      <c r="I487" s="18" t="s">
        <v>161</v>
      </c>
      <c r="J487" s="20">
        <v>1</v>
      </c>
      <c r="K487" s="20">
        <v>1.1499999999999999</v>
      </c>
      <c r="L487" s="21" t="s">
        <v>28</v>
      </c>
      <c r="M487" s="22">
        <v>4.2363999999999997</v>
      </c>
      <c r="N487" s="22">
        <v>0.44999999999999996</v>
      </c>
      <c r="O487" s="22">
        <v>1017.1985435894751</v>
      </c>
      <c r="P487" s="22">
        <f t="shared" si="72"/>
        <v>4955.648896571819</v>
      </c>
      <c r="Q487" s="22">
        <v>2777.0693256854333</v>
      </c>
      <c r="R487" s="22">
        <f t="shared" si="73"/>
        <v>1437.1333760422117</v>
      </c>
      <c r="S487" s="22">
        <f t="shared" si="74"/>
        <v>6392.7822726140312</v>
      </c>
      <c r="T487" s="23">
        <v>0.55859868298040061</v>
      </c>
      <c r="U487" s="24">
        <v>0.1</v>
      </c>
      <c r="V487" s="25">
        <f t="shared" si="77"/>
        <v>10960.160233744349</v>
      </c>
      <c r="W487" s="26" t="s">
        <v>29</v>
      </c>
    </row>
    <row r="488" spans="1:23" ht="89.25" x14ac:dyDescent="0.25">
      <c r="A488" s="17">
        <f t="shared" ca="1" si="75"/>
        <v>484</v>
      </c>
      <c r="B488" s="18" t="s">
        <v>139</v>
      </c>
      <c r="C488" s="18" t="s">
        <v>997</v>
      </c>
      <c r="D488" s="18"/>
      <c r="E488" s="18"/>
      <c r="F488" s="18"/>
      <c r="G488" s="18"/>
      <c r="H488" s="19" t="s">
        <v>998</v>
      </c>
      <c r="I488" s="18" t="s">
        <v>161</v>
      </c>
      <c r="J488" s="20">
        <v>1</v>
      </c>
      <c r="K488" s="20">
        <v>1.1499999999999999</v>
      </c>
      <c r="L488" s="21" t="s">
        <v>28</v>
      </c>
      <c r="M488" s="22">
        <v>2.1685999999999996</v>
      </c>
      <c r="N488" s="22">
        <v>4.4999999999999998E-2</v>
      </c>
      <c r="O488" s="22">
        <v>1017.1985435894751</v>
      </c>
      <c r="P488" s="22">
        <f t="shared" si="72"/>
        <v>2536.7812758723553</v>
      </c>
      <c r="Q488" s="22">
        <v>2777.0693256854333</v>
      </c>
      <c r="R488" s="22">
        <f t="shared" si="73"/>
        <v>143.71333760422115</v>
      </c>
      <c r="S488" s="22">
        <f t="shared" si="74"/>
        <v>2680.4946134765764</v>
      </c>
      <c r="T488" s="23">
        <v>0.55859868298040061</v>
      </c>
      <c r="U488" s="24">
        <v>0.1</v>
      </c>
      <c r="V488" s="25">
        <f t="shared" si="77"/>
        <v>4595.596911730715</v>
      </c>
      <c r="W488" s="26" t="s">
        <v>29</v>
      </c>
    </row>
    <row r="489" spans="1:23" ht="89.25" x14ac:dyDescent="0.25">
      <c r="A489" s="17">
        <f t="shared" ca="1" si="75"/>
        <v>485</v>
      </c>
      <c r="B489" s="18" t="s">
        <v>139</v>
      </c>
      <c r="C489" s="18" t="s">
        <v>999</v>
      </c>
      <c r="D489" s="18"/>
      <c r="E489" s="18"/>
      <c r="F489" s="18"/>
      <c r="G489" s="18"/>
      <c r="H489" s="19" t="s">
        <v>1000</v>
      </c>
      <c r="I489" s="18" t="s">
        <v>161</v>
      </c>
      <c r="J489" s="20">
        <v>1</v>
      </c>
      <c r="K489" s="20">
        <v>1.1499999999999999</v>
      </c>
      <c r="L489" s="21" t="s">
        <v>28</v>
      </c>
      <c r="M489" s="22">
        <v>2.4681999999999999</v>
      </c>
      <c r="N489" s="22">
        <v>4.4999999999999998E-2</v>
      </c>
      <c r="O489" s="22">
        <v>1017.1985435894751</v>
      </c>
      <c r="P489" s="22">
        <f t="shared" si="72"/>
        <v>2887.2468620806735</v>
      </c>
      <c r="Q489" s="22">
        <v>2777.0693256854333</v>
      </c>
      <c r="R489" s="22">
        <f t="shared" si="73"/>
        <v>143.71333760422115</v>
      </c>
      <c r="S489" s="22">
        <f t="shared" si="74"/>
        <v>3030.9601996848946</v>
      </c>
      <c r="T489" s="23">
        <v>0.55859868298040061</v>
      </c>
      <c r="U489" s="24">
        <v>0.1</v>
      </c>
      <c r="V489" s="25">
        <f t="shared" si="77"/>
        <v>5196.4556329343777</v>
      </c>
      <c r="W489" s="26" t="s">
        <v>29</v>
      </c>
    </row>
    <row r="490" spans="1:23" ht="89.25" x14ac:dyDescent="0.25">
      <c r="A490" s="17">
        <f t="shared" ca="1" si="75"/>
        <v>486</v>
      </c>
      <c r="B490" s="18" t="s">
        <v>139</v>
      </c>
      <c r="C490" s="18" t="s">
        <v>1001</v>
      </c>
      <c r="D490" s="18"/>
      <c r="E490" s="18"/>
      <c r="F490" s="18"/>
      <c r="G490" s="18"/>
      <c r="H490" s="19" t="s">
        <v>1002</v>
      </c>
      <c r="I490" s="18" t="s">
        <v>161</v>
      </c>
      <c r="J490" s="20">
        <v>1</v>
      </c>
      <c r="K490" s="20">
        <v>1.1499999999999999</v>
      </c>
      <c r="L490" s="21" t="s">
        <v>28</v>
      </c>
      <c r="M490" s="22">
        <v>3.6953000000000005</v>
      </c>
      <c r="N490" s="22">
        <v>4.4999999999999998E-2</v>
      </c>
      <c r="O490" s="22">
        <v>1017.1985435894751</v>
      </c>
      <c r="P490" s="22">
        <f t="shared" si="72"/>
        <v>4322.6818448451158</v>
      </c>
      <c r="Q490" s="22">
        <v>2777.0693256854333</v>
      </c>
      <c r="R490" s="22">
        <f t="shared" si="73"/>
        <v>143.71333760422115</v>
      </c>
      <c r="S490" s="22">
        <f t="shared" si="74"/>
        <v>4466.395182449337</v>
      </c>
      <c r="T490" s="23">
        <v>0.55859868298040061</v>
      </c>
      <c r="U490" s="24">
        <v>0.1</v>
      </c>
      <c r="V490" s="25">
        <f t="shared" si="77"/>
        <v>7657.4494139390972</v>
      </c>
      <c r="W490" s="26" t="s">
        <v>29</v>
      </c>
    </row>
    <row r="491" spans="1:23" ht="89.25" x14ac:dyDescent="0.25">
      <c r="A491" s="17">
        <f t="shared" ca="1" si="75"/>
        <v>487</v>
      </c>
      <c r="B491" s="18" t="s">
        <v>139</v>
      </c>
      <c r="C491" s="18" t="s">
        <v>1003</v>
      </c>
      <c r="D491" s="18"/>
      <c r="E491" s="18"/>
      <c r="F491" s="18"/>
      <c r="G491" s="18"/>
      <c r="H491" s="19" t="s">
        <v>1004</v>
      </c>
      <c r="I491" s="18" t="s">
        <v>161</v>
      </c>
      <c r="J491" s="20">
        <v>1</v>
      </c>
      <c r="K491" s="20">
        <v>1.1499999999999999</v>
      </c>
      <c r="L491" s="21" t="s">
        <v>28</v>
      </c>
      <c r="M491" s="22">
        <v>3.9942000000000002</v>
      </c>
      <c r="N491" s="22">
        <v>4.4999999999999998E-2</v>
      </c>
      <c r="O491" s="22">
        <v>1017.1985435894751</v>
      </c>
      <c r="P491" s="22">
        <f t="shared" si="72"/>
        <v>4672.3285862258435</v>
      </c>
      <c r="Q491" s="22">
        <v>2777.0693256854333</v>
      </c>
      <c r="R491" s="22">
        <f t="shared" si="73"/>
        <v>143.71333760422115</v>
      </c>
      <c r="S491" s="22">
        <f t="shared" si="74"/>
        <v>4816.0419238300647</v>
      </c>
      <c r="T491" s="23">
        <v>0.55859868298040061</v>
      </c>
      <c r="U491" s="24">
        <v>0.1</v>
      </c>
      <c r="V491" s="25">
        <f t="shared" si="77"/>
        <v>8256.9042596259278</v>
      </c>
      <c r="W491" s="26" t="s">
        <v>29</v>
      </c>
    </row>
    <row r="492" spans="1:23" ht="89.25" x14ac:dyDescent="0.25">
      <c r="A492" s="17">
        <f t="shared" ca="1" si="75"/>
        <v>488</v>
      </c>
      <c r="B492" s="18" t="s">
        <v>139</v>
      </c>
      <c r="C492" s="18" t="s">
        <v>1005</v>
      </c>
      <c r="D492" s="18"/>
      <c r="E492" s="18"/>
      <c r="F492" s="18"/>
      <c r="G492" s="18"/>
      <c r="H492" s="19" t="s">
        <v>1006</v>
      </c>
      <c r="I492" s="18" t="s">
        <v>161</v>
      </c>
      <c r="J492" s="20">
        <v>1</v>
      </c>
      <c r="K492" s="20">
        <v>1.1499999999999999</v>
      </c>
      <c r="L492" s="21" t="s">
        <v>28</v>
      </c>
      <c r="M492" s="22">
        <v>3.4937</v>
      </c>
      <c r="N492" s="22">
        <v>4.4999999999999998E-2</v>
      </c>
      <c r="O492" s="22">
        <v>1017.1985435894751</v>
      </c>
      <c r="P492" s="22">
        <f t="shared" si="72"/>
        <v>4086.8545344993308</v>
      </c>
      <c r="Q492" s="22">
        <v>2777.0693256854333</v>
      </c>
      <c r="R492" s="22">
        <f t="shared" si="73"/>
        <v>143.71333760422115</v>
      </c>
      <c r="S492" s="22">
        <f t="shared" si="74"/>
        <v>4230.567872103552</v>
      </c>
      <c r="T492" s="23">
        <v>0.55859868298040061</v>
      </c>
      <c r="U492" s="24">
        <v>0.1</v>
      </c>
      <c r="V492" s="25">
        <f t="shared" si="77"/>
        <v>7253.1332650917711</v>
      </c>
      <c r="W492" s="26" t="s">
        <v>29</v>
      </c>
    </row>
    <row r="493" spans="1:23" ht="89.25" x14ac:dyDescent="0.25">
      <c r="A493" s="17">
        <f t="shared" ca="1" si="75"/>
        <v>489</v>
      </c>
      <c r="B493" s="18" t="s">
        <v>139</v>
      </c>
      <c r="C493" s="18" t="s">
        <v>1007</v>
      </c>
      <c r="D493" s="18"/>
      <c r="E493" s="18"/>
      <c r="F493" s="18"/>
      <c r="G493" s="18"/>
      <c r="H493" s="19" t="s">
        <v>1008</v>
      </c>
      <c r="I493" s="18" t="s">
        <v>161</v>
      </c>
      <c r="J493" s="20">
        <v>1</v>
      </c>
      <c r="K493" s="20">
        <v>1.1499999999999999</v>
      </c>
      <c r="L493" s="21" t="s">
        <v>28</v>
      </c>
      <c r="M493" s="22">
        <v>3.6729000000000003</v>
      </c>
      <c r="N493" s="22">
        <v>4.4999999999999998E-2</v>
      </c>
      <c r="O493" s="22">
        <v>1017.1985435894751</v>
      </c>
      <c r="P493" s="22">
        <f t="shared" si="72"/>
        <v>4296.4788103622504</v>
      </c>
      <c r="Q493" s="22">
        <v>2777.0693256854333</v>
      </c>
      <c r="R493" s="22">
        <f t="shared" si="73"/>
        <v>143.71333760422115</v>
      </c>
      <c r="S493" s="22">
        <f t="shared" si="74"/>
        <v>4440.1921479664716</v>
      </c>
      <c r="T493" s="23">
        <v>0.55859868298040061</v>
      </c>
      <c r="U493" s="24">
        <v>0.1</v>
      </c>
      <c r="V493" s="25">
        <f t="shared" si="77"/>
        <v>7612.5253974005054</v>
      </c>
      <c r="W493" s="26" t="s">
        <v>29</v>
      </c>
    </row>
    <row r="494" spans="1:23" ht="89.25" x14ac:dyDescent="0.25">
      <c r="A494" s="17">
        <f t="shared" ca="1" si="75"/>
        <v>490</v>
      </c>
      <c r="B494" s="18" t="s">
        <v>139</v>
      </c>
      <c r="C494" s="18" t="s">
        <v>1009</v>
      </c>
      <c r="D494" s="18"/>
      <c r="E494" s="18"/>
      <c r="F494" s="18"/>
      <c r="G494" s="18"/>
      <c r="H494" s="19" t="s">
        <v>1010</v>
      </c>
      <c r="I494" s="18" t="s">
        <v>161</v>
      </c>
      <c r="J494" s="20">
        <v>1</v>
      </c>
      <c r="K494" s="20">
        <v>1.1499999999999999</v>
      </c>
      <c r="L494" s="21" t="s">
        <v>28</v>
      </c>
      <c r="M494" s="22">
        <v>4.1670999999999996</v>
      </c>
      <c r="N494" s="22">
        <v>0.18</v>
      </c>
      <c r="O494" s="22">
        <v>1017.1985435894751</v>
      </c>
      <c r="P494" s="22">
        <f t="shared" si="72"/>
        <v>4874.5832586404558</v>
      </c>
      <c r="Q494" s="22">
        <v>2777.0693256854333</v>
      </c>
      <c r="R494" s="22">
        <f t="shared" si="73"/>
        <v>574.85335041688461</v>
      </c>
      <c r="S494" s="22">
        <f t="shared" si="74"/>
        <v>5449.4366090573403</v>
      </c>
      <c r="T494" s="23">
        <v>0.55859868298040061</v>
      </c>
      <c r="U494" s="24">
        <v>0.1</v>
      </c>
      <c r="V494" s="25">
        <f t="shared" si="77"/>
        <v>9342.8331940481457</v>
      </c>
      <c r="W494" s="26" t="s">
        <v>29</v>
      </c>
    </row>
    <row r="495" spans="1:23" ht="89.25" x14ac:dyDescent="0.25">
      <c r="A495" s="17">
        <f t="shared" ca="1" si="75"/>
        <v>491</v>
      </c>
      <c r="B495" s="18" t="s">
        <v>139</v>
      </c>
      <c r="C495" s="18" t="s">
        <v>1011</v>
      </c>
      <c r="D495" s="18"/>
      <c r="E495" s="18"/>
      <c r="F495" s="18"/>
      <c r="G495" s="18"/>
      <c r="H495" s="19" t="s">
        <v>1012</v>
      </c>
      <c r="I495" s="18" t="s">
        <v>161</v>
      </c>
      <c r="J495" s="20">
        <v>1</v>
      </c>
      <c r="K495" s="20">
        <v>1.1499999999999999</v>
      </c>
      <c r="L495" s="21" t="s">
        <v>28</v>
      </c>
      <c r="M495" s="22">
        <v>4.3463000000000003</v>
      </c>
      <c r="N495" s="22">
        <v>0.18</v>
      </c>
      <c r="O495" s="22">
        <v>1017.1985435894751</v>
      </c>
      <c r="P495" s="22">
        <f t="shared" si="72"/>
        <v>5084.2075345033763</v>
      </c>
      <c r="Q495" s="22">
        <v>2777.0693256854333</v>
      </c>
      <c r="R495" s="22">
        <f t="shared" si="73"/>
        <v>574.85335041688461</v>
      </c>
      <c r="S495" s="22">
        <f t="shared" si="74"/>
        <v>5659.0608849202608</v>
      </c>
      <c r="T495" s="23">
        <v>0.55859868298040061</v>
      </c>
      <c r="U495" s="24">
        <v>0.1</v>
      </c>
      <c r="V495" s="25">
        <f t="shared" si="77"/>
        <v>9702.22532635688</v>
      </c>
      <c r="W495" s="26" t="s">
        <v>29</v>
      </c>
    </row>
    <row r="496" spans="1:23" ht="89.25" x14ac:dyDescent="0.25">
      <c r="A496" s="17">
        <f t="shared" ca="1" si="75"/>
        <v>492</v>
      </c>
      <c r="B496" s="18" t="s">
        <v>139</v>
      </c>
      <c r="C496" s="18" t="s">
        <v>1013</v>
      </c>
      <c r="D496" s="18"/>
      <c r="E496" s="18"/>
      <c r="F496" s="18"/>
      <c r="G496" s="18"/>
      <c r="H496" s="19" t="s">
        <v>1014</v>
      </c>
      <c r="I496" s="18" t="s">
        <v>161</v>
      </c>
      <c r="J496" s="20">
        <v>1</v>
      </c>
      <c r="K496" s="20">
        <v>1.1499999999999999</v>
      </c>
      <c r="L496" s="21" t="s">
        <v>28</v>
      </c>
      <c r="M496" s="22">
        <v>4.5254999999999992</v>
      </c>
      <c r="N496" s="22">
        <v>0.18</v>
      </c>
      <c r="O496" s="22">
        <v>1017.1985435894751</v>
      </c>
      <c r="P496" s="22">
        <f t="shared" si="72"/>
        <v>5293.8318103662941</v>
      </c>
      <c r="Q496" s="22">
        <v>2777.0693256854333</v>
      </c>
      <c r="R496" s="22">
        <f t="shared" si="73"/>
        <v>574.85335041688461</v>
      </c>
      <c r="S496" s="22">
        <f t="shared" si="74"/>
        <v>5868.6851607831786</v>
      </c>
      <c r="T496" s="23">
        <v>0.55859868298040061</v>
      </c>
      <c r="U496" s="24">
        <v>0.1</v>
      </c>
      <c r="V496" s="25">
        <f t="shared" si="77"/>
        <v>10061.617458665613</v>
      </c>
      <c r="W496" s="26" t="s">
        <v>29</v>
      </c>
    </row>
    <row r="497" spans="1:23" ht="89.25" x14ac:dyDescent="0.25">
      <c r="A497" s="17">
        <f t="shared" ca="1" si="75"/>
        <v>493</v>
      </c>
      <c r="B497" s="18" t="s">
        <v>139</v>
      </c>
      <c r="C497" s="18" t="s">
        <v>1015</v>
      </c>
      <c r="D497" s="18"/>
      <c r="E497" s="18"/>
      <c r="F497" s="18"/>
      <c r="G497" s="18"/>
      <c r="H497" s="19" t="s">
        <v>1016</v>
      </c>
      <c r="I497" s="18" t="s">
        <v>161</v>
      </c>
      <c r="J497" s="20">
        <v>1</v>
      </c>
      <c r="K497" s="20">
        <v>1.1499999999999999</v>
      </c>
      <c r="L497" s="21" t="s">
        <v>28</v>
      </c>
      <c r="M497" s="22">
        <v>5.6335999999999995</v>
      </c>
      <c r="N497" s="22">
        <v>0.18</v>
      </c>
      <c r="O497" s="22">
        <v>1017.1985435894751</v>
      </c>
      <c r="P497" s="22">
        <f t="shared" si="72"/>
        <v>6590.0631724405157</v>
      </c>
      <c r="Q497" s="22">
        <v>2777.0693256854333</v>
      </c>
      <c r="R497" s="22">
        <f t="shared" si="73"/>
        <v>574.85335041688461</v>
      </c>
      <c r="S497" s="22">
        <f t="shared" si="74"/>
        <v>7164.9165228574002</v>
      </c>
      <c r="T497" s="23">
        <v>0.55859868298040061</v>
      </c>
      <c r="U497" s="24">
        <v>0.1</v>
      </c>
      <c r="V497" s="25">
        <f t="shared" si="77"/>
        <v>12283.952401809061</v>
      </c>
      <c r="W497" s="26" t="s">
        <v>29</v>
      </c>
    </row>
    <row r="498" spans="1:23" ht="89.25" x14ac:dyDescent="0.25">
      <c r="A498" s="17">
        <f t="shared" ca="1" si="75"/>
        <v>494</v>
      </c>
      <c r="B498" s="18" t="s">
        <v>139</v>
      </c>
      <c r="C498" s="18" t="s">
        <v>1017</v>
      </c>
      <c r="D498" s="18"/>
      <c r="E498" s="18"/>
      <c r="F498" s="18"/>
      <c r="G498" s="18"/>
      <c r="H498" s="19" t="s">
        <v>1018</v>
      </c>
      <c r="I498" s="18" t="s">
        <v>161</v>
      </c>
      <c r="J498" s="20">
        <v>1</v>
      </c>
      <c r="K498" s="20">
        <v>1.1499999999999999</v>
      </c>
      <c r="L498" s="21" t="s">
        <v>28</v>
      </c>
      <c r="M498" s="22">
        <v>5.8127999999999984</v>
      </c>
      <c r="N498" s="22">
        <v>0.18</v>
      </c>
      <c r="O498" s="22">
        <v>1017.1985435894751</v>
      </c>
      <c r="P498" s="22">
        <f t="shared" si="72"/>
        <v>6799.6874483034335</v>
      </c>
      <c r="Q498" s="22">
        <v>2777.0693256854333</v>
      </c>
      <c r="R498" s="22">
        <f t="shared" si="73"/>
        <v>574.85335041688461</v>
      </c>
      <c r="S498" s="22">
        <f t="shared" si="74"/>
        <v>7374.540798720318</v>
      </c>
      <c r="T498" s="23">
        <v>0.55859868298040061</v>
      </c>
      <c r="U498" s="24">
        <v>0.1</v>
      </c>
      <c r="V498" s="25">
        <f t="shared" si="77"/>
        <v>12643.34453411779</v>
      </c>
      <c r="W498" s="26" t="s">
        <v>29</v>
      </c>
    </row>
    <row r="499" spans="1:23" ht="89.25" x14ac:dyDescent="0.25">
      <c r="A499" s="17">
        <f t="shared" ca="1" si="75"/>
        <v>495</v>
      </c>
      <c r="B499" s="18" t="s">
        <v>139</v>
      </c>
      <c r="C499" s="18" t="s">
        <v>1019</v>
      </c>
      <c r="D499" s="18"/>
      <c r="E499" s="18"/>
      <c r="F499" s="18"/>
      <c r="G499" s="18"/>
      <c r="H499" s="19" t="s">
        <v>1020</v>
      </c>
      <c r="I499" s="18" t="s">
        <v>161</v>
      </c>
      <c r="J499" s="20">
        <v>1</v>
      </c>
      <c r="K499" s="20">
        <v>1.1499999999999999</v>
      </c>
      <c r="L499" s="21" t="s">
        <v>28</v>
      </c>
      <c r="M499" s="22">
        <v>6.6219999999999999</v>
      </c>
      <c r="N499" s="22">
        <v>0.44999999999999996</v>
      </c>
      <c r="O499" s="22">
        <v>1017.1985435894751</v>
      </c>
      <c r="P499" s="22">
        <f t="shared" si="72"/>
        <v>7746.2720689969283</v>
      </c>
      <c r="Q499" s="22">
        <v>2777.0693256854333</v>
      </c>
      <c r="R499" s="22">
        <f t="shared" si="73"/>
        <v>1437.1333760422117</v>
      </c>
      <c r="S499" s="22">
        <f t="shared" si="74"/>
        <v>9183.4054450391395</v>
      </c>
      <c r="T499" s="23">
        <v>0.55859868298040061</v>
      </c>
      <c r="U499" s="24">
        <v>0.1</v>
      </c>
      <c r="V499" s="25">
        <f t="shared" si="77"/>
        <v>15744.567995104348</v>
      </c>
      <c r="W499" s="26" t="s">
        <v>29</v>
      </c>
    </row>
    <row r="500" spans="1:23" ht="89.25" x14ac:dyDescent="0.25">
      <c r="A500" s="17">
        <f t="shared" ca="1" si="75"/>
        <v>496</v>
      </c>
      <c r="B500" s="18" t="s">
        <v>139</v>
      </c>
      <c r="C500" s="18" t="s">
        <v>1021</v>
      </c>
      <c r="D500" s="18"/>
      <c r="E500" s="18"/>
      <c r="F500" s="18"/>
      <c r="G500" s="18"/>
      <c r="H500" s="19" t="s">
        <v>1022</v>
      </c>
      <c r="I500" s="18" t="s">
        <v>161</v>
      </c>
      <c r="J500" s="20">
        <v>1</v>
      </c>
      <c r="K500" s="20">
        <v>1.1499999999999999</v>
      </c>
      <c r="L500" s="21" t="s">
        <v>28</v>
      </c>
      <c r="M500" s="22">
        <v>6.8018999999999998</v>
      </c>
      <c r="N500" s="22">
        <v>0.44999999999999996</v>
      </c>
      <c r="O500" s="22">
        <v>1017.1985435894751</v>
      </c>
      <c r="P500" s="22">
        <f t="shared" si="72"/>
        <v>7956.7151896874375</v>
      </c>
      <c r="Q500" s="22">
        <v>2777.0693256854333</v>
      </c>
      <c r="R500" s="22">
        <f t="shared" si="73"/>
        <v>1437.1333760422117</v>
      </c>
      <c r="S500" s="22">
        <f t="shared" si="74"/>
        <v>9393.8485657296496</v>
      </c>
      <c r="T500" s="23">
        <v>0.55859868298040061</v>
      </c>
      <c r="U500" s="24">
        <v>0.1</v>
      </c>
      <c r="V500" s="25">
        <f t="shared" si="77"/>
        <v>16105.364002929913</v>
      </c>
      <c r="W500" s="26" t="s">
        <v>29</v>
      </c>
    </row>
    <row r="501" spans="1:23" ht="89.25" x14ac:dyDescent="0.25">
      <c r="A501" s="17">
        <f t="shared" ca="1" si="75"/>
        <v>497</v>
      </c>
      <c r="B501" s="18" t="s">
        <v>139</v>
      </c>
      <c r="C501" s="18" t="s">
        <v>1023</v>
      </c>
      <c r="D501" s="18"/>
      <c r="E501" s="18"/>
      <c r="F501" s="18"/>
      <c r="G501" s="18"/>
      <c r="H501" s="19" t="s">
        <v>1024</v>
      </c>
      <c r="I501" s="18" t="s">
        <v>161</v>
      </c>
      <c r="J501" s="20">
        <v>1</v>
      </c>
      <c r="K501" s="20">
        <v>1.1499999999999999</v>
      </c>
      <c r="L501" s="21" t="s">
        <v>28</v>
      </c>
      <c r="M501" s="22">
        <v>7.9092999999999991</v>
      </c>
      <c r="N501" s="22">
        <v>0.44999999999999996</v>
      </c>
      <c r="O501" s="22">
        <v>1017.1985435894751</v>
      </c>
      <c r="P501" s="22">
        <f t="shared" si="72"/>
        <v>9252.1277069340686</v>
      </c>
      <c r="Q501" s="22">
        <v>2777.0693256854333</v>
      </c>
      <c r="R501" s="22">
        <f t="shared" si="73"/>
        <v>1437.1333760422117</v>
      </c>
      <c r="S501" s="22">
        <f t="shared" si="74"/>
        <v>10689.26108297628</v>
      </c>
      <c r="T501" s="23">
        <v>0.55859868298040061</v>
      </c>
      <c r="U501" s="24">
        <v>0.1</v>
      </c>
      <c r="V501" s="25">
        <f t="shared" si="77"/>
        <v>18326.295070556527</v>
      </c>
      <c r="W501" s="26" t="s">
        <v>29</v>
      </c>
    </row>
    <row r="502" spans="1:23" ht="89.25" x14ac:dyDescent="0.25">
      <c r="A502" s="17">
        <f t="shared" ca="1" si="75"/>
        <v>498</v>
      </c>
      <c r="B502" s="18" t="s">
        <v>139</v>
      </c>
      <c r="C502" s="18" t="s">
        <v>1025</v>
      </c>
      <c r="D502" s="18"/>
      <c r="E502" s="18"/>
      <c r="F502" s="18"/>
      <c r="G502" s="18"/>
      <c r="H502" s="19" t="s">
        <v>1026</v>
      </c>
      <c r="I502" s="18" t="s">
        <v>161</v>
      </c>
      <c r="J502" s="20">
        <v>1</v>
      </c>
      <c r="K502" s="20">
        <v>1.1499999999999999</v>
      </c>
      <c r="L502" s="21" t="s">
        <v>28</v>
      </c>
      <c r="M502" s="22">
        <v>8.0884999999999998</v>
      </c>
      <c r="N502" s="22">
        <v>0.44999999999999996</v>
      </c>
      <c r="O502" s="22">
        <v>1017.1985435894751</v>
      </c>
      <c r="P502" s="22">
        <f t="shared" si="72"/>
        <v>9461.75198279699</v>
      </c>
      <c r="Q502" s="22">
        <v>2777.0693256854333</v>
      </c>
      <c r="R502" s="22">
        <f t="shared" si="73"/>
        <v>1437.1333760422117</v>
      </c>
      <c r="S502" s="22">
        <f t="shared" si="74"/>
        <v>10898.885358839201</v>
      </c>
      <c r="T502" s="23">
        <v>0.55859868298040061</v>
      </c>
      <c r="U502" s="24">
        <v>0.1</v>
      </c>
      <c r="V502" s="25">
        <f t="shared" si="77"/>
        <v>18685.687202865269</v>
      </c>
      <c r="W502" s="26" t="s">
        <v>29</v>
      </c>
    </row>
    <row r="503" spans="1:23" ht="89.25" x14ac:dyDescent="0.25">
      <c r="A503" s="17">
        <f t="shared" ca="1" si="75"/>
        <v>499</v>
      </c>
      <c r="B503" s="18" t="s">
        <v>139</v>
      </c>
      <c r="C503" s="18" t="s">
        <v>1027</v>
      </c>
      <c r="D503" s="18"/>
      <c r="E503" s="18"/>
      <c r="F503" s="18"/>
      <c r="G503" s="18"/>
      <c r="H503" s="19" t="s">
        <v>1028</v>
      </c>
      <c r="I503" s="18" t="s">
        <v>161</v>
      </c>
      <c r="J503" s="20">
        <v>1</v>
      </c>
      <c r="K503" s="20">
        <v>1.1499999999999999</v>
      </c>
      <c r="L503" s="21" t="s">
        <v>28</v>
      </c>
      <c r="M503" s="22">
        <v>3.8933999999999997</v>
      </c>
      <c r="N503" s="22">
        <v>4.4999999999999998E-2</v>
      </c>
      <c r="O503" s="22">
        <v>1017.1985435894751</v>
      </c>
      <c r="P503" s="22">
        <f t="shared" si="72"/>
        <v>4554.414931052951</v>
      </c>
      <c r="Q503" s="22">
        <v>2777.0693256854333</v>
      </c>
      <c r="R503" s="22">
        <f t="shared" si="73"/>
        <v>143.71333760422115</v>
      </c>
      <c r="S503" s="22">
        <f t="shared" si="74"/>
        <v>4698.1282686571722</v>
      </c>
      <c r="T503" s="23">
        <v>0.55859868298040061</v>
      </c>
      <c r="U503" s="24">
        <v>0.1</v>
      </c>
      <c r="V503" s="25">
        <f t="shared" si="77"/>
        <v>8054.7461852022643</v>
      </c>
      <c r="W503" s="26" t="s">
        <v>29</v>
      </c>
    </row>
    <row r="504" spans="1:23" ht="89.25" x14ac:dyDescent="0.25">
      <c r="A504" s="17">
        <f t="shared" ca="1" si="75"/>
        <v>500</v>
      </c>
      <c r="B504" s="18" t="s">
        <v>139</v>
      </c>
      <c r="C504" s="18" t="s">
        <v>1029</v>
      </c>
      <c r="D504" s="18"/>
      <c r="E504" s="18"/>
      <c r="F504" s="18"/>
      <c r="G504" s="18"/>
      <c r="H504" s="19" t="s">
        <v>1030</v>
      </c>
      <c r="I504" s="18" t="s">
        <v>161</v>
      </c>
      <c r="J504" s="20">
        <v>1</v>
      </c>
      <c r="K504" s="20">
        <v>1.1499999999999999</v>
      </c>
      <c r="L504" s="21" t="s">
        <v>28</v>
      </c>
      <c r="M504" s="22">
        <v>4.1328000000000005</v>
      </c>
      <c r="N504" s="22">
        <v>4.4999999999999998E-2</v>
      </c>
      <c r="O504" s="22">
        <v>1017.1985435894751</v>
      </c>
      <c r="P504" s="22">
        <f t="shared" si="72"/>
        <v>4834.4598620885699</v>
      </c>
      <c r="Q504" s="22">
        <v>2777.0693256854333</v>
      </c>
      <c r="R504" s="22">
        <f t="shared" si="73"/>
        <v>143.71333760422115</v>
      </c>
      <c r="S504" s="22">
        <f t="shared" si="74"/>
        <v>4978.1731996927911</v>
      </c>
      <c r="T504" s="23">
        <v>0.55859868298040061</v>
      </c>
      <c r="U504" s="24">
        <v>0.1</v>
      </c>
      <c r="V504" s="25">
        <f t="shared" si="77"/>
        <v>8534.8716119584624</v>
      </c>
      <c r="W504" s="26" t="s">
        <v>29</v>
      </c>
    </row>
    <row r="505" spans="1:23" ht="89.25" x14ac:dyDescent="0.25">
      <c r="A505" s="17">
        <f t="shared" ca="1" si="75"/>
        <v>501</v>
      </c>
      <c r="B505" s="18" t="s">
        <v>139</v>
      </c>
      <c r="C505" s="18" t="s">
        <v>1031</v>
      </c>
      <c r="D505" s="18"/>
      <c r="E505" s="18"/>
      <c r="F505" s="18"/>
      <c r="G505" s="18"/>
      <c r="H505" s="19" t="s">
        <v>1032</v>
      </c>
      <c r="I505" s="18" t="s">
        <v>161</v>
      </c>
      <c r="J505" s="20">
        <v>1</v>
      </c>
      <c r="K505" s="20">
        <v>1.1499999999999999</v>
      </c>
      <c r="L505" s="21" t="s">
        <v>28</v>
      </c>
      <c r="M505" s="22">
        <v>4.6864999999999997</v>
      </c>
      <c r="N505" s="22">
        <v>0.18</v>
      </c>
      <c r="O505" s="22">
        <v>1017.1985435894751</v>
      </c>
      <c r="P505" s="22">
        <f t="shared" si="72"/>
        <v>5482.166120711885</v>
      </c>
      <c r="Q505" s="22">
        <v>2777.0693256854333</v>
      </c>
      <c r="R505" s="22">
        <f t="shared" si="73"/>
        <v>574.85335041688461</v>
      </c>
      <c r="S505" s="22">
        <f t="shared" si="74"/>
        <v>6057.0194711287695</v>
      </c>
      <c r="T505" s="23">
        <v>0.55859868298040061</v>
      </c>
      <c r="U505" s="24">
        <v>0.1</v>
      </c>
      <c r="V505" s="25">
        <f t="shared" si="77"/>
        <v>10384.508827536738</v>
      </c>
      <c r="W505" s="26" t="s">
        <v>29</v>
      </c>
    </row>
    <row r="506" spans="1:23" ht="89.25" x14ac:dyDescent="0.25">
      <c r="A506" s="17">
        <f t="shared" ca="1" si="75"/>
        <v>502</v>
      </c>
      <c r="B506" s="18" t="s">
        <v>139</v>
      </c>
      <c r="C506" s="18" t="s">
        <v>1033</v>
      </c>
      <c r="D506" s="18"/>
      <c r="E506" s="18"/>
      <c r="F506" s="18"/>
      <c r="G506" s="18"/>
      <c r="H506" s="19" t="s">
        <v>1034</v>
      </c>
      <c r="I506" s="18" t="s">
        <v>161</v>
      </c>
      <c r="J506" s="20">
        <v>1</v>
      </c>
      <c r="K506" s="20">
        <v>1.1499999999999999</v>
      </c>
      <c r="L506" s="21" t="s">
        <v>28</v>
      </c>
      <c r="M506" s="22">
        <v>4.9258999999999995</v>
      </c>
      <c r="N506" s="22">
        <v>0.18</v>
      </c>
      <c r="O506" s="22">
        <v>1017.1985435894751</v>
      </c>
      <c r="P506" s="22">
        <f t="shared" si="72"/>
        <v>5762.2110517475039</v>
      </c>
      <c r="Q506" s="22">
        <v>2777.0693256854333</v>
      </c>
      <c r="R506" s="22">
        <f t="shared" si="73"/>
        <v>574.85335041688461</v>
      </c>
      <c r="S506" s="22">
        <f t="shared" si="74"/>
        <v>6337.0644021643884</v>
      </c>
      <c r="T506" s="23">
        <v>0.55859868298040061</v>
      </c>
      <c r="U506" s="24">
        <v>0.1</v>
      </c>
      <c r="V506" s="25">
        <f t="shared" si="77"/>
        <v>10864.634254292934</v>
      </c>
      <c r="W506" s="26" t="s">
        <v>29</v>
      </c>
    </row>
    <row r="507" spans="1:23" ht="89.25" x14ac:dyDescent="0.25">
      <c r="A507" s="17">
        <f t="shared" ca="1" si="75"/>
        <v>503</v>
      </c>
      <c r="B507" s="18" t="s">
        <v>139</v>
      </c>
      <c r="C507" s="18" t="s">
        <v>1035</v>
      </c>
      <c r="D507" s="18"/>
      <c r="E507" s="18"/>
      <c r="F507" s="18"/>
      <c r="G507" s="18"/>
      <c r="H507" s="19" t="s">
        <v>1036</v>
      </c>
      <c r="I507" s="18" t="s">
        <v>161</v>
      </c>
      <c r="J507" s="20">
        <v>1</v>
      </c>
      <c r="K507" s="20">
        <v>1.1499999999999999</v>
      </c>
      <c r="L507" s="21" t="s">
        <v>28</v>
      </c>
      <c r="M507" s="22">
        <v>6.0927999999999987</v>
      </c>
      <c r="N507" s="22">
        <v>0.18</v>
      </c>
      <c r="O507" s="22">
        <v>1017.1985435894751</v>
      </c>
      <c r="P507" s="22">
        <f t="shared" si="72"/>
        <v>7127.2253793392447</v>
      </c>
      <c r="Q507" s="22">
        <v>2777.0693256854333</v>
      </c>
      <c r="R507" s="22">
        <f t="shared" si="73"/>
        <v>574.85335041688461</v>
      </c>
      <c r="S507" s="22">
        <f t="shared" si="74"/>
        <v>7702.0787297561292</v>
      </c>
      <c r="T507" s="23">
        <v>0.55859868298040061</v>
      </c>
      <c r="U507" s="24">
        <v>0.1</v>
      </c>
      <c r="V507" s="25">
        <f t="shared" si="77"/>
        <v>13204.894740850184</v>
      </c>
      <c r="W507" s="26" t="s">
        <v>29</v>
      </c>
    </row>
    <row r="508" spans="1:23" ht="89.25" x14ac:dyDescent="0.25">
      <c r="A508" s="17">
        <f t="shared" ca="1" si="75"/>
        <v>504</v>
      </c>
      <c r="B508" s="18" t="s">
        <v>139</v>
      </c>
      <c r="C508" s="18" t="s">
        <v>1037</v>
      </c>
      <c r="D508" s="18"/>
      <c r="E508" s="18"/>
      <c r="F508" s="18"/>
      <c r="G508" s="18"/>
      <c r="H508" s="19" t="s">
        <v>1038</v>
      </c>
      <c r="I508" s="18" t="s">
        <v>161</v>
      </c>
      <c r="J508" s="20">
        <v>1</v>
      </c>
      <c r="K508" s="20">
        <v>1.1499999999999999</v>
      </c>
      <c r="L508" s="21" t="s">
        <v>28</v>
      </c>
      <c r="M508" s="22">
        <v>6.3321999999999994</v>
      </c>
      <c r="N508" s="22">
        <v>0.18</v>
      </c>
      <c r="O508" s="22">
        <v>1017.1985435894751</v>
      </c>
      <c r="P508" s="22">
        <f t="shared" si="72"/>
        <v>7407.2703103748645</v>
      </c>
      <c r="Q508" s="22">
        <v>2777.0693256854333</v>
      </c>
      <c r="R508" s="22">
        <f t="shared" si="73"/>
        <v>574.85335041688461</v>
      </c>
      <c r="S508" s="22">
        <f t="shared" si="74"/>
        <v>7982.123660791749</v>
      </c>
      <c r="T508" s="23">
        <v>0.55859868298040061</v>
      </c>
      <c r="U508" s="24">
        <v>0.1</v>
      </c>
      <c r="V508" s="25">
        <f t="shared" si="77"/>
        <v>13685.020167606384</v>
      </c>
      <c r="W508" s="26" t="s">
        <v>29</v>
      </c>
    </row>
    <row r="509" spans="1:23" ht="89.25" x14ac:dyDescent="0.25">
      <c r="A509" s="17">
        <f t="shared" ca="1" si="75"/>
        <v>505</v>
      </c>
      <c r="B509" s="18" t="s">
        <v>139</v>
      </c>
      <c r="C509" s="18" t="s">
        <v>1039</v>
      </c>
      <c r="D509" s="18"/>
      <c r="E509" s="18"/>
      <c r="F509" s="18"/>
      <c r="G509" s="18"/>
      <c r="H509" s="19" t="s">
        <v>1040</v>
      </c>
      <c r="I509" s="18" t="s">
        <v>161</v>
      </c>
      <c r="J509" s="20">
        <v>1</v>
      </c>
      <c r="K509" s="20">
        <v>1.1499999999999999</v>
      </c>
      <c r="L509" s="21" t="s">
        <v>28</v>
      </c>
      <c r="M509" s="22">
        <v>6.5715999999999992</v>
      </c>
      <c r="N509" s="22">
        <v>0.18</v>
      </c>
      <c r="O509" s="22">
        <v>1017.1985435894751</v>
      </c>
      <c r="P509" s="22">
        <f t="shared" si="72"/>
        <v>7687.3152414104825</v>
      </c>
      <c r="Q509" s="22">
        <v>2777.0693256854333</v>
      </c>
      <c r="R509" s="22">
        <f t="shared" si="73"/>
        <v>574.85335041688461</v>
      </c>
      <c r="S509" s="22">
        <f t="shared" si="74"/>
        <v>8262.168591827367</v>
      </c>
      <c r="T509" s="23">
        <v>0.55859868298040061</v>
      </c>
      <c r="U509" s="24">
        <v>0.1</v>
      </c>
      <c r="V509" s="25">
        <f t="shared" si="77"/>
        <v>14165.145594362581</v>
      </c>
      <c r="W509" s="26" t="s">
        <v>29</v>
      </c>
    </row>
    <row r="510" spans="1:23" ht="89.25" x14ac:dyDescent="0.25">
      <c r="A510" s="17">
        <f t="shared" ca="1" si="75"/>
        <v>506</v>
      </c>
      <c r="B510" s="18" t="s">
        <v>139</v>
      </c>
      <c r="C510" s="18" t="s">
        <v>1041</v>
      </c>
      <c r="D510" s="18"/>
      <c r="E510" s="18"/>
      <c r="F510" s="18"/>
      <c r="G510" s="18"/>
      <c r="H510" s="19" t="s">
        <v>1042</v>
      </c>
      <c r="I510" s="18" t="s">
        <v>161</v>
      </c>
      <c r="J510" s="20">
        <v>1</v>
      </c>
      <c r="K510" s="20">
        <v>1.1499999999999999</v>
      </c>
      <c r="L510" s="21" t="s">
        <v>28</v>
      </c>
      <c r="M510" s="22">
        <v>7.4409999999999998</v>
      </c>
      <c r="N510" s="22">
        <v>0.44999999999999996</v>
      </c>
      <c r="O510" s="22">
        <v>1017.1985435894751</v>
      </c>
      <c r="P510" s="22">
        <f t="shared" si="72"/>
        <v>8704.3205172766757</v>
      </c>
      <c r="Q510" s="22">
        <v>2777.0693256854333</v>
      </c>
      <c r="R510" s="22">
        <f t="shared" si="73"/>
        <v>1437.1333760422117</v>
      </c>
      <c r="S510" s="22">
        <f t="shared" si="74"/>
        <v>10141.453893318887</v>
      </c>
      <c r="T510" s="23">
        <v>0.55859868298040061</v>
      </c>
      <c r="U510" s="24">
        <v>0.1</v>
      </c>
      <c r="V510" s="25">
        <f t="shared" si="77"/>
        <v>17387.102349796602</v>
      </c>
      <c r="W510" s="26" t="s">
        <v>29</v>
      </c>
    </row>
    <row r="511" spans="1:23" ht="89.25" x14ac:dyDescent="0.25">
      <c r="A511" s="17">
        <f t="shared" ca="1" si="75"/>
        <v>507</v>
      </c>
      <c r="B511" s="18" t="s">
        <v>139</v>
      </c>
      <c r="C511" s="18" t="s">
        <v>1043</v>
      </c>
      <c r="D511" s="18"/>
      <c r="E511" s="18"/>
      <c r="F511" s="18"/>
      <c r="G511" s="18"/>
      <c r="H511" s="19" t="s">
        <v>1044</v>
      </c>
      <c r="I511" s="18" t="s">
        <v>161</v>
      </c>
      <c r="J511" s="20">
        <v>1</v>
      </c>
      <c r="K511" s="20">
        <v>1.1499999999999999</v>
      </c>
      <c r="L511" s="21" t="s">
        <v>28</v>
      </c>
      <c r="M511" s="22">
        <v>8.607899999999999</v>
      </c>
      <c r="N511" s="22">
        <v>0.44999999999999996</v>
      </c>
      <c r="O511" s="22">
        <v>1017.1985435894751</v>
      </c>
      <c r="P511" s="22">
        <f t="shared" ref="P511:P574" si="78">O511*M511*K511</f>
        <v>10069.334844868417</v>
      </c>
      <c r="Q511" s="22">
        <v>2777.0693256854333</v>
      </c>
      <c r="R511" s="22">
        <f t="shared" ref="R511:R574" si="79">N511*Q511*K511</f>
        <v>1437.1333760422117</v>
      </c>
      <c r="S511" s="22">
        <f t="shared" ref="S511:S574" si="80">P511+R511</f>
        <v>11506.468220910629</v>
      </c>
      <c r="T511" s="23">
        <v>0.55859868298040061</v>
      </c>
      <c r="U511" s="24">
        <v>0.1</v>
      </c>
      <c r="V511" s="25">
        <f t="shared" si="77"/>
        <v>19727.362836353852</v>
      </c>
      <c r="W511" s="26" t="s">
        <v>29</v>
      </c>
    </row>
    <row r="512" spans="1:23" ht="89.25" x14ac:dyDescent="0.25">
      <c r="A512" s="17">
        <f t="shared" ca="1" si="75"/>
        <v>508</v>
      </c>
      <c r="B512" s="18" t="s">
        <v>139</v>
      </c>
      <c r="C512" s="18" t="s">
        <v>1045</v>
      </c>
      <c r="D512" s="18"/>
      <c r="E512" s="18"/>
      <c r="F512" s="18"/>
      <c r="G512" s="18"/>
      <c r="H512" s="19" t="s">
        <v>1046</v>
      </c>
      <c r="I512" s="18" t="s">
        <v>161</v>
      </c>
      <c r="J512" s="20">
        <v>1</v>
      </c>
      <c r="K512" s="20">
        <v>1.1499999999999999</v>
      </c>
      <c r="L512" s="21" t="s">
        <v>28</v>
      </c>
      <c r="M512" s="22">
        <v>8.8472999999999988</v>
      </c>
      <c r="N512" s="22">
        <v>0.44999999999999996</v>
      </c>
      <c r="O512" s="22">
        <v>1017.1985435894751</v>
      </c>
      <c r="P512" s="22">
        <f t="shared" si="78"/>
        <v>10349.379775904035</v>
      </c>
      <c r="Q512" s="22">
        <v>2777.0693256854333</v>
      </c>
      <c r="R512" s="22">
        <f t="shared" si="79"/>
        <v>1437.1333760422117</v>
      </c>
      <c r="S512" s="22">
        <f t="shared" si="80"/>
        <v>11786.513151946247</v>
      </c>
      <c r="T512" s="23">
        <v>0.55859868298040061</v>
      </c>
      <c r="U512" s="24">
        <v>0.1</v>
      </c>
      <c r="V512" s="25">
        <f t="shared" si="77"/>
        <v>20207.488263110052</v>
      </c>
      <c r="W512" s="26" t="s">
        <v>29</v>
      </c>
    </row>
    <row r="513" spans="1:23" ht="89.25" x14ac:dyDescent="0.25">
      <c r="A513" s="17">
        <f t="shared" ca="1" si="75"/>
        <v>509</v>
      </c>
      <c r="B513" s="18" t="s">
        <v>139</v>
      </c>
      <c r="C513" s="18" t="s">
        <v>1047</v>
      </c>
      <c r="D513" s="18"/>
      <c r="E513" s="18"/>
      <c r="F513" s="18"/>
      <c r="G513" s="18"/>
      <c r="H513" s="19" t="s">
        <v>1048</v>
      </c>
      <c r="I513" s="18" t="s">
        <v>161</v>
      </c>
      <c r="J513" s="20">
        <v>1</v>
      </c>
      <c r="K513" s="20">
        <v>1.1499999999999999</v>
      </c>
      <c r="L513" s="21" t="s">
        <v>28</v>
      </c>
      <c r="M513" s="22">
        <v>9.0866999999999987</v>
      </c>
      <c r="N513" s="22">
        <v>0.44999999999999996</v>
      </c>
      <c r="O513" s="22">
        <v>1017.1985435894751</v>
      </c>
      <c r="P513" s="22">
        <f t="shared" si="78"/>
        <v>10629.424706939653</v>
      </c>
      <c r="Q513" s="22">
        <v>2777.0693256854333</v>
      </c>
      <c r="R513" s="22">
        <f t="shared" si="79"/>
        <v>1437.1333760422117</v>
      </c>
      <c r="S513" s="22">
        <f t="shared" si="80"/>
        <v>12066.558082981865</v>
      </c>
      <c r="T513" s="23">
        <v>0.55859868298040061</v>
      </c>
      <c r="U513" s="24">
        <v>0.1</v>
      </c>
      <c r="V513" s="25">
        <f t="shared" si="77"/>
        <v>20687.613689866248</v>
      </c>
      <c r="W513" s="26" t="s">
        <v>29</v>
      </c>
    </row>
    <row r="514" spans="1:23" ht="89.25" x14ac:dyDescent="0.25">
      <c r="A514" s="17">
        <f t="shared" ca="1" si="75"/>
        <v>510</v>
      </c>
      <c r="B514" s="18" t="s">
        <v>139</v>
      </c>
      <c r="C514" s="18" t="s">
        <v>1049</v>
      </c>
      <c r="D514" s="18"/>
      <c r="E514" s="18"/>
      <c r="F514" s="18"/>
      <c r="G514" s="18"/>
      <c r="H514" s="19" t="s">
        <v>1050</v>
      </c>
      <c r="I514" s="18" t="s">
        <v>161</v>
      </c>
      <c r="J514" s="20">
        <v>1</v>
      </c>
      <c r="K514" s="20">
        <v>1.1499999999999999</v>
      </c>
      <c r="L514" s="21" t="s">
        <v>28</v>
      </c>
      <c r="M514" s="22">
        <v>4.2930999999999999</v>
      </c>
      <c r="N514" s="22">
        <v>4.4999999999999998E-2</v>
      </c>
      <c r="O514" s="22">
        <v>1017.1985435894751</v>
      </c>
      <c r="P514" s="22">
        <f t="shared" si="78"/>
        <v>5021.9753276065712</v>
      </c>
      <c r="Q514" s="22">
        <v>2777.0693256854333</v>
      </c>
      <c r="R514" s="22">
        <f t="shared" si="79"/>
        <v>143.71333760422115</v>
      </c>
      <c r="S514" s="22">
        <f t="shared" si="80"/>
        <v>5165.6886652107924</v>
      </c>
      <c r="T514" s="23">
        <v>0.55859868298040061</v>
      </c>
      <c r="U514" s="24">
        <v>0.1</v>
      </c>
      <c r="V514" s="25">
        <f t="shared" si="77"/>
        <v>8856.3591053127566</v>
      </c>
      <c r="W514" s="26" t="s">
        <v>29</v>
      </c>
    </row>
    <row r="515" spans="1:23" ht="89.25" x14ac:dyDescent="0.25">
      <c r="A515" s="17">
        <f t="shared" ref="A515:A578" ca="1" si="81">CELL("строка",A515)-4</f>
        <v>511</v>
      </c>
      <c r="B515" s="18" t="s">
        <v>139</v>
      </c>
      <c r="C515" s="18" t="s">
        <v>1051</v>
      </c>
      <c r="D515" s="18"/>
      <c r="E515" s="18"/>
      <c r="F515" s="18"/>
      <c r="G515" s="18"/>
      <c r="H515" s="19" t="s">
        <v>1052</v>
      </c>
      <c r="I515" s="18" t="s">
        <v>161</v>
      </c>
      <c r="J515" s="20">
        <v>1</v>
      </c>
      <c r="K515" s="20">
        <v>1.1499999999999999</v>
      </c>
      <c r="L515" s="21" t="s">
        <v>28</v>
      </c>
      <c r="M515" s="22">
        <v>4.5919999999999996</v>
      </c>
      <c r="N515" s="22">
        <v>4.4999999999999998E-2</v>
      </c>
      <c r="O515" s="22">
        <v>1017.1985435894751</v>
      </c>
      <c r="P515" s="22">
        <f t="shared" si="78"/>
        <v>5371.6220689872989</v>
      </c>
      <c r="Q515" s="22">
        <v>2777.0693256854333</v>
      </c>
      <c r="R515" s="22">
        <f t="shared" si="79"/>
        <v>143.71333760422115</v>
      </c>
      <c r="S515" s="22">
        <f t="shared" si="80"/>
        <v>5515.33540659152</v>
      </c>
      <c r="T515" s="23">
        <v>0.55859868298040061</v>
      </c>
      <c r="U515" s="24">
        <v>0.1</v>
      </c>
      <c r="V515" s="25">
        <f t="shared" si="77"/>
        <v>9455.8139509995872</v>
      </c>
      <c r="W515" s="26" t="s">
        <v>29</v>
      </c>
    </row>
    <row r="516" spans="1:23" ht="89.25" x14ac:dyDescent="0.25">
      <c r="A516" s="17">
        <f t="shared" ca="1" si="81"/>
        <v>512</v>
      </c>
      <c r="B516" s="18" t="s">
        <v>139</v>
      </c>
      <c r="C516" s="18" t="s">
        <v>1053</v>
      </c>
      <c r="D516" s="18"/>
      <c r="E516" s="18"/>
      <c r="F516" s="18"/>
      <c r="G516" s="18"/>
      <c r="H516" s="19" t="s">
        <v>1054</v>
      </c>
      <c r="I516" s="18" t="s">
        <v>161</v>
      </c>
      <c r="J516" s="20">
        <v>1</v>
      </c>
      <c r="K516" s="20">
        <v>1.1499999999999999</v>
      </c>
      <c r="L516" s="21" t="s">
        <v>28</v>
      </c>
      <c r="M516" s="22">
        <v>5.2058999999999997</v>
      </c>
      <c r="N516" s="22">
        <v>0.18</v>
      </c>
      <c r="O516" s="22">
        <v>1017.1985435894751</v>
      </c>
      <c r="P516" s="22">
        <f t="shared" si="78"/>
        <v>6089.7489827833142</v>
      </c>
      <c r="Q516" s="22">
        <v>2777.0693256854333</v>
      </c>
      <c r="R516" s="22">
        <f t="shared" si="79"/>
        <v>574.85335041688461</v>
      </c>
      <c r="S516" s="22">
        <f t="shared" si="80"/>
        <v>6664.6023332001987</v>
      </c>
      <c r="T516" s="23">
        <v>0.55859868298040061</v>
      </c>
      <c r="U516" s="24">
        <v>0.1</v>
      </c>
      <c r="V516" s="25">
        <f t="shared" si="77"/>
        <v>11426.184461025328</v>
      </c>
      <c r="W516" s="26" t="s">
        <v>29</v>
      </c>
    </row>
    <row r="517" spans="1:23" ht="89.25" x14ac:dyDescent="0.25">
      <c r="A517" s="17">
        <f t="shared" ca="1" si="81"/>
        <v>513</v>
      </c>
      <c r="B517" s="18" t="s">
        <v>139</v>
      </c>
      <c r="C517" s="18" t="s">
        <v>1055</v>
      </c>
      <c r="D517" s="18"/>
      <c r="E517" s="18"/>
      <c r="F517" s="18"/>
      <c r="G517" s="18"/>
      <c r="H517" s="19" t="s">
        <v>1056</v>
      </c>
      <c r="I517" s="18" t="s">
        <v>161</v>
      </c>
      <c r="J517" s="20">
        <v>1</v>
      </c>
      <c r="K517" s="20">
        <v>1.1499999999999999</v>
      </c>
      <c r="L517" s="21" t="s">
        <v>28</v>
      </c>
      <c r="M517" s="22">
        <v>6.4329999999999989</v>
      </c>
      <c r="N517" s="22">
        <v>0.18</v>
      </c>
      <c r="O517" s="22">
        <v>1017.1985435894751</v>
      </c>
      <c r="P517" s="22">
        <f t="shared" si="78"/>
        <v>7525.1839655477552</v>
      </c>
      <c r="Q517" s="22">
        <v>2777.0693256854333</v>
      </c>
      <c r="R517" s="22">
        <f t="shared" si="79"/>
        <v>574.85335041688461</v>
      </c>
      <c r="S517" s="22">
        <f t="shared" si="80"/>
        <v>8100.0373159646397</v>
      </c>
      <c r="T517" s="23">
        <v>0.55859868298040061</v>
      </c>
      <c r="U517" s="24">
        <v>0.1</v>
      </c>
      <c r="V517" s="25">
        <f t="shared" si="77"/>
        <v>13887.178242030046</v>
      </c>
      <c r="W517" s="26" t="s">
        <v>29</v>
      </c>
    </row>
    <row r="518" spans="1:23" ht="89.25" x14ac:dyDescent="0.25">
      <c r="A518" s="17">
        <f t="shared" ca="1" si="81"/>
        <v>514</v>
      </c>
      <c r="B518" s="18" t="s">
        <v>139</v>
      </c>
      <c r="C518" s="18" t="s">
        <v>1057</v>
      </c>
      <c r="D518" s="18"/>
      <c r="E518" s="18"/>
      <c r="F518" s="18"/>
      <c r="G518" s="18"/>
      <c r="H518" s="19" t="s">
        <v>1058</v>
      </c>
      <c r="I518" s="18" t="s">
        <v>161</v>
      </c>
      <c r="J518" s="20">
        <v>1</v>
      </c>
      <c r="K518" s="20">
        <v>1.1499999999999999</v>
      </c>
      <c r="L518" s="21" t="s">
        <v>28</v>
      </c>
      <c r="M518" s="22">
        <v>6.7318999999999987</v>
      </c>
      <c r="N518" s="22">
        <v>0.18</v>
      </c>
      <c r="O518" s="22">
        <v>1017.1985435894751</v>
      </c>
      <c r="P518" s="22">
        <f t="shared" si="78"/>
        <v>7874.8307069284838</v>
      </c>
      <c r="Q518" s="22">
        <v>2777.0693256854333</v>
      </c>
      <c r="R518" s="22">
        <f t="shared" si="79"/>
        <v>574.85335041688461</v>
      </c>
      <c r="S518" s="22">
        <f t="shared" si="80"/>
        <v>8449.6840573453683</v>
      </c>
      <c r="T518" s="23">
        <v>0.55859868298040061</v>
      </c>
      <c r="U518" s="24">
        <v>0.1</v>
      </c>
      <c r="V518" s="25">
        <f t="shared" si="77"/>
        <v>14486.633087716877</v>
      </c>
      <c r="W518" s="26" t="s">
        <v>29</v>
      </c>
    </row>
    <row r="519" spans="1:23" ht="89.25" x14ac:dyDescent="0.25">
      <c r="A519" s="17">
        <f t="shared" ca="1" si="81"/>
        <v>515</v>
      </c>
      <c r="B519" s="18" t="s">
        <v>139</v>
      </c>
      <c r="C519" s="18" t="s">
        <v>1059</v>
      </c>
      <c r="D519" s="18"/>
      <c r="E519" s="18"/>
      <c r="F519" s="18"/>
      <c r="G519" s="18"/>
      <c r="H519" s="19" t="s">
        <v>1060</v>
      </c>
      <c r="I519" s="18" t="s">
        <v>161</v>
      </c>
      <c r="J519" s="20">
        <v>1</v>
      </c>
      <c r="K519" s="20">
        <v>1.1499999999999999</v>
      </c>
      <c r="L519" s="21" t="s">
        <v>28</v>
      </c>
      <c r="M519" s="22">
        <v>7.0314999999999994</v>
      </c>
      <c r="N519" s="22">
        <v>0.18</v>
      </c>
      <c r="O519" s="22">
        <v>1017.1985435894751</v>
      </c>
      <c r="P519" s="22">
        <f t="shared" si="78"/>
        <v>8225.296293136802</v>
      </c>
      <c r="Q519" s="22">
        <v>2777.0693256854333</v>
      </c>
      <c r="R519" s="22">
        <f t="shared" si="79"/>
        <v>574.85335041688461</v>
      </c>
      <c r="S519" s="22">
        <f t="shared" si="80"/>
        <v>8800.1496435536865</v>
      </c>
      <c r="T519" s="23">
        <v>0.55859868298040061</v>
      </c>
      <c r="U519" s="24">
        <v>0.1</v>
      </c>
      <c r="V519" s="25">
        <f t="shared" si="77"/>
        <v>15087.49180892054</v>
      </c>
      <c r="W519" s="26" t="s">
        <v>29</v>
      </c>
    </row>
    <row r="520" spans="1:23" ht="89.25" x14ac:dyDescent="0.25">
      <c r="A520" s="17">
        <f t="shared" ca="1" si="81"/>
        <v>516</v>
      </c>
      <c r="B520" s="18" t="s">
        <v>139</v>
      </c>
      <c r="C520" s="18" t="s">
        <v>1061</v>
      </c>
      <c r="D520" s="18"/>
      <c r="E520" s="18"/>
      <c r="F520" s="18"/>
      <c r="G520" s="18"/>
      <c r="H520" s="19" t="s">
        <v>1062</v>
      </c>
      <c r="I520" s="18" t="s">
        <v>161</v>
      </c>
      <c r="J520" s="20">
        <v>1</v>
      </c>
      <c r="K520" s="20">
        <v>1.1499999999999999</v>
      </c>
      <c r="L520" s="21" t="s">
        <v>28</v>
      </c>
      <c r="M520" s="22">
        <v>7.3303999999999991</v>
      </c>
      <c r="N520" s="22">
        <v>0.18</v>
      </c>
      <c r="O520" s="22">
        <v>1017.1985435894751</v>
      </c>
      <c r="P520" s="22">
        <f t="shared" si="78"/>
        <v>8574.9430345175297</v>
      </c>
      <c r="Q520" s="22">
        <v>2777.0693256854333</v>
      </c>
      <c r="R520" s="22">
        <f t="shared" si="79"/>
        <v>574.85335041688461</v>
      </c>
      <c r="S520" s="22">
        <f t="shared" si="80"/>
        <v>9149.7963849344142</v>
      </c>
      <c r="T520" s="23">
        <v>0.55859868298040061</v>
      </c>
      <c r="U520" s="24">
        <v>0.1</v>
      </c>
      <c r="V520" s="25">
        <f t="shared" si="77"/>
        <v>15686.946654607371</v>
      </c>
      <c r="W520" s="26" t="s">
        <v>29</v>
      </c>
    </row>
    <row r="521" spans="1:23" ht="89.25" x14ac:dyDescent="0.25">
      <c r="A521" s="17">
        <f t="shared" ca="1" si="81"/>
        <v>517</v>
      </c>
      <c r="B521" s="18" t="s">
        <v>139</v>
      </c>
      <c r="C521" s="18" t="s">
        <v>1063</v>
      </c>
      <c r="D521" s="18"/>
      <c r="E521" s="18"/>
      <c r="F521" s="18"/>
      <c r="G521" s="18"/>
      <c r="H521" s="19" t="s">
        <v>1064</v>
      </c>
      <c r="I521" s="18" t="s">
        <v>161</v>
      </c>
      <c r="J521" s="20">
        <v>1</v>
      </c>
      <c r="K521" s="20">
        <v>1.1499999999999999</v>
      </c>
      <c r="L521" s="21" t="s">
        <v>28</v>
      </c>
      <c r="M521" s="22">
        <v>9.1875</v>
      </c>
      <c r="N521" s="22">
        <v>0.44999999999999996</v>
      </c>
      <c r="O521" s="22">
        <v>1017.1985435894751</v>
      </c>
      <c r="P521" s="22">
        <f t="shared" si="78"/>
        <v>10747.338362112547</v>
      </c>
      <c r="Q521" s="22">
        <v>2777.0693256854333</v>
      </c>
      <c r="R521" s="22">
        <f t="shared" si="79"/>
        <v>1437.1333760422117</v>
      </c>
      <c r="S521" s="22">
        <f t="shared" si="80"/>
        <v>12184.471738154758</v>
      </c>
      <c r="T521" s="23">
        <v>0.55859868298040061</v>
      </c>
      <c r="U521" s="24">
        <v>0.1</v>
      </c>
      <c r="V521" s="25">
        <f t="shared" si="77"/>
        <v>20889.771764289908</v>
      </c>
      <c r="W521" s="26" t="s">
        <v>29</v>
      </c>
    </row>
    <row r="522" spans="1:23" ht="89.25" x14ac:dyDescent="0.25">
      <c r="A522" s="17">
        <f t="shared" ca="1" si="81"/>
        <v>518</v>
      </c>
      <c r="B522" s="18" t="s">
        <v>139</v>
      </c>
      <c r="C522" s="18" t="s">
        <v>1065</v>
      </c>
      <c r="D522" s="18"/>
      <c r="E522" s="18"/>
      <c r="F522" s="18"/>
      <c r="G522" s="18"/>
      <c r="H522" s="19" t="s">
        <v>1066</v>
      </c>
      <c r="I522" s="18" t="s">
        <v>161</v>
      </c>
      <c r="J522" s="20">
        <v>1</v>
      </c>
      <c r="K522" s="20">
        <v>1.1499999999999999</v>
      </c>
      <c r="L522" s="21" t="s">
        <v>28</v>
      </c>
      <c r="M522" s="22">
        <v>9.4863999999999997</v>
      </c>
      <c r="N522" s="22">
        <v>0.44999999999999996</v>
      </c>
      <c r="O522" s="22">
        <v>1017.1985435894751</v>
      </c>
      <c r="P522" s="22">
        <f t="shared" si="78"/>
        <v>11096.985103493276</v>
      </c>
      <c r="Q522" s="22">
        <v>2777.0693256854333</v>
      </c>
      <c r="R522" s="22">
        <f t="shared" si="79"/>
        <v>1437.1333760422117</v>
      </c>
      <c r="S522" s="22">
        <f t="shared" si="80"/>
        <v>12534.118479535487</v>
      </c>
      <c r="T522" s="23">
        <v>0.55859868298040061</v>
      </c>
      <c r="U522" s="24">
        <v>0.1</v>
      </c>
      <c r="V522" s="25">
        <f t="shared" si="77"/>
        <v>21489.226609976744</v>
      </c>
      <c r="W522" s="26" t="s">
        <v>29</v>
      </c>
    </row>
    <row r="523" spans="1:23" ht="89.25" x14ac:dyDescent="0.25">
      <c r="A523" s="17">
        <f t="shared" ca="1" si="81"/>
        <v>519</v>
      </c>
      <c r="B523" s="18" t="s">
        <v>139</v>
      </c>
      <c r="C523" s="18" t="s">
        <v>1067</v>
      </c>
      <c r="D523" s="18"/>
      <c r="E523" s="18"/>
      <c r="F523" s="18"/>
      <c r="G523" s="18"/>
      <c r="H523" s="19" t="s">
        <v>1068</v>
      </c>
      <c r="I523" s="18" t="s">
        <v>161</v>
      </c>
      <c r="J523" s="20">
        <v>1</v>
      </c>
      <c r="K523" s="20">
        <v>1.1499999999999999</v>
      </c>
      <c r="L523" s="21" t="s">
        <v>28</v>
      </c>
      <c r="M523" s="22">
        <v>9.7852999999999994</v>
      </c>
      <c r="N523" s="22">
        <v>0.44999999999999996</v>
      </c>
      <c r="O523" s="22">
        <v>1017.1985435894751</v>
      </c>
      <c r="P523" s="22">
        <f t="shared" si="78"/>
        <v>11446.631844874002</v>
      </c>
      <c r="Q523" s="22">
        <v>2777.0693256854333</v>
      </c>
      <c r="R523" s="22">
        <f t="shared" si="79"/>
        <v>1437.1333760422117</v>
      </c>
      <c r="S523" s="22">
        <f t="shared" si="80"/>
        <v>12883.765220916213</v>
      </c>
      <c r="T523" s="23">
        <v>0.55859868298040061</v>
      </c>
      <c r="U523" s="24">
        <v>0.1</v>
      </c>
      <c r="V523" s="25">
        <f t="shared" si="77"/>
        <v>22088.681455663573</v>
      </c>
      <c r="W523" s="26" t="s">
        <v>29</v>
      </c>
    </row>
    <row r="524" spans="1:23" ht="89.25" x14ac:dyDescent="0.25">
      <c r="A524" s="17">
        <f t="shared" ca="1" si="81"/>
        <v>520</v>
      </c>
      <c r="B524" s="18" t="s">
        <v>139</v>
      </c>
      <c r="C524" s="18" t="s">
        <v>1069</v>
      </c>
      <c r="D524" s="18"/>
      <c r="E524" s="18"/>
      <c r="F524" s="18"/>
      <c r="G524" s="18"/>
      <c r="H524" s="19" t="s">
        <v>1070</v>
      </c>
      <c r="I524" s="18" t="s">
        <v>161</v>
      </c>
      <c r="J524" s="20">
        <v>1</v>
      </c>
      <c r="K524" s="20">
        <v>1.1499999999999999</v>
      </c>
      <c r="L524" s="21" t="s">
        <v>28</v>
      </c>
      <c r="M524" s="22">
        <v>11.0124</v>
      </c>
      <c r="N524" s="22">
        <v>0.44999999999999996</v>
      </c>
      <c r="O524" s="22">
        <v>1017.1985435894751</v>
      </c>
      <c r="P524" s="22">
        <f t="shared" si="78"/>
        <v>12882.066827638444</v>
      </c>
      <c r="Q524" s="22">
        <v>2777.0693256854333</v>
      </c>
      <c r="R524" s="22">
        <f t="shared" si="79"/>
        <v>1437.1333760422117</v>
      </c>
      <c r="S524" s="22">
        <f t="shared" si="80"/>
        <v>14319.200203680655</v>
      </c>
      <c r="T524" s="23">
        <v>0.55859868298040061</v>
      </c>
      <c r="U524" s="24">
        <v>0.1</v>
      </c>
      <c r="V524" s="25">
        <f t="shared" si="77"/>
        <v>24549.675236668289</v>
      </c>
      <c r="W524" s="26" t="s">
        <v>29</v>
      </c>
    </row>
    <row r="525" spans="1:23" ht="89.25" x14ac:dyDescent="0.25">
      <c r="A525" s="17">
        <f t="shared" ca="1" si="81"/>
        <v>521</v>
      </c>
      <c r="B525" s="18" t="s">
        <v>139</v>
      </c>
      <c r="C525" s="18" t="s">
        <v>1071</v>
      </c>
      <c r="D525" s="18"/>
      <c r="E525" s="18"/>
      <c r="F525" s="18"/>
      <c r="G525" s="18"/>
      <c r="H525" s="19" t="s">
        <v>1072</v>
      </c>
      <c r="I525" s="18" t="s">
        <v>161</v>
      </c>
      <c r="J525" s="20">
        <v>1</v>
      </c>
      <c r="K525" s="20">
        <v>1.1499999999999999</v>
      </c>
      <c r="L525" s="21" t="s">
        <v>28</v>
      </c>
      <c r="M525" s="22">
        <v>2.4899</v>
      </c>
      <c r="N525" s="22">
        <v>4.4999999999999998E-2</v>
      </c>
      <c r="O525" s="22">
        <v>1017.1985435894751</v>
      </c>
      <c r="P525" s="22">
        <f t="shared" si="78"/>
        <v>2912.6310517359489</v>
      </c>
      <c r="Q525" s="22">
        <v>2777.0693256854333</v>
      </c>
      <c r="R525" s="22">
        <f t="shared" si="79"/>
        <v>143.71333760422115</v>
      </c>
      <c r="S525" s="22">
        <f t="shared" si="80"/>
        <v>3056.34438934017</v>
      </c>
      <c r="T525" s="23">
        <v>0.55859868298040061</v>
      </c>
      <c r="U525" s="24">
        <v>0.1</v>
      </c>
      <c r="V525" s="25">
        <f t="shared" si="77"/>
        <v>5239.9757739561383</v>
      </c>
      <c r="W525" s="26" t="s">
        <v>29</v>
      </c>
    </row>
    <row r="526" spans="1:23" ht="89.25" x14ac:dyDescent="0.25">
      <c r="A526" s="17">
        <f t="shared" ca="1" si="81"/>
        <v>522</v>
      </c>
      <c r="B526" s="18" t="s">
        <v>139</v>
      </c>
      <c r="C526" s="18" t="s">
        <v>1073</v>
      </c>
      <c r="D526" s="18"/>
      <c r="E526" s="18"/>
      <c r="F526" s="18"/>
      <c r="G526" s="18"/>
      <c r="H526" s="19" t="s">
        <v>1074</v>
      </c>
      <c r="I526" s="18" t="s">
        <v>161</v>
      </c>
      <c r="J526" s="20">
        <v>1</v>
      </c>
      <c r="K526" s="20">
        <v>1.1499999999999999</v>
      </c>
      <c r="L526" s="21" t="s">
        <v>28</v>
      </c>
      <c r="M526" s="22">
        <v>2.9085000000000001</v>
      </c>
      <c r="N526" s="22">
        <v>4.4999999999999998E-2</v>
      </c>
      <c r="O526" s="22">
        <v>1017.1985435894751</v>
      </c>
      <c r="P526" s="22">
        <f t="shared" si="78"/>
        <v>3402.3002586344865</v>
      </c>
      <c r="Q526" s="22">
        <v>2777.0693256854333</v>
      </c>
      <c r="R526" s="22">
        <f t="shared" si="79"/>
        <v>143.71333760422115</v>
      </c>
      <c r="S526" s="22">
        <f t="shared" si="80"/>
        <v>3546.0135962387076</v>
      </c>
      <c r="T526" s="23">
        <v>0.55859868298040061</v>
      </c>
      <c r="U526" s="24">
        <v>0.1</v>
      </c>
      <c r="V526" s="25">
        <f t="shared" si="77"/>
        <v>6079.4933330210679</v>
      </c>
      <c r="W526" s="26" t="s">
        <v>29</v>
      </c>
    </row>
    <row r="527" spans="1:23" x14ac:dyDescent="0.25">
      <c r="A527" s="12">
        <f t="shared" ca="1" si="81"/>
        <v>523</v>
      </c>
      <c r="B527" s="13" t="s">
        <v>139</v>
      </c>
      <c r="C527" s="13" t="s">
        <v>1075</v>
      </c>
      <c r="D527" s="13"/>
      <c r="E527" s="13"/>
      <c r="F527" s="13"/>
      <c r="G527" s="13"/>
      <c r="H527" s="15" t="s">
        <v>1076</v>
      </c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27"/>
      <c r="U527" s="16"/>
      <c r="V527" s="13"/>
      <c r="W527" s="13"/>
    </row>
    <row r="528" spans="1:23" ht="89.25" x14ac:dyDescent="0.25">
      <c r="A528" s="17">
        <f t="shared" ca="1" si="81"/>
        <v>524</v>
      </c>
      <c r="B528" s="18" t="s">
        <v>139</v>
      </c>
      <c r="C528" s="18" t="s">
        <v>1077</v>
      </c>
      <c r="D528" s="18"/>
      <c r="E528" s="18"/>
      <c r="F528" s="18"/>
      <c r="G528" s="18"/>
      <c r="H528" s="19" t="s">
        <v>1078</v>
      </c>
      <c r="I528" s="18" t="s">
        <v>161</v>
      </c>
      <c r="J528" s="20">
        <v>1</v>
      </c>
      <c r="K528" s="20">
        <v>1.1499999999999999</v>
      </c>
      <c r="L528" s="21" t="s">
        <v>28</v>
      </c>
      <c r="M528" s="22">
        <v>5.0945999999999998</v>
      </c>
      <c r="N528" s="22">
        <v>0.18</v>
      </c>
      <c r="O528" s="22">
        <v>1017.1985435894751</v>
      </c>
      <c r="P528" s="22">
        <f t="shared" si="78"/>
        <v>5959.5526551965795</v>
      </c>
      <c r="Q528" s="22">
        <v>2777.0693256854333</v>
      </c>
      <c r="R528" s="22">
        <f t="shared" si="79"/>
        <v>574.85335041688461</v>
      </c>
      <c r="S528" s="22">
        <f t="shared" si="80"/>
        <v>6534.406005613464</v>
      </c>
      <c r="T528" s="23">
        <v>0.55859868298040061</v>
      </c>
      <c r="U528" s="24">
        <v>0.1</v>
      </c>
      <c r="V528" s="25">
        <f t="shared" ref="V528:V543" si="82">S528+S528*T528+(S528+S528*T528)*U528</f>
        <v>11202.968253849202</v>
      </c>
      <c r="W528" s="26" t="s">
        <v>29</v>
      </c>
    </row>
    <row r="529" spans="1:23" ht="89.25" x14ac:dyDescent="0.25">
      <c r="A529" s="17">
        <f t="shared" ca="1" si="81"/>
        <v>525</v>
      </c>
      <c r="B529" s="18" t="s">
        <v>139</v>
      </c>
      <c r="C529" s="18" t="s">
        <v>1079</v>
      </c>
      <c r="D529" s="18"/>
      <c r="E529" s="18"/>
      <c r="F529" s="18"/>
      <c r="G529" s="18"/>
      <c r="H529" s="19" t="s">
        <v>1080</v>
      </c>
      <c r="I529" s="18" t="s">
        <v>161</v>
      </c>
      <c r="J529" s="20">
        <v>1</v>
      </c>
      <c r="K529" s="20">
        <v>1.1499999999999999</v>
      </c>
      <c r="L529" s="21" t="s">
        <v>28</v>
      </c>
      <c r="M529" s="22">
        <v>5.8442999999999996</v>
      </c>
      <c r="N529" s="22">
        <v>0.44999999999999996</v>
      </c>
      <c r="O529" s="22">
        <v>1017.1985435894751</v>
      </c>
      <c r="P529" s="22">
        <f t="shared" si="78"/>
        <v>6836.5354655449637</v>
      </c>
      <c r="Q529" s="22">
        <v>2777.0693256854333</v>
      </c>
      <c r="R529" s="22">
        <f t="shared" si="79"/>
        <v>1437.1333760422117</v>
      </c>
      <c r="S529" s="22">
        <f t="shared" si="80"/>
        <v>8273.6688415871758</v>
      </c>
      <c r="T529" s="23">
        <v>0.55859868298040061</v>
      </c>
      <c r="U529" s="24">
        <v>0.1</v>
      </c>
      <c r="V529" s="25">
        <f t="shared" si="82"/>
        <v>14184.862295905124</v>
      </c>
      <c r="W529" s="26" t="s">
        <v>29</v>
      </c>
    </row>
    <row r="530" spans="1:23" ht="89.25" x14ac:dyDescent="0.25">
      <c r="A530" s="17">
        <f t="shared" ca="1" si="81"/>
        <v>526</v>
      </c>
      <c r="B530" s="18" t="s">
        <v>139</v>
      </c>
      <c r="C530" s="18" t="s">
        <v>1081</v>
      </c>
      <c r="D530" s="18"/>
      <c r="E530" s="18"/>
      <c r="F530" s="18"/>
      <c r="G530" s="18"/>
      <c r="H530" s="19" t="s">
        <v>1082</v>
      </c>
      <c r="I530" s="18" t="s">
        <v>161</v>
      </c>
      <c r="J530" s="20">
        <v>1</v>
      </c>
      <c r="K530" s="20">
        <v>1.1499999999999999</v>
      </c>
      <c r="L530" s="21" t="s">
        <v>28</v>
      </c>
      <c r="M530" s="22">
        <v>7.1035999999999992</v>
      </c>
      <c r="N530" s="22">
        <v>0.44999999999999996</v>
      </c>
      <c r="O530" s="22">
        <v>1017.1985435894751</v>
      </c>
      <c r="P530" s="22">
        <f t="shared" si="78"/>
        <v>8309.6373103785227</v>
      </c>
      <c r="Q530" s="22">
        <v>2777.0693256854333</v>
      </c>
      <c r="R530" s="22">
        <f t="shared" si="79"/>
        <v>1437.1333760422117</v>
      </c>
      <c r="S530" s="22">
        <f t="shared" si="80"/>
        <v>9746.7706864207339</v>
      </c>
      <c r="T530" s="23">
        <v>0.55859868298040061</v>
      </c>
      <c r="U530" s="24">
        <v>0.1</v>
      </c>
      <c r="V530" s="25">
        <f t="shared" si="82"/>
        <v>16710.434350684067</v>
      </c>
      <c r="W530" s="26" t="s">
        <v>29</v>
      </c>
    </row>
    <row r="531" spans="1:23" ht="89.25" x14ac:dyDescent="0.25">
      <c r="A531" s="17">
        <f t="shared" ca="1" si="81"/>
        <v>527</v>
      </c>
      <c r="B531" s="18" t="s">
        <v>139</v>
      </c>
      <c r="C531" s="18" t="s">
        <v>1083</v>
      </c>
      <c r="D531" s="18"/>
      <c r="E531" s="18"/>
      <c r="F531" s="18"/>
      <c r="G531" s="18"/>
      <c r="H531" s="19" t="s">
        <v>1084</v>
      </c>
      <c r="I531" s="18" t="s">
        <v>161</v>
      </c>
      <c r="J531" s="20">
        <v>1</v>
      </c>
      <c r="K531" s="20">
        <v>1.1499999999999999</v>
      </c>
      <c r="L531" s="21" t="s">
        <v>28</v>
      </c>
      <c r="M531" s="22">
        <v>7.1631</v>
      </c>
      <c r="N531" s="22">
        <v>0.44999999999999996</v>
      </c>
      <c r="O531" s="22">
        <v>1017.1985435894751</v>
      </c>
      <c r="P531" s="22">
        <f t="shared" si="78"/>
        <v>8379.2391207236342</v>
      </c>
      <c r="Q531" s="22">
        <v>2777.0693256854333</v>
      </c>
      <c r="R531" s="22">
        <f t="shared" si="79"/>
        <v>1437.1333760422117</v>
      </c>
      <c r="S531" s="22">
        <f t="shared" si="80"/>
        <v>9816.3724967658454</v>
      </c>
      <c r="T531" s="23">
        <v>0.55859868298040061</v>
      </c>
      <c r="U531" s="24">
        <v>0.1</v>
      </c>
      <c r="V531" s="25">
        <f t="shared" si="82"/>
        <v>16829.763769614703</v>
      </c>
      <c r="W531" s="26" t="s">
        <v>29</v>
      </c>
    </row>
    <row r="532" spans="1:23" ht="89.25" x14ac:dyDescent="0.25">
      <c r="A532" s="17">
        <f t="shared" ca="1" si="81"/>
        <v>528</v>
      </c>
      <c r="B532" s="18" t="s">
        <v>139</v>
      </c>
      <c r="C532" s="18" t="s">
        <v>1085</v>
      </c>
      <c r="D532" s="18"/>
      <c r="E532" s="18"/>
      <c r="F532" s="18"/>
      <c r="G532" s="18"/>
      <c r="H532" s="19" t="s">
        <v>1086</v>
      </c>
      <c r="I532" s="18" t="s">
        <v>161</v>
      </c>
      <c r="J532" s="20">
        <v>1</v>
      </c>
      <c r="K532" s="20">
        <v>1.1499999999999999</v>
      </c>
      <c r="L532" s="21" t="s">
        <v>28</v>
      </c>
      <c r="M532" s="22">
        <v>7.2233000000000001</v>
      </c>
      <c r="N532" s="22">
        <v>0.44999999999999996</v>
      </c>
      <c r="O532" s="22">
        <v>1017.1985435894751</v>
      </c>
      <c r="P532" s="22">
        <f t="shared" si="78"/>
        <v>8449.6597758963326</v>
      </c>
      <c r="Q532" s="22">
        <v>2777.0693256854333</v>
      </c>
      <c r="R532" s="22">
        <f t="shared" si="79"/>
        <v>1437.1333760422117</v>
      </c>
      <c r="S532" s="22">
        <f t="shared" si="80"/>
        <v>9886.7931519385438</v>
      </c>
      <c r="T532" s="23">
        <v>0.55859868298040061</v>
      </c>
      <c r="U532" s="24">
        <v>0.1</v>
      </c>
      <c r="V532" s="25">
        <f t="shared" si="82"/>
        <v>16950.497064062161</v>
      </c>
      <c r="W532" s="26" t="s">
        <v>29</v>
      </c>
    </row>
    <row r="533" spans="1:23" ht="89.25" x14ac:dyDescent="0.25">
      <c r="A533" s="17">
        <f t="shared" ca="1" si="81"/>
        <v>529</v>
      </c>
      <c r="B533" s="18" t="s">
        <v>139</v>
      </c>
      <c r="C533" s="18" t="s">
        <v>1087</v>
      </c>
      <c r="D533" s="18"/>
      <c r="E533" s="18"/>
      <c r="F533" s="18"/>
      <c r="G533" s="18"/>
      <c r="H533" s="19" t="s">
        <v>1088</v>
      </c>
      <c r="I533" s="18" t="s">
        <v>161</v>
      </c>
      <c r="J533" s="20">
        <v>1</v>
      </c>
      <c r="K533" s="20">
        <v>1.1499999999999999</v>
      </c>
      <c r="L533" s="21" t="s">
        <v>28</v>
      </c>
      <c r="M533" s="22">
        <v>7.2827999999999991</v>
      </c>
      <c r="N533" s="22">
        <v>0.44999999999999996</v>
      </c>
      <c r="O533" s="22">
        <v>1017.1985435894751</v>
      </c>
      <c r="P533" s="22">
        <f t="shared" si="78"/>
        <v>8519.2615862414423</v>
      </c>
      <c r="Q533" s="22">
        <v>2777.0693256854333</v>
      </c>
      <c r="R533" s="22">
        <f t="shared" si="79"/>
        <v>1437.1333760422117</v>
      </c>
      <c r="S533" s="22">
        <f t="shared" si="80"/>
        <v>9956.3949622836535</v>
      </c>
      <c r="T533" s="23">
        <v>0.55859868298040061</v>
      </c>
      <c r="U533" s="24">
        <v>0.1</v>
      </c>
      <c r="V533" s="25">
        <f t="shared" si="82"/>
        <v>17069.826482992798</v>
      </c>
      <c r="W533" s="26" t="s">
        <v>29</v>
      </c>
    </row>
    <row r="534" spans="1:23" ht="89.25" x14ac:dyDescent="0.25">
      <c r="A534" s="17">
        <f t="shared" ca="1" si="81"/>
        <v>530</v>
      </c>
      <c r="B534" s="18" t="s">
        <v>139</v>
      </c>
      <c r="C534" s="18" t="s">
        <v>1089</v>
      </c>
      <c r="D534" s="18"/>
      <c r="E534" s="18"/>
      <c r="F534" s="18"/>
      <c r="G534" s="18"/>
      <c r="H534" s="19" t="s">
        <v>1090</v>
      </c>
      <c r="I534" s="18" t="s">
        <v>161</v>
      </c>
      <c r="J534" s="20">
        <v>1</v>
      </c>
      <c r="K534" s="20">
        <v>1.1499999999999999</v>
      </c>
      <c r="L534" s="21" t="s">
        <v>28</v>
      </c>
      <c r="M534" s="22">
        <v>7.343</v>
      </c>
      <c r="N534" s="22">
        <v>0.44999999999999996</v>
      </c>
      <c r="O534" s="22">
        <v>1017.1985435894751</v>
      </c>
      <c r="P534" s="22">
        <f t="shared" si="78"/>
        <v>8589.6822414141425</v>
      </c>
      <c r="Q534" s="22">
        <v>2777.0693256854333</v>
      </c>
      <c r="R534" s="22">
        <f t="shared" si="79"/>
        <v>1437.1333760422117</v>
      </c>
      <c r="S534" s="22">
        <f t="shared" si="80"/>
        <v>10026.815617456354</v>
      </c>
      <c r="T534" s="23">
        <v>0.55859868298040061</v>
      </c>
      <c r="U534" s="24">
        <v>0.1</v>
      </c>
      <c r="V534" s="25">
        <f t="shared" si="82"/>
        <v>17190.559777440263</v>
      </c>
      <c r="W534" s="26" t="s">
        <v>29</v>
      </c>
    </row>
    <row r="535" spans="1:23" ht="89.25" x14ac:dyDescent="0.25">
      <c r="A535" s="17">
        <f t="shared" ca="1" si="81"/>
        <v>531</v>
      </c>
      <c r="B535" s="18" t="s">
        <v>139</v>
      </c>
      <c r="C535" s="18" t="s">
        <v>1091</v>
      </c>
      <c r="D535" s="18"/>
      <c r="E535" s="18"/>
      <c r="F535" s="18"/>
      <c r="G535" s="18"/>
      <c r="H535" s="19" t="s">
        <v>1092</v>
      </c>
      <c r="I535" s="18" t="s">
        <v>161</v>
      </c>
      <c r="J535" s="20">
        <v>1</v>
      </c>
      <c r="K535" s="20">
        <v>1.1499999999999999</v>
      </c>
      <c r="L535" s="21" t="s">
        <v>28</v>
      </c>
      <c r="M535" s="22">
        <v>8.5427999999999997</v>
      </c>
      <c r="N535" s="22">
        <v>0.44999999999999996</v>
      </c>
      <c r="O535" s="22">
        <v>1017.1985435894751</v>
      </c>
      <c r="P535" s="22">
        <f t="shared" si="78"/>
        <v>9993.1822759025927</v>
      </c>
      <c r="Q535" s="22">
        <v>2777.0693256854333</v>
      </c>
      <c r="R535" s="22">
        <f t="shared" si="79"/>
        <v>1437.1333760422117</v>
      </c>
      <c r="S535" s="22">
        <f t="shared" si="80"/>
        <v>11430.315651944804</v>
      </c>
      <c r="T535" s="23">
        <v>0.55859868298040061</v>
      </c>
      <c r="U535" s="24">
        <v>0.1</v>
      </c>
      <c r="V535" s="25">
        <f t="shared" si="82"/>
        <v>19596.802413288577</v>
      </c>
      <c r="W535" s="26" t="s">
        <v>29</v>
      </c>
    </row>
    <row r="536" spans="1:23" ht="89.25" x14ac:dyDescent="0.25">
      <c r="A536" s="17">
        <f t="shared" ca="1" si="81"/>
        <v>532</v>
      </c>
      <c r="B536" s="18" t="s">
        <v>139</v>
      </c>
      <c r="C536" s="18" t="s">
        <v>1093</v>
      </c>
      <c r="D536" s="18"/>
      <c r="E536" s="18"/>
      <c r="F536" s="18"/>
      <c r="G536" s="18"/>
      <c r="H536" s="19" t="s">
        <v>1094</v>
      </c>
      <c r="I536" s="18" t="s">
        <v>161</v>
      </c>
      <c r="J536" s="20">
        <v>1</v>
      </c>
      <c r="K536" s="20">
        <v>1.1499999999999999</v>
      </c>
      <c r="L536" s="21" t="s">
        <v>28</v>
      </c>
      <c r="M536" s="22">
        <v>8.6022999999999996</v>
      </c>
      <c r="N536" s="22">
        <v>0.44999999999999996</v>
      </c>
      <c r="O536" s="22">
        <v>1017.1985435894751</v>
      </c>
      <c r="P536" s="22">
        <f t="shared" si="78"/>
        <v>10062.784086247701</v>
      </c>
      <c r="Q536" s="22">
        <v>2777.0693256854333</v>
      </c>
      <c r="R536" s="22">
        <f t="shared" si="79"/>
        <v>1437.1333760422117</v>
      </c>
      <c r="S536" s="22">
        <f t="shared" si="80"/>
        <v>11499.917462289912</v>
      </c>
      <c r="T536" s="23">
        <v>0.55859868298040061</v>
      </c>
      <c r="U536" s="24">
        <v>0.1</v>
      </c>
      <c r="V536" s="25">
        <f t="shared" si="82"/>
        <v>19716.131832219206</v>
      </c>
      <c r="W536" s="26" t="s">
        <v>29</v>
      </c>
    </row>
    <row r="537" spans="1:23" ht="89.25" x14ac:dyDescent="0.25">
      <c r="A537" s="17">
        <f t="shared" ca="1" si="81"/>
        <v>533</v>
      </c>
      <c r="B537" s="18" t="s">
        <v>139</v>
      </c>
      <c r="C537" s="18" t="s">
        <v>1095</v>
      </c>
      <c r="D537" s="18"/>
      <c r="E537" s="18"/>
      <c r="F537" s="18"/>
      <c r="G537" s="18"/>
      <c r="H537" s="19" t="s">
        <v>1096</v>
      </c>
      <c r="I537" s="18" t="s">
        <v>161</v>
      </c>
      <c r="J537" s="20">
        <v>1</v>
      </c>
      <c r="K537" s="20">
        <v>1.1499999999999999</v>
      </c>
      <c r="L537" s="21" t="s">
        <v>28</v>
      </c>
      <c r="M537" s="22">
        <v>8.5329999999999995</v>
      </c>
      <c r="N537" s="22">
        <v>0.18</v>
      </c>
      <c r="O537" s="22">
        <v>1017.1985435894751</v>
      </c>
      <c r="P537" s="22">
        <f t="shared" si="78"/>
        <v>9981.7184483163401</v>
      </c>
      <c r="Q537" s="22">
        <v>2777.0693256854333</v>
      </c>
      <c r="R537" s="22">
        <f t="shared" si="79"/>
        <v>574.85335041688461</v>
      </c>
      <c r="S537" s="22">
        <f t="shared" si="80"/>
        <v>10556.571798733225</v>
      </c>
      <c r="T537" s="23">
        <v>0.55859868298040061</v>
      </c>
      <c r="U537" s="24">
        <v>0.1</v>
      </c>
      <c r="V537" s="25">
        <f t="shared" si="82"/>
        <v>18098.804792523006</v>
      </c>
      <c r="W537" s="26" t="s">
        <v>29</v>
      </c>
    </row>
    <row r="538" spans="1:23" ht="89.25" x14ac:dyDescent="0.25">
      <c r="A538" s="17">
        <f t="shared" ca="1" si="81"/>
        <v>534</v>
      </c>
      <c r="B538" s="18" t="s">
        <v>139</v>
      </c>
      <c r="C538" s="18" t="s">
        <v>1097</v>
      </c>
      <c r="D538" s="18"/>
      <c r="E538" s="18"/>
      <c r="F538" s="18"/>
      <c r="G538" s="18"/>
      <c r="H538" s="19" t="s">
        <v>1098</v>
      </c>
      <c r="I538" s="18" t="s">
        <v>161</v>
      </c>
      <c r="J538" s="20">
        <v>1</v>
      </c>
      <c r="K538" s="20">
        <v>1.1499999999999999</v>
      </c>
      <c r="L538" s="21" t="s">
        <v>28</v>
      </c>
      <c r="M538" s="22">
        <v>10.031699999999999</v>
      </c>
      <c r="N538" s="22">
        <v>0.18</v>
      </c>
      <c r="O538" s="22">
        <v>1017.1985435894751</v>
      </c>
      <c r="P538" s="22">
        <f t="shared" si="78"/>
        <v>11734.865224185516</v>
      </c>
      <c r="Q538" s="22">
        <v>2777.0693256854333</v>
      </c>
      <c r="R538" s="22">
        <f t="shared" si="79"/>
        <v>574.85335041688461</v>
      </c>
      <c r="S538" s="22">
        <f t="shared" si="80"/>
        <v>12309.718574602401</v>
      </c>
      <c r="T538" s="23">
        <v>0.55859868298040061</v>
      </c>
      <c r="U538" s="24">
        <v>0.1</v>
      </c>
      <c r="V538" s="25">
        <f t="shared" si="82"/>
        <v>21104.502274058141</v>
      </c>
      <c r="W538" s="26" t="s">
        <v>29</v>
      </c>
    </row>
    <row r="539" spans="1:23" ht="89.25" x14ac:dyDescent="0.25">
      <c r="A539" s="17">
        <f t="shared" ca="1" si="81"/>
        <v>535</v>
      </c>
      <c r="B539" s="18" t="s">
        <v>139</v>
      </c>
      <c r="C539" s="18" t="s">
        <v>1099</v>
      </c>
      <c r="D539" s="18"/>
      <c r="E539" s="18"/>
      <c r="F539" s="18"/>
      <c r="G539" s="18"/>
      <c r="H539" s="19" t="s">
        <v>1100</v>
      </c>
      <c r="I539" s="18" t="s">
        <v>161</v>
      </c>
      <c r="J539" s="20">
        <v>1</v>
      </c>
      <c r="K539" s="20">
        <v>1.1499999999999999</v>
      </c>
      <c r="L539" s="21" t="s">
        <v>28</v>
      </c>
      <c r="M539" s="22">
        <v>10.8416</v>
      </c>
      <c r="N539" s="22">
        <v>0.44999999999999996</v>
      </c>
      <c r="O539" s="22">
        <v>1017.1985435894751</v>
      </c>
      <c r="P539" s="22">
        <f t="shared" si="78"/>
        <v>12682.2686897066</v>
      </c>
      <c r="Q539" s="22">
        <v>2777.0693256854333</v>
      </c>
      <c r="R539" s="22">
        <f t="shared" si="79"/>
        <v>1437.1333760422117</v>
      </c>
      <c r="S539" s="22">
        <f t="shared" si="80"/>
        <v>14119.402065748811</v>
      </c>
      <c r="T539" s="23">
        <v>0.55859868298040061</v>
      </c>
      <c r="U539" s="24">
        <v>0.1</v>
      </c>
      <c r="V539" s="25">
        <f t="shared" si="82"/>
        <v>24207.129610561529</v>
      </c>
      <c r="W539" s="26" t="s">
        <v>29</v>
      </c>
    </row>
    <row r="540" spans="1:23" ht="89.25" x14ac:dyDescent="0.25">
      <c r="A540" s="17">
        <f t="shared" ca="1" si="81"/>
        <v>536</v>
      </c>
      <c r="B540" s="18" t="s">
        <v>139</v>
      </c>
      <c r="C540" s="18" t="s">
        <v>1101</v>
      </c>
      <c r="D540" s="18"/>
      <c r="E540" s="18"/>
      <c r="F540" s="18"/>
      <c r="G540" s="18"/>
      <c r="H540" s="19" t="s">
        <v>1102</v>
      </c>
      <c r="I540" s="18" t="s">
        <v>161</v>
      </c>
      <c r="J540" s="20">
        <v>1</v>
      </c>
      <c r="K540" s="20">
        <v>1.1499999999999999</v>
      </c>
      <c r="L540" s="21" t="s">
        <v>28</v>
      </c>
      <c r="M540" s="22">
        <v>11.020799999999999</v>
      </c>
      <c r="N540" s="22">
        <v>0.44999999999999996</v>
      </c>
      <c r="O540" s="22">
        <v>1017.1985435894751</v>
      </c>
      <c r="P540" s="22">
        <f t="shared" si="78"/>
        <v>12891.892965569519</v>
      </c>
      <c r="Q540" s="22">
        <v>2777.0693256854333</v>
      </c>
      <c r="R540" s="22">
        <f t="shared" si="79"/>
        <v>1437.1333760422117</v>
      </c>
      <c r="S540" s="22">
        <f t="shared" si="80"/>
        <v>14329.02634161173</v>
      </c>
      <c r="T540" s="23">
        <v>0.55859868298040061</v>
      </c>
      <c r="U540" s="24">
        <v>0.1</v>
      </c>
      <c r="V540" s="25">
        <f t="shared" si="82"/>
        <v>24566.521742870264</v>
      </c>
      <c r="W540" s="26" t="s">
        <v>29</v>
      </c>
    </row>
    <row r="541" spans="1:23" ht="89.25" x14ac:dyDescent="0.25">
      <c r="A541" s="17">
        <f t="shared" ca="1" si="81"/>
        <v>537</v>
      </c>
      <c r="B541" s="18" t="s">
        <v>139</v>
      </c>
      <c r="C541" s="18" t="s">
        <v>1103</v>
      </c>
      <c r="D541" s="18"/>
      <c r="E541" s="18"/>
      <c r="F541" s="18"/>
      <c r="G541" s="18"/>
      <c r="H541" s="19" t="s">
        <v>1104</v>
      </c>
      <c r="I541" s="18" t="s">
        <v>161</v>
      </c>
      <c r="J541" s="20">
        <v>1</v>
      </c>
      <c r="K541" s="20">
        <v>1.1499999999999999</v>
      </c>
      <c r="L541" s="21" t="s">
        <v>28</v>
      </c>
      <c r="M541" s="22">
        <v>11.2</v>
      </c>
      <c r="N541" s="22">
        <v>0.44999999999999996</v>
      </c>
      <c r="O541" s="22">
        <v>1017.1985435894751</v>
      </c>
      <c r="P541" s="22">
        <f t="shared" si="78"/>
        <v>13101.517241432437</v>
      </c>
      <c r="Q541" s="22">
        <v>2777.0693256854333</v>
      </c>
      <c r="R541" s="22">
        <f t="shared" si="79"/>
        <v>1437.1333760422117</v>
      </c>
      <c r="S541" s="22">
        <f t="shared" si="80"/>
        <v>14538.650617474648</v>
      </c>
      <c r="T541" s="23">
        <v>0.55859868298040061</v>
      </c>
      <c r="U541" s="24">
        <v>0.1</v>
      </c>
      <c r="V541" s="25">
        <f t="shared" si="82"/>
        <v>24925.913875178994</v>
      </c>
      <c r="W541" s="26" t="s">
        <v>29</v>
      </c>
    </row>
    <row r="542" spans="1:23" ht="89.25" x14ac:dyDescent="0.25">
      <c r="A542" s="17">
        <f t="shared" ca="1" si="81"/>
        <v>538</v>
      </c>
      <c r="B542" s="18" t="s">
        <v>139</v>
      </c>
      <c r="C542" s="18" t="s">
        <v>1105</v>
      </c>
      <c r="D542" s="18"/>
      <c r="E542" s="18"/>
      <c r="F542" s="18"/>
      <c r="G542" s="18"/>
      <c r="H542" s="19" t="s">
        <v>1106</v>
      </c>
      <c r="I542" s="18" t="s">
        <v>161</v>
      </c>
      <c r="J542" s="20">
        <v>1</v>
      </c>
      <c r="K542" s="20">
        <v>1.1499999999999999</v>
      </c>
      <c r="L542" s="21" t="s">
        <v>28</v>
      </c>
      <c r="M542" s="22">
        <v>12.519500000000001</v>
      </c>
      <c r="N542" s="22">
        <v>0.44999999999999996</v>
      </c>
      <c r="O542" s="22">
        <v>1017.1985435894751</v>
      </c>
      <c r="P542" s="22">
        <f t="shared" si="78"/>
        <v>14645.039741438699</v>
      </c>
      <c r="Q542" s="22">
        <v>2777.0693256854333</v>
      </c>
      <c r="R542" s="22">
        <f t="shared" si="79"/>
        <v>1437.1333760422117</v>
      </c>
      <c r="S542" s="22">
        <f t="shared" si="80"/>
        <v>16082.17311748091</v>
      </c>
      <c r="T542" s="23">
        <v>0.55859868298040061</v>
      </c>
      <c r="U542" s="24">
        <v>0.1</v>
      </c>
      <c r="V542" s="25">
        <f t="shared" si="82"/>
        <v>27572.219224405402</v>
      </c>
      <c r="W542" s="26" t="s">
        <v>29</v>
      </c>
    </row>
    <row r="543" spans="1:23" ht="89.25" x14ac:dyDescent="0.25">
      <c r="A543" s="17">
        <f t="shared" ca="1" si="81"/>
        <v>539</v>
      </c>
      <c r="B543" s="18" t="s">
        <v>139</v>
      </c>
      <c r="C543" s="18" t="s">
        <v>1107</v>
      </c>
      <c r="D543" s="18"/>
      <c r="E543" s="18"/>
      <c r="F543" s="18"/>
      <c r="G543" s="18"/>
      <c r="H543" s="19" t="s">
        <v>1108</v>
      </c>
      <c r="I543" s="18" t="s">
        <v>161</v>
      </c>
      <c r="J543" s="20">
        <v>1</v>
      </c>
      <c r="K543" s="20">
        <v>1.1499999999999999</v>
      </c>
      <c r="L543" s="21" t="s">
        <v>28</v>
      </c>
      <c r="M543" s="22">
        <v>2.1048999999999998</v>
      </c>
      <c r="N543" s="22">
        <v>0.13919999999999999</v>
      </c>
      <c r="O543" s="22">
        <v>1017.1985435894751</v>
      </c>
      <c r="P543" s="22">
        <f t="shared" si="78"/>
        <v>2462.2663965617085</v>
      </c>
      <c r="Q543" s="22">
        <v>2777.0693256854333</v>
      </c>
      <c r="R543" s="22">
        <f t="shared" si="79"/>
        <v>444.55325765572411</v>
      </c>
      <c r="S543" s="22">
        <f t="shared" si="80"/>
        <v>2906.8196542174328</v>
      </c>
      <c r="T543" s="23">
        <v>0.55859868298040061</v>
      </c>
      <c r="U543" s="24">
        <v>0.1</v>
      </c>
      <c r="V543" s="25">
        <f t="shared" si="82"/>
        <v>4983.6218131973183</v>
      </c>
      <c r="W543" s="26" t="s">
        <v>29</v>
      </c>
    </row>
    <row r="544" spans="1:23" x14ac:dyDescent="0.25">
      <c r="A544" s="12">
        <f t="shared" ca="1" si="81"/>
        <v>540</v>
      </c>
      <c r="B544" s="13" t="s">
        <v>139</v>
      </c>
      <c r="C544" s="13" t="s">
        <v>1109</v>
      </c>
      <c r="D544" s="13"/>
      <c r="E544" s="13"/>
      <c r="F544" s="13"/>
      <c r="G544" s="13"/>
      <c r="H544" s="15" t="s">
        <v>1110</v>
      </c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27"/>
      <c r="U544" s="16"/>
      <c r="V544" s="13"/>
      <c r="W544" s="13"/>
    </row>
    <row r="545" spans="1:23" ht="89.25" x14ac:dyDescent="0.25">
      <c r="A545" s="17">
        <f t="shared" ca="1" si="81"/>
        <v>541</v>
      </c>
      <c r="B545" s="18" t="s">
        <v>139</v>
      </c>
      <c r="C545" s="18" t="s">
        <v>1111</v>
      </c>
      <c r="D545" s="18"/>
      <c r="E545" s="18"/>
      <c r="F545" s="18"/>
      <c r="G545" s="18"/>
      <c r="H545" s="19" t="s">
        <v>1112</v>
      </c>
      <c r="I545" s="18" t="s">
        <v>161</v>
      </c>
      <c r="J545" s="20">
        <v>1</v>
      </c>
      <c r="K545" s="20">
        <v>1.1499999999999999</v>
      </c>
      <c r="L545" s="21" t="s">
        <v>28</v>
      </c>
      <c r="M545" s="22">
        <v>0.62159999999999993</v>
      </c>
      <c r="N545" s="22">
        <v>4.4999999999999998E-2</v>
      </c>
      <c r="O545" s="22">
        <v>1017.1985435894751</v>
      </c>
      <c r="P545" s="22">
        <f t="shared" si="78"/>
        <v>727.13420689950021</v>
      </c>
      <c r="Q545" s="22">
        <v>2777.0693256854333</v>
      </c>
      <c r="R545" s="22">
        <f t="shared" si="79"/>
        <v>143.71333760422115</v>
      </c>
      <c r="S545" s="22">
        <f t="shared" si="80"/>
        <v>870.84754450372134</v>
      </c>
      <c r="T545" s="23">
        <v>0.55859868298040061</v>
      </c>
      <c r="U545" s="24">
        <v>0.1</v>
      </c>
      <c r="V545" s="25">
        <f t="shared" ref="V545:V594" si="83">S545+S545*T545+(S545+S545*T545)*U545</f>
        <v>1493.0320195342374</v>
      </c>
      <c r="W545" s="26" t="s">
        <v>29</v>
      </c>
    </row>
    <row r="546" spans="1:23" ht="89.25" x14ac:dyDescent="0.25">
      <c r="A546" s="17">
        <f t="shared" ca="1" si="81"/>
        <v>542</v>
      </c>
      <c r="B546" s="18" t="s">
        <v>139</v>
      </c>
      <c r="C546" s="18" t="s">
        <v>1113</v>
      </c>
      <c r="D546" s="18"/>
      <c r="E546" s="18"/>
      <c r="F546" s="18"/>
      <c r="G546" s="18"/>
      <c r="H546" s="19" t="s">
        <v>1114</v>
      </c>
      <c r="I546" s="18" t="s">
        <v>161</v>
      </c>
      <c r="J546" s="20">
        <v>1</v>
      </c>
      <c r="K546" s="20">
        <v>1.1499999999999999</v>
      </c>
      <c r="L546" s="21" t="s">
        <v>28</v>
      </c>
      <c r="M546" s="22">
        <v>0.39759999999999995</v>
      </c>
      <c r="N546" s="22">
        <v>2.5799999999999997E-2</v>
      </c>
      <c r="O546" s="22">
        <v>1017.1985435894751</v>
      </c>
      <c r="P546" s="22">
        <f t="shared" si="78"/>
        <v>465.10386207085151</v>
      </c>
      <c r="Q546" s="22">
        <v>2777.0693256854333</v>
      </c>
      <c r="R546" s="22">
        <f t="shared" si="79"/>
        <v>82.395646893086777</v>
      </c>
      <c r="S546" s="22">
        <f t="shared" si="80"/>
        <v>547.4995089639383</v>
      </c>
      <c r="T546" s="23">
        <v>0.55859868298040061</v>
      </c>
      <c r="U546" s="24">
        <v>0.1</v>
      </c>
      <c r="V546" s="25">
        <f t="shared" si="83"/>
        <v>938.66521496397127</v>
      </c>
      <c r="W546" s="26" t="s">
        <v>29</v>
      </c>
    </row>
    <row r="547" spans="1:23" ht="89.25" x14ac:dyDescent="0.25">
      <c r="A547" s="17">
        <f t="shared" ca="1" si="81"/>
        <v>543</v>
      </c>
      <c r="B547" s="18" t="s">
        <v>139</v>
      </c>
      <c r="C547" s="18" t="s">
        <v>1115</v>
      </c>
      <c r="D547" s="18"/>
      <c r="E547" s="18"/>
      <c r="F547" s="18"/>
      <c r="G547" s="18"/>
      <c r="H547" s="19" t="s">
        <v>1116</v>
      </c>
      <c r="I547" s="18" t="s">
        <v>161</v>
      </c>
      <c r="J547" s="20">
        <v>1</v>
      </c>
      <c r="K547" s="20">
        <v>1.1499999999999999</v>
      </c>
      <c r="L547" s="21" t="s">
        <v>28</v>
      </c>
      <c r="M547" s="22">
        <v>0.39829999999999993</v>
      </c>
      <c r="N547" s="22">
        <v>2.5799999999999997E-2</v>
      </c>
      <c r="O547" s="22">
        <v>1017.1985435894751</v>
      </c>
      <c r="P547" s="22">
        <f t="shared" si="78"/>
        <v>465.92270689844099</v>
      </c>
      <c r="Q547" s="22">
        <v>2777.0693256854333</v>
      </c>
      <c r="R547" s="22">
        <f t="shared" si="79"/>
        <v>82.395646893086777</v>
      </c>
      <c r="S547" s="22">
        <f t="shared" si="80"/>
        <v>548.31835379152778</v>
      </c>
      <c r="T547" s="23">
        <v>0.55859868298040061</v>
      </c>
      <c r="U547" s="24">
        <v>0.1</v>
      </c>
      <c r="V547" s="25">
        <f t="shared" si="83"/>
        <v>940.06909048080217</v>
      </c>
      <c r="W547" s="26" t="s">
        <v>29</v>
      </c>
    </row>
    <row r="548" spans="1:23" ht="89.25" x14ac:dyDescent="0.25">
      <c r="A548" s="17">
        <f t="shared" ca="1" si="81"/>
        <v>544</v>
      </c>
      <c r="B548" s="18" t="s">
        <v>139</v>
      </c>
      <c r="C548" s="18" t="s">
        <v>1117</v>
      </c>
      <c r="D548" s="18"/>
      <c r="E548" s="18"/>
      <c r="F548" s="18"/>
      <c r="G548" s="18"/>
      <c r="H548" s="19" t="s">
        <v>1118</v>
      </c>
      <c r="I548" s="18" t="s">
        <v>161</v>
      </c>
      <c r="J548" s="20">
        <v>1</v>
      </c>
      <c r="K548" s="20">
        <v>1.1499999999999999</v>
      </c>
      <c r="L548" s="21" t="s">
        <v>28</v>
      </c>
      <c r="M548" s="22">
        <v>0.41929999999999995</v>
      </c>
      <c r="N548" s="22">
        <v>2.5799999999999997E-2</v>
      </c>
      <c r="O548" s="22">
        <v>1017.1985435894751</v>
      </c>
      <c r="P548" s="22">
        <f t="shared" si="78"/>
        <v>490.48805172612686</v>
      </c>
      <c r="Q548" s="22">
        <v>2777.0693256854333</v>
      </c>
      <c r="R548" s="22">
        <f t="shared" si="79"/>
        <v>82.395646893086777</v>
      </c>
      <c r="S548" s="22">
        <f t="shared" si="80"/>
        <v>572.88369861921365</v>
      </c>
      <c r="T548" s="23">
        <v>0.55859868298040061</v>
      </c>
      <c r="U548" s="24">
        <v>0.1</v>
      </c>
      <c r="V548" s="25">
        <f t="shared" si="83"/>
        <v>982.1853559857318</v>
      </c>
      <c r="W548" s="26" t="s">
        <v>29</v>
      </c>
    </row>
    <row r="549" spans="1:23" ht="89.25" x14ac:dyDescent="0.25">
      <c r="A549" s="17">
        <f t="shared" ca="1" si="81"/>
        <v>545</v>
      </c>
      <c r="B549" s="18" t="s">
        <v>139</v>
      </c>
      <c r="C549" s="18" t="s">
        <v>1119</v>
      </c>
      <c r="D549" s="18"/>
      <c r="E549" s="18"/>
      <c r="F549" s="18"/>
      <c r="G549" s="18"/>
      <c r="H549" s="19" t="s">
        <v>1120</v>
      </c>
      <c r="I549" s="18" t="s">
        <v>161</v>
      </c>
      <c r="J549" s="20">
        <v>1</v>
      </c>
      <c r="K549" s="20">
        <v>1.1499999999999999</v>
      </c>
      <c r="L549" s="21" t="s">
        <v>28</v>
      </c>
      <c r="M549" s="22">
        <v>0.42629999999999996</v>
      </c>
      <c r="N549" s="22">
        <v>2.5799999999999997E-2</v>
      </c>
      <c r="O549" s="22">
        <v>1017.1985435894751</v>
      </c>
      <c r="P549" s="22">
        <f t="shared" si="78"/>
        <v>498.67650000202212</v>
      </c>
      <c r="Q549" s="22">
        <v>2777.0693256854333</v>
      </c>
      <c r="R549" s="22">
        <f t="shared" si="79"/>
        <v>82.395646893086777</v>
      </c>
      <c r="S549" s="22">
        <f t="shared" si="80"/>
        <v>581.07214689510886</v>
      </c>
      <c r="T549" s="23">
        <v>0.55859868298040061</v>
      </c>
      <c r="U549" s="24">
        <v>0.1</v>
      </c>
      <c r="V549" s="25">
        <f t="shared" si="83"/>
        <v>996.22411115404168</v>
      </c>
      <c r="W549" s="26" t="s">
        <v>29</v>
      </c>
    </row>
    <row r="550" spans="1:23" ht="89.25" x14ac:dyDescent="0.25">
      <c r="A550" s="17">
        <f t="shared" ca="1" si="81"/>
        <v>546</v>
      </c>
      <c r="B550" s="18" t="s">
        <v>139</v>
      </c>
      <c r="C550" s="18" t="s">
        <v>1121</v>
      </c>
      <c r="D550" s="18"/>
      <c r="E550" s="18"/>
      <c r="F550" s="18"/>
      <c r="G550" s="18"/>
      <c r="H550" s="19" t="s">
        <v>1122</v>
      </c>
      <c r="I550" s="18" t="s">
        <v>161</v>
      </c>
      <c r="J550" s="20">
        <v>1</v>
      </c>
      <c r="K550" s="20">
        <v>1.1499999999999999</v>
      </c>
      <c r="L550" s="21" t="s">
        <v>28</v>
      </c>
      <c r="M550" s="22">
        <v>0.44519999999999998</v>
      </c>
      <c r="N550" s="22">
        <v>2.5799999999999997E-2</v>
      </c>
      <c r="O550" s="22">
        <v>1017.1985435894751</v>
      </c>
      <c r="P550" s="22">
        <f t="shared" si="78"/>
        <v>520.78531034693935</v>
      </c>
      <c r="Q550" s="22">
        <v>2777.0693256854333</v>
      </c>
      <c r="R550" s="22">
        <f t="shared" si="79"/>
        <v>82.395646893086777</v>
      </c>
      <c r="S550" s="22">
        <f t="shared" si="80"/>
        <v>603.18095724002615</v>
      </c>
      <c r="T550" s="23">
        <v>0.55859868298040061</v>
      </c>
      <c r="U550" s="24">
        <v>0.1</v>
      </c>
      <c r="V550" s="25">
        <f t="shared" si="83"/>
        <v>1034.1287501084785</v>
      </c>
      <c r="W550" s="26" t="s">
        <v>29</v>
      </c>
    </row>
    <row r="551" spans="1:23" ht="89.25" x14ac:dyDescent="0.25">
      <c r="A551" s="17">
        <f t="shared" ca="1" si="81"/>
        <v>547</v>
      </c>
      <c r="B551" s="18" t="s">
        <v>139</v>
      </c>
      <c r="C551" s="18" t="s">
        <v>1123</v>
      </c>
      <c r="D551" s="18"/>
      <c r="E551" s="18"/>
      <c r="F551" s="18"/>
      <c r="G551" s="18"/>
      <c r="H551" s="19" t="s">
        <v>1124</v>
      </c>
      <c r="I551" s="18" t="s">
        <v>161</v>
      </c>
      <c r="J551" s="20">
        <v>1</v>
      </c>
      <c r="K551" s="20">
        <v>1.1499999999999999</v>
      </c>
      <c r="L551" s="21" t="s">
        <v>28</v>
      </c>
      <c r="M551" s="22">
        <v>1.1157999999999999</v>
      </c>
      <c r="N551" s="22">
        <v>0.18</v>
      </c>
      <c r="O551" s="22">
        <v>1017.1985435894751</v>
      </c>
      <c r="P551" s="22">
        <f t="shared" si="78"/>
        <v>1305.2386551777065</v>
      </c>
      <c r="Q551" s="22">
        <v>2777.0693256854333</v>
      </c>
      <c r="R551" s="22">
        <f t="shared" si="79"/>
        <v>574.85335041688461</v>
      </c>
      <c r="S551" s="22">
        <f t="shared" si="80"/>
        <v>1880.0920055945912</v>
      </c>
      <c r="T551" s="23">
        <v>0.55859868298040061</v>
      </c>
      <c r="U551" s="24">
        <v>0.1</v>
      </c>
      <c r="V551" s="25">
        <f t="shared" si="83"/>
        <v>3223.3398161818809</v>
      </c>
      <c r="W551" s="26" t="s">
        <v>29</v>
      </c>
    </row>
    <row r="552" spans="1:23" ht="89.25" x14ac:dyDescent="0.25">
      <c r="A552" s="17">
        <f t="shared" ca="1" si="81"/>
        <v>548</v>
      </c>
      <c r="B552" s="18" t="s">
        <v>139</v>
      </c>
      <c r="C552" s="18" t="s">
        <v>1125</v>
      </c>
      <c r="D552" s="18"/>
      <c r="E552" s="18"/>
      <c r="F552" s="18"/>
      <c r="G552" s="18"/>
      <c r="H552" s="19" t="s">
        <v>1126</v>
      </c>
      <c r="I552" s="18" t="s">
        <v>161</v>
      </c>
      <c r="J552" s="20">
        <v>1</v>
      </c>
      <c r="K552" s="20">
        <v>1.1499999999999999</v>
      </c>
      <c r="L552" s="21" t="s">
        <v>28</v>
      </c>
      <c r="M552" s="22">
        <v>1.1458999999999997</v>
      </c>
      <c r="N552" s="22">
        <v>0.18</v>
      </c>
      <c r="O552" s="22">
        <v>1017.1985435894751</v>
      </c>
      <c r="P552" s="22">
        <f t="shared" si="78"/>
        <v>1340.4489827640559</v>
      </c>
      <c r="Q552" s="22">
        <v>2777.0693256854333</v>
      </c>
      <c r="R552" s="22">
        <f t="shared" si="79"/>
        <v>574.85335041688461</v>
      </c>
      <c r="S552" s="22">
        <f t="shared" si="80"/>
        <v>1915.3023331809404</v>
      </c>
      <c r="T552" s="23">
        <v>0.55859868298040061</v>
      </c>
      <c r="U552" s="24">
        <v>0.1</v>
      </c>
      <c r="V552" s="25">
        <f t="shared" si="83"/>
        <v>3283.7064634056128</v>
      </c>
      <c r="W552" s="26" t="s">
        <v>29</v>
      </c>
    </row>
    <row r="553" spans="1:23" ht="89.25" x14ac:dyDescent="0.25">
      <c r="A553" s="17">
        <f t="shared" ca="1" si="81"/>
        <v>549</v>
      </c>
      <c r="B553" s="18" t="s">
        <v>139</v>
      </c>
      <c r="C553" s="18" t="s">
        <v>1127</v>
      </c>
      <c r="D553" s="18"/>
      <c r="E553" s="18"/>
      <c r="F553" s="18"/>
      <c r="G553" s="18"/>
      <c r="H553" s="19" t="s">
        <v>1128</v>
      </c>
      <c r="I553" s="18" t="s">
        <v>161</v>
      </c>
      <c r="J553" s="20">
        <v>1</v>
      </c>
      <c r="K553" s="20">
        <v>1.1499999999999999</v>
      </c>
      <c r="L553" s="21" t="s">
        <v>28</v>
      </c>
      <c r="M553" s="22">
        <v>2.5794999999999995</v>
      </c>
      <c r="N553" s="22">
        <v>0.18</v>
      </c>
      <c r="O553" s="22">
        <v>1017.1985435894751</v>
      </c>
      <c r="P553" s="22">
        <f t="shared" si="78"/>
        <v>3017.4431896674078</v>
      </c>
      <c r="Q553" s="22">
        <v>2777.0693256854333</v>
      </c>
      <c r="R553" s="22">
        <f t="shared" si="79"/>
        <v>574.85335041688461</v>
      </c>
      <c r="S553" s="22">
        <f t="shared" si="80"/>
        <v>3592.2965400842922</v>
      </c>
      <c r="T553" s="23">
        <v>0.55859868298040061</v>
      </c>
      <c r="U553" s="24">
        <v>0.1</v>
      </c>
      <c r="V553" s="25">
        <f t="shared" si="83"/>
        <v>6158.8435218754712</v>
      </c>
      <c r="W553" s="26" t="s">
        <v>29</v>
      </c>
    </row>
    <row r="554" spans="1:23" ht="89.25" x14ac:dyDescent="0.25">
      <c r="A554" s="17">
        <f t="shared" ca="1" si="81"/>
        <v>550</v>
      </c>
      <c r="B554" s="18" t="s">
        <v>139</v>
      </c>
      <c r="C554" s="18" t="s">
        <v>1129</v>
      </c>
      <c r="D554" s="18"/>
      <c r="E554" s="18"/>
      <c r="F554" s="18"/>
      <c r="G554" s="18"/>
      <c r="H554" s="19" t="s">
        <v>1130</v>
      </c>
      <c r="I554" s="18" t="s">
        <v>161</v>
      </c>
      <c r="J554" s="20">
        <v>1</v>
      </c>
      <c r="K554" s="20">
        <v>1.1499999999999999</v>
      </c>
      <c r="L554" s="21" t="s">
        <v>28</v>
      </c>
      <c r="M554" s="22">
        <v>2.6389999999999998</v>
      </c>
      <c r="N554" s="22">
        <v>0.18</v>
      </c>
      <c r="O554" s="22">
        <v>1017.1985435894751</v>
      </c>
      <c r="P554" s="22">
        <f t="shared" si="78"/>
        <v>3087.0450000125179</v>
      </c>
      <c r="Q554" s="22">
        <v>2777.0693256854333</v>
      </c>
      <c r="R554" s="22">
        <f t="shared" si="79"/>
        <v>574.85335041688461</v>
      </c>
      <c r="S554" s="22">
        <f t="shared" si="80"/>
        <v>3661.8983504294024</v>
      </c>
      <c r="T554" s="23">
        <v>0.55859868298040061</v>
      </c>
      <c r="U554" s="24">
        <v>0.1</v>
      </c>
      <c r="V554" s="25">
        <f t="shared" si="83"/>
        <v>6278.1729408061046</v>
      </c>
      <c r="W554" s="26" t="s">
        <v>29</v>
      </c>
    </row>
    <row r="555" spans="1:23" ht="89.25" x14ac:dyDescent="0.25">
      <c r="A555" s="17">
        <f t="shared" ca="1" si="81"/>
        <v>551</v>
      </c>
      <c r="B555" s="18" t="s">
        <v>139</v>
      </c>
      <c r="C555" s="18" t="s">
        <v>1131</v>
      </c>
      <c r="D555" s="18"/>
      <c r="E555" s="18"/>
      <c r="F555" s="18"/>
      <c r="G555" s="18"/>
      <c r="H555" s="19" t="s">
        <v>1132</v>
      </c>
      <c r="I555" s="18" t="s">
        <v>161</v>
      </c>
      <c r="J555" s="20">
        <v>1</v>
      </c>
      <c r="K555" s="20">
        <v>1.1499999999999999</v>
      </c>
      <c r="L555" s="21" t="s">
        <v>28</v>
      </c>
      <c r="M555" s="22">
        <v>3.5084</v>
      </c>
      <c r="N555" s="22">
        <v>0.44999999999999996</v>
      </c>
      <c r="O555" s="22">
        <v>1017.1985435894751</v>
      </c>
      <c r="P555" s="22">
        <f t="shared" si="78"/>
        <v>4104.0502758787106</v>
      </c>
      <c r="Q555" s="22">
        <v>2777.0693256854333</v>
      </c>
      <c r="R555" s="22">
        <f t="shared" si="79"/>
        <v>1437.1333760422117</v>
      </c>
      <c r="S555" s="22">
        <f t="shared" si="80"/>
        <v>5541.1836519209228</v>
      </c>
      <c r="T555" s="23">
        <v>0.55859868298040061</v>
      </c>
      <c r="U555" s="24">
        <v>0.1</v>
      </c>
      <c r="V555" s="25">
        <f t="shared" si="83"/>
        <v>9500.1296962401229</v>
      </c>
      <c r="W555" s="26" t="s">
        <v>29</v>
      </c>
    </row>
    <row r="556" spans="1:23" ht="89.25" x14ac:dyDescent="0.25">
      <c r="A556" s="17">
        <f t="shared" ca="1" si="81"/>
        <v>552</v>
      </c>
      <c r="B556" s="18" t="s">
        <v>139</v>
      </c>
      <c r="C556" s="18" t="s">
        <v>1133</v>
      </c>
      <c r="D556" s="18"/>
      <c r="E556" s="18"/>
      <c r="F556" s="18"/>
      <c r="G556" s="18"/>
      <c r="H556" s="19" t="s">
        <v>1134</v>
      </c>
      <c r="I556" s="18" t="s">
        <v>161</v>
      </c>
      <c r="J556" s="20">
        <v>1</v>
      </c>
      <c r="K556" s="20">
        <v>1.1499999999999999</v>
      </c>
      <c r="L556" s="21" t="s">
        <v>28</v>
      </c>
      <c r="M556" s="22">
        <v>0.91349999999999976</v>
      </c>
      <c r="N556" s="22">
        <v>4.4999999999999998E-2</v>
      </c>
      <c r="O556" s="22">
        <v>1017.1985435894751</v>
      </c>
      <c r="P556" s="22">
        <f t="shared" si="78"/>
        <v>1068.592500004333</v>
      </c>
      <c r="Q556" s="22">
        <v>2777.0693256854333</v>
      </c>
      <c r="R556" s="22">
        <f t="shared" si="79"/>
        <v>143.71333760422115</v>
      </c>
      <c r="S556" s="22">
        <f t="shared" si="80"/>
        <v>1212.3058376085542</v>
      </c>
      <c r="T556" s="23">
        <v>0.55859868298040061</v>
      </c>
      <c r="U556" s="24">
        <v>0.1</v>
      </c>
      <c r="V556" s="25">
        <f t="shared" si="83"/>
        <v>2078.4481100527582</v>
      </c>
      <c r="W556" s="26" t="s">
        <v>29</v>
      </c>
    </row>
    <row r="557" spans="1:23" ht="89.25" x14ac:dyDescent="0.25">
      <c r="A557" s="17">
        <f t="shared" ca="1" si="81"/>
        <v>553</v>
      </c>
      <c r="B557" s="18" t="s">
        <v>139</v>
      </c>
      <c r="C557" s="18" t="s">
        <v>1135</v>
      </c>
      <c r="D557" s="18"/>
      <c r="E557" s="18"/>
      <c r="F557" s="18"/>
      <c r="G557" s="18"/>
      <c r="H557" s="19" t="s">
        <v>1136</v>
      </c>
      <c r="I557" s="18" t="s">
        <v>161</v>
      </c>
      <c r="J557" s="20">
        <v>1</v>
      </c>
      <c r="K557" s="20">
        <v>1.1499999999999999</v>
      </c>
      <c r="L557" s="21" t="s">
        <v>28</v>
      </c>
      <c r="M557" s="22">
        <v>2.6677</v>
      </c>
      <c r="N557" s="22">
        <v>4.4999999999999998E-2</v>
      </c>
      <c r="O557" s="22">
        <v>1017.1985435894751</v>
      </c>
      <c r="P557" s="22">
        <f t="shared" si="78"/>
        <v>3120.6176379436888</v>
      </c>
      <c r="Q557" s="22">
        <v>2777.0693256854333</v>
      </c>
      <c r="R557" s="22">
        <f t="shared" si="79"/>
        <v>143.71333760422115</v>
      </c>
      <c r="S557" s="22">
        <f t="shared" si="80"/>
        <v>3264.3309755479099</v>
      </c>
      <c r="T557" s="23">
        <v>0.55859868298040061</v>
      </c>
      <c r="U557" s="24">
        <v>0.1</v>
      </c>
      <c r="V557" s="25">
        <f t="shared" si="83"/>
        <v>5596.5601552312091</v>
      </c>
      <c r="W557" s="26" t="s">
        <v>29</v>
      </c>
    </row>
    <row r="558" spans="1:23" ht="89.25" x14ac:dyDescent="0.25">
      <c r="A558" s="17">
        <f t="shared" ca="1" si="81"/>
        <v>554</v>
      </c>
      <c r="B558" s="18" t="s">
        <v>139</v>
      </c>
      <c r="C558" s="18" t="s">
        <v>1137</v>
      </c>
      <c r="D558" s="18"/>
      <c r="E558" s="18"/>
      <c r="F558" s="18"/>
      <c r="G558" s="18"/>
      <c r="H558" s="19" t="s">
        <v>1138</v>
      </c>
      <c r="I558" s="18" t="s">
        <v>161</v>
      </c>
      <c r="J558" s="20">
        <v>1</v>
      </c>
      <c r="K558" s="20">
        <v>1.1499999999999999</v>
      </c>
      <c r="L558" s="21" t="s">
        <v>28</v>
      </c>
      <c r="M558" s="22">
        <v>2.9673000000000003</v>
      </c>
      <c r="N558" s="22">
        <v>4.4999999999999998E-2</v>
      </c>
      <c r="O558" s="22">
        <v>1017.1985435894751</v>
      </c>
      <c r="P558" s="22">
        <f t="shared" si="78"/>
        <v>3471.083224152007</v>
      </c>
      <c r="Q558" s="22">
        <v>2777.0693256854333</v>
      </c>
      <c r="R558" s="22">
        <f t="shared" si="79"/>
        <v>143.71333760422115</v>
      </c>
      <c r="S558" s="22">
        <f t="shared" si="80"/>
        <v>3614.7965617562281</v>
      </c>
      <c r="T558" s="23">
        <v>0.55859868298040061</v>
      </c>
      <c r="U558" s="24">
        <v>0.1</v>
      </c>
      <c r="V558" s="25">
        <f t="shared" si="83"/>
        <v>6197.418876434871</v>
      </c>
      <c r="W558" s="26" t="s">
        <v>29</v>
      </c>
    </row>
    <row r="559" spans="1:23" ht="89.25" x14ac:dyDescent="0.25">
      <c r="A559" s="17">
        <f t="shared" ca="1" si="81"/>
        <v>555</v>
      </c>
      <c r="B559" s="18" t="s">
        <v>139</v>
      </c>
      <c r="C559" s="18" t="s">
        <v>1139</v>
      </c>
      <c r="D559" s="18"/>
      <c r="E559" s="18"/>
      <c r="F559" s="18"/>
      <c r="G559" s="18"/>
      <c r="H559" s="19" t="s">
        <v>1140</v>
      </c>
      <c r="I559" s="18" t="s">
        <v>161</v>
      </c>
      <c r="J559" s="20">
        <v>1</v>
      </c>
      <c r="K559" s="20">
        <v>1.1499999999999999</v>
      </c>
      <c r="L559" s="21" t="s">
        <v>28</v>
      </c>
      <c r="M559" s="22">
        <v>3.2662</v>
      </c>
      <c r="N559" s="22">
        <v>4.4999999999999998E-2</v>
      </c>
      <c r="O559" s="22">
        <v>1017.1985435894751</v>
      </c>
      <c r="P559" s="22">
        <f t="shared" si="78"/>
        <v>3820.7299655327347</v>
      </c>
      <c r="Q559" s="22">
        <v>2777.0693256854333</v>
      </c>
      <c r="R559" s="22">
        <f t="shared" si="79"/>
        <v>143.71333760422115</v>
      </c>
      <c r="S559" s="22">
        <f t="shared" si="80"/>
        <v>3964.4433031369558</v>
      </c>
      <c r="T559" s="23">
        <v>0.55859868298040061</v>
      </c>
      <c r="U559" s="24">
        <v>0.1</v>
      </c>
      <c r="V559" s="25">
        <f t="shared" si="83"/>
        <v>6796.8737221217016</v>
      </c>
      <c r="W559" s="26" t="s">
        <v>29</v>
      </c>
    </row>
    <row r="560" spans="1:23" ht="89.25" x14ac:dyDescent="0.25">
      <c r="A560" s="17">
        <f t="shared" ca="1" si="81"/>
        <v>556</v>
      </c>
      <c r="B560" s="18" t="s">
        <v>139</v>
      </c>
      <c r="C560" s="18" t="s">
        <v>1141</v>
      </c>
      <c r="D560" s="18"/>
      <c r="E560" s="18"/>
      <c r="F560" s="18"/>
      <c r="G560" s="18"/>
      <c r="H560" s="19" t="s">
        <v>1142</v>
      </c>
      <c r="I560" s="18" t="s">
        <v>161</v>
      </c>
      <c r="J560" s="20">
        <v>1</v>
      </c>
      <c r="K560" s="20">
        <v>1.1499999999999999</v>
      </c>
      <c r="L560" s="21" t="s">
        <v>28</v>
      </c>
      <c r="M560" s="22">
        <v>2.7656999999999998</v>
      </c>
      <c r="N560" s="22">
        <v>4.4999999999999998E-2</v>
      </c>
      <c r="O560" s="22">
        <v>1017.1985435894751</v>
      </c>
      <c r="P560" s="22">
        <f t="shared" si="78"/>
        <v>3235.2559138062225</v>
      </c>
      <c r="Q560" s="22">
        <v>2777.0693256854333</v>
      </c>
      <c r="R560" s="22">
        <f t="shared" si="79"/>
        <v>143.71333760422115</v>
      </c>
      <c r="S560" s="22">
        <f t="shared" si="80"/>
        <v>3378.9692514104436</v>
      </c>
      <c r="T560" s="23">
        <v>0.55859868298040061</v>
      </c>
      <c r="U560" s="24">
        <v>0.1</v>
      </c>
      <c r="V560" s="25">
        <f t="shared" si="83"/>
        <v>5793.1027275875467</v>
      </c>
      <c r="W560" s="26" t="s">
        <v>29</v>
      </c>
    </row>
    <row r="561" spans="1:23" ht="89.25" x14ac:dyDescent="0.25">
      <c r="A561" s="17">
        <f t="shared" ca="1" si="81"/>
        <v>557</v>
      </c>
      <c r="B561" s="18" t="s">
        <v>139</v>
      </c>
      <c r="C561" s="18" t="s">
        <v>1143</v>
      </c>
      <c r="D561" s="18"/>
      <c r="E561" s="18"/>
      <c r="F561" s="18"/>
      <c r="G561" s="18"/>
      <c r="H561" s="19" t="s">
        <v>1144</v>
      </c>
      <c r="I561" s="18" t="s">
        <v>161</v>
      </c>
      <c r="J561" s="20">
        <v>1</v>
      </c>
      <c r="K561" s="20">
        <v>1.1499999999999999</v>
      </c>
      <c r="L561" s="21" t="s">
        <v>28</v>
      </c>
      <c r="M561" s="22">
        <v>2.9449000000000005</v>
      </c>
      <c r="N561" s="22">
        <v>4.4999999999999998E-2</v>
      </c>
      <c r="O561" s="22">
        <v>1017.1985435894751</v>
      </c>
      <c r="P561" s="22">
        <f t="shared" si="78"/>
        <v>3444.8801896691425</v>
      </c>
      <c r="Q561" s="22">
        <v>2777.0693256854333</v>
      </c>
      <c r="R561" s="22">
        <f t="shared" si="79"/>
        <v>143.71333760422115</v>
      </c>
      <c r="S561" s="22">
        <f t="shared" si="80"/>
        <v>3588.5935272733636</v>
      </c>
      <c r="T561" s="23">
        <v>0.55859868298040061</v>
      </c>
      <c r="U561" s="24">
        <v>0.1</v>
      </c>
      <c r="V561" s="25">
        <f t="shared" si="83"/>
        <v>6152.4948598962801</v>
      </c>
      <c r="W561" s="26" t="s">
        <v>29</v>
      </c>
    </row>
    <row r="562" spans="1:23" ht="89.25" x14ac:dyDescent="0.25">
      <c r="A562" s="17">
        <f t="shared" ca="1" si="81"/>
        <v>558</v>
      </c>
      <c r="B562" s="18" t="s">
        <v>139</v>
      </c>
      <c r="C562" s="18" t="s">
        <v>1145</v>
      </c>
      <c r="D562" s="18"/>
      <c r="E562" s="18"/>
      <c r="F562" s="18"/>
      <c r="G562" s="18"/>
      <c r="H562" s="19" t="s">
        <v>1146</v>
      </c>
      <c r="I562" s="18" t="s">
        <v>161</v>
      </c>
      <c r="J562" s="20">
        <v>1</v>
      </c>
      <c r="K562" s="20">
        <v>1.1499999999999999</v>
      </c>
      <c r="L562" s="21" t="s">
        <v>28</v>
      </c>
      <c r="M562" s="22">
        <v>3.4390999999999998</v>
      </c>
      <c r="N562" s="22">
        <v>0.18</v>
      </c>
      <c r="O562" s="22">
        <v>1017.1985435894751</v>
      </c>
      <c r="P562" s="22">
        <f t="shared" si="78"/>
        <v>4022.9846379473479</v>
      </c>
      <c r="Q562" s="22">
        <v>2777.0693256854333</v>
      </c>
      <c r="R562" s="22">
        <f t="shared" si="79"/>
        <v>574.85335041688461</v>
      </c>
      <c r="S562" s="22">
        <f t="shared" si="80"/>
        <v>4597.8379883642328</v>
      </c>
      <c r="T562" s="23">
        <v>0.55859868298040061</v>
      </c>
      <c r="U562" s="24">
        <v>0.1</v>
      </c>
      <c r="V562" s="25">
        <f t="shared" si="83"/>
        <v>7882.8026565439222</v>
      </c>
      <c r="W562" s="26" t="s">
        <v>29</v>
      </c>
    </row>
    <row r="563" spans="1:23" ht="89.25" x14ac:dyDescent="0.25">
      <c r="A563" s="17">
        <f t="shared" ca="1" si="81"/>
        <v>559</v>
      </c>
      <c r="B563" s="18" t="s">
        <v>139</v>
      </c>
      <c r="C563" s="18" t="s">
        <v>1147</v>
      </c>
      <c r="D563" s="18"/>
      <c r="E563" s="18"/>
      <c r="F563" s="18"/>
      <c r="G563" s="18"/>
      <c r="H563" s="19" t="s">
        <v>1148</v>
      </c>
      <c r="I563" s="18" t="s">
        <v>161</v>
      </c>
      <c r="J563" s="20">
        <v>1</v>
      </c>
      <c r="K563" s="20">
        <v>1.1499999999999999</v>
      </c>
      <c r="L563" s="21" t="s">
        <v>28</v>
      </c>
      <c r="M563" s="22">
        <v>3.6183000000000001</v>
      </c>
      <c r="N563" s="22">
        <v>0.18</v>
      </c>
      <c r="O563" s="22">
        <v>1017.1985435894751</v>
      </c>
      <c r="P563" s="22">
        <f t="shared" si="78"/>
        <v>4232.608913810267</v>
      </c>
      <c r="Q563" s="22">
        <v>2777.0693256854333</v>
      </c>
      <c r="R563" s="22">
        <f t="shared" si="79"/>
        <v>574.85335041688461</v>
      </c>
      <c r="S563" s="22">
        <f t="shared" si="80"/>
        <v>4807.4622642271515</v>
      </c>
      <c r="T563" s="23">
        <v>0.55859868298040061</v>
      </c>
      <c r="U563" s="24">
        <v>0.1</v>
      </c>
      <c r="V563" s="25">
        <f t="shared" si="83"/>
        <v>8242.1947888526538</v>
      </c>
      <c r="W563" s="26" t="s">
        <v>29</v>
      </c>
    </row>
    <row r="564" spans="1:23" ht="89.25" x14ac:dyDescent="0.25">
      <c r="A564" s="17">
        <f t="shared" ca="1" si="81"/>
        <v>560</v>
      </c>
      <c r="B564" s="18" t="s">
        <v>139</v>
      </c>
      <c r="C564" s="18" t="s">
        <v>1149</v>
      </c>
      <c r="D564" s="18"/>
      <c r="E564" s="18"/>
      <c r="F564" s="18"/>
      <c r="G564" s="18"/>
      <c r="H564" s="19" t="s">
        <v>1150</v>
      </c>
      <c r="I564" s="18" t="s">
        <v>161</v>
      </c>
      <c r="J564" s="20">
        <v>1</v>
      </c>
      <c r="K564" s="20">
        <v>1.1499999999999999</v>
      </c>
      <c r="L564" s="21" t="s">
        <v>28</v>
      </c>
      <c r="M564" s="22">
        <v>3.7974999999999994</v>
      </c>
      <c r="N564" s="22">
        <v>0.18</v>
      </c>
      <c r="O564" s="22">
        <v>1017.1985435894751</v>
      </c>
      <c r="P564" s="22">
        <f t="shared" si="78"/>
        <v>4442.2331896731848</v>
      </c>
      <c r="Q564" s="22">
        <v>2777.0693256854333</v>
      </c>
      <c r="R564" s="22">
        <f t="shared" si="79"/>
        <v>574.85335041688461</v>
      </c>
      <c r="S564" s="22">
        <f t="shared" si="80"/>
        <v>5017.0865400900693</v>
      </c>
      <c r="T564" s="23">
        <v>0.55859868298040061</v>
      </c>
      <c r="U564" s="24">
        <v>0.1</v>
      </c>
      <c r="V564" s="25">
        <f t="shared" si="83"/>
        <v>8601.5869211613845</v>
      </c>
      <c r="W564" s="26" t="s">
        <v>29</v>
      </c>
    </row>
    <row r="565" spans="1:23" ht="89.25" x14ac:dyDescent="0.25">
      <c r="A565" s="17">
        <f t="shared" ca="1" si="81"/>
        <v>561</v>
      </c>
      <c r="B565" s="18" t="s">
        <v>139</v>
      </c>
      <c r="C565" s="18" t="s">
        <v>1151</v>
      </c>
      <c r="D565" s="18"/>
      <c r="E565" s="18"/>
      <c r="F565" s="18"/>
      <c r="G565" s="18"/>
      <c r="H565" s="19" t="s">
        <v>1152</v>
      </c>
      <c r="I565" s="18" t="s">
        <v>161</v>
      </c>
      <c r="J565" s="20">
        <v>1</v>
      </c>
      <c r="K565" s="20">
        <v>1.1499999999999999</v>
      </c>
      <c r="L565" s="21" t="s">
        <v>28</v>
      </c>
      <c r="M565" s="22">
        <v>4.6256000000000004</v>
      </c>
      <c r="N565" s="22">
        <v>0.18</v>
      </c>
      <c r="O565" s="22">
        <v>1017.1985435894751</v>
      </c>
      <c r="P565" s="22">
        <f t="shared" si="78"/>
        <v>5410.9266207115979</v>
      </c>
      <c r="Q565" s="22">
        <v>2777.0693256854333</v>
      </c>
      <c r="R565" s="22">
        <f t="shared" si="79"/>
        <v>574.85335041688461</v>
      </c>
      <c r="S565" s="22">
        <f t="shared" si="80"/>
        <v>5985.7799711284824</v>
      </c>
      <c r="T565" s="23">
        <v>0.55859868298040061</v>
      </c>
      <c r="U565" s="24">
        <v>0.1</v>
      </c>
      <c r="V565" s="25">
        <f t="shared" si="83"/>
        <v>10262.371657572445</v>
      </c>
      <c r="W565" s="26" t="s">
        <v>29</v>
      </c>
    </row>
    <row r="566" spans="1:23" ht="89.25" x14ac:dyDescent="0.25">
      <c r="A566" s="17">
        <f t="shared" ca="1" si="81"/>
        <v>562</v>
      </c>
      <c r="B566" s="18" t="s">
        <v>139</v>
      </c>
      <c r="C566" s="18" t="s">
        <v>1153</v>
      </c>
      <c r="D566" s="18"/>
      <c r="E566" s="18"/>
      <c r="F566" s="18"/>
      <c r="G566" s="18"/>
      <c r="H566" s="19" t="s">
        <v>1154</v>
      </c>
      <c r="I566" s="18" t="s">
        <v>161</v>
      </c>
      <c r="J566" s="20">
        <v>1</v>
      </c>
      <c r="K566" s="20">
        <v>1.1499999999999999</v>
      </c>
      <c r="L566" s="21" t="s">
        <v>28</v>
      </c>
      <c r="M566" s="22">
        <v>4.8047999999999993</v>
      </c>
      <c r="N566" s="22">
        <v>0.18</v>
      </c>
      <c r="O566" s="22">
        <v>1017.1985435894751</v>
      </c>
      <c r="P566" s="22">
        <f t="shared" si="78"/>
        <v>5620.5508965745148</v>
      </c>
      <c r="Q566" s="22">
        <v>2777.0693256854333</v>
      </c>
      <c r="R566" s="22">
        <f t="shared" si="79"/>
        <v>574.85335041688461</v>
      </c>
      <c r="S566" s="22">
        <f t="shared" si="80"/>
        <v>6195.4042469913993</v>
      </c>
      <c r="T566" s="23">
        <v>0.55859868298040061</v>
      </c>
      <c r="U566" s="24">
        <v>0.1</v>
      </c>
      <c r="V566" s="25">
        <f t="shared" si="83"/>
        <v>10621.763789881174</v>
      </c>
      <c r="W566" s="26" t="s">
        <v>29</v>
      </c>
    </row>
    <row r="567" spans="1:23" ht="89.25" x14ac:dyDescent="0.25">
      <c r="A567" s="17">
        <f t="shared" ca="1" si="81"/>
        <v>563</v>
      </c>
      <c r="B567" s="18" t="s">
        <v>139</v>
      </c>
      <c r="C567" s="18" t="s">
        <v>1155</v>
      </c>
      <c r="D567" s="18"/>
      <c r="E567" s="18"/>
      <c r="F567" s="18"/>
      <c r="G567" s="18"/>
      <c r="H567" s="19" t="s">
        <v>1156</v>
      </c>
      <c r="I567" s="18" t="s">
        <v>161</v>
      </c>
      <c r="J567" s="20">
        <v>1</v>
      </c>
      <c r="K567" s="20">
        <v>1.1499999999999999</v>
      </c>
      <c r="L567" s="21" t="s">
        <v>28</v>
      </c>
      <c r="M567" s="22">
        <v>5.6140000000000008</v>
      </c>
      <c r="N567" s="22">
        <v>0.44999999999999996</v>
      </c>
      <c r="O567" s="22">
        <v>1017.1985435894751</v>
      </c>
      <c r="P567" s="22">
        <f t="shared" si="78"/>
        <v>6567.1355172680105</v>
      </c>
      <c r="Q567" s="22">
        <v>2777.0693256854333</v>
      </c>
      <c r="R567" s="22">
        <f t="shared" si="79"/>
        <v>1437.1333760422117</v>
      </c>
      <c r="S567" s="22">
        <f t="shared" si="80"/>
        <v>8004.2688933102218</v>
      </c>
      <c r="T567" s="23">
        <v>0.55859868298040061</v>
      </c>
      <c r="U567" s="24">
        <v>0.1</v>
      </c>
      <c r="V567" s="25">
        <f t="shared" si="83"/>
        <v>13722.987250867729</v>
      </c>
      <c r="W567" s="26" t="s">
        <v>29</v>
      </c>
    </row>
    <row r="568" spans="1:23" ht="89.25" x14ac:dyDescent="0.25">
      <c r="A568" s="17">
        <f t="shared" ca="1" si="81"/>
        <v>564</v>
      </c>
      <c r="B568" s="18" t="s">
        <v>139</v>
      </c>
      <c r="C568" s="18" t="s">
        <v>1157</v>
      </c>
      <c r="D568" s="18"/>
      <c r="E568" s="18"/>
      <c r="F568" s="18"/>
      <c r="G568" s="18"/>
      <c r="H568" s="19" t="s">
        <v>1158</v>
      </c>
      <c r="I568" s="18" t="s">
        <v>161</v>
      </c>
      <c r="J568" s="20">
        <v>1</v>
      </c>
      <c r="K568" s="20">
        <v>1.1499999999999999</v>
      </c>
      <c r="L568" s="21" t="s">
        <v>28</v>
      </c>
      <c r="M568" s="22">
        <v>5.7939000000000007</v>
      </c>
      <c r="N568" s="22">
        <v>0.44999999999999996</v>
      </c>
      <c r="O568" s="22">
        <v>1017.1985435894751</v>
      </c>
      <c r="P568" s="22">
        <f t="shared" si="78"/>
        <v>6777.5786379585188</v>
      </c>
      <c r="Q568" s="22">
        <v>2777.0693256854333</v>
      </c>
      <c r="R568" s="22">
        <f t="shared" si="79"/>
        <v>1437.1333760422117</v>
      </c>
      <c r="S568" s="22">
        <f t="shared" si="80"/>
        <v>8214.7120140007301</v>
      </c>
      <c r="T568" s="23">
        <v>0.55859868298040061</v>
      </c>
      <c r="U568" s="24">
        <v>0.1</v>
      </c>
      <c r="V568" s="25">
        <f t="shared" si="83"/>
        <v>14083.783258693293</v>
      </c>
      <c r="W568" s="26" t="s">
        <v>29</v>
      </c>
    </row>
    <row r="569" spans="1:23" ht="89.25" x14ac:dyDescent="0.25">
      <c r="A569" s="17">
        <f t="shared" ca="1" si="81"/>
        <v>565</v>
      </c>
      <c r="B569" s="18" t="s">
        <v>139</v>
      </c>
      <c r="C569" s="18" t="s">
        <v>1159</v>
      </c>
      <c r="D569" s="18"/>
      <c r="E569" s="18"/>
      <c r="F569" s="18"/>
      <c r="G569" s="18"/>
      <c r="H569" s="19" t="s">
        <v>1160</v>
      </c>
      <c r="I569" s="18" t="s">
        <v>161</v>
      </c>
      <c r="J569" s="20">
        <v>1</v>
      </c>
      <c r="K569" s="20">
        <v>1.1499999999999999</v>
      </c>
      <c r="L569" s="21" t="s">
        <v>28</v>
      </c>
      <c r="M569" s="22">
        <v>6.6212999999999997</v>
      </c>
      <c r="N569" s="22">
        <v>0.44999999999999996</v>
      </c>
      <c r="O569" s="22">
        <v>1017.1985435894751</v>
      </c>
      <c r="P569" s="22">
        <f t="shared" si="78"/>
        <v>7745.4532241693396</v>
      </c>
      <c r="Q569" s="22">
        <v>2777.0693256854333</v>
      </c>
      <c r="R569" s="22">
        <f t="shared" si="79"/>
        <v>1437.1333760422117</v>
      </c>
      <c r="S569" s="22">
        <f t="shared" si="80"/>
        <v>9182.5866002115508</v>
      </c>
      <c r="T569" s="23">
        <v>0.55859868298040061</v>
      </c>
      <c r="U569" s="24">
        <v>0.1</v>
      </c>
      <c r="V569" s="25">
        <f t="shared" si="83"/>
        <v>15743.164119587516</v>
      </c>
      <c r="W569" s="26" t="s">
        <v>29</v>
      </c>
    </row>
    <row r="570" spans="1:23" ht="89.25" x14ac:dyDescent="0.25">
      <c r="A570" s="17">
        <f t="shared" ca="1" si="81"/>
        <v>566</v>
      </c>
      <c r="B570" s="18" t="s">
        <v>139</v>
      </c>
      <c r="C570" s="18" t="s">
        <v>1161</v>
      </c>
      <c r="D570" s="18"/>
      <c r="E570" s="18"/>
      <c r="F570" s="18"/>
      <c r="G570" s="18"/>
      <c r="H570" s="19" t="s">
        <v>1162</v>
      </c>
      <c r="I570" s="18" t="s">
        <v>161</v>
      </c>
      <c r="J570" s="20">
        <v>1</v>
      </c>
      <c r="K570" s="20">
        <v>1.1499999999999999</v>
      </c>
      <c r="L570" s="21" t="s">
        <v>28</v>
      </c>
      <c r="M570" s="22">
        <v>6.8004999999999995</v>
      </c>
      <c r="N570" s="22">
        <v>0.44999999999999996</v>
      </c>
      <c r="O570" s="22">
        <v>1017.1985435894751</v>
      </c>
      <c r="P570" s="22">
        <f t="shared" si="78"/>
        <v>7955.0775000322583</v>
      </c>
      <c r="Q570" s="22">
        <v>2777.0693256854333</v>
      </c>
      <c r="R570" s="22">
        <f t="shared" si="79"/>
        <v>1437.1333760422117</v>
      </c>
      <c r="S570" s="22">
        <f t="shared" si="80"/>
        <v>9392.2108760744704</v>
      </c>
      <c r="T570" s="23">
        <v>0.55859868298040061</v>
      </c>
      <c r="U570" s="24">
        <v>0.1</v>
      </c>
      <c r="V570" s="25">
        <f t="shared" si="83"/>
        <v>16102.556251896251</v>
      </c>
      <c r="W570" s="26" t="s">
        <v>29</v>
      </c>
    </row>
    <row r="571" spans="1:23" ht="89.25" x14ac:dyDescent="0.25">
      <c r="A571" s="17">
        <f t="shared" ca="1" si="81"/>
        <v>567</v>
      </c>
      <c r="B571" s="18" t="s">
        <v>139</v>
      </c>
      <c r="C571" s="18" t="s">
        <v>1163</v>
      </c>
      <c r="D571" s="18"/>
      <c r="E571" s="18"/>
      <c r="F571" s="18"/>
      <c r="G571" s="18"/>
      <c r="H571" s="19" t="s">
        <v>1164</v>
      </c>
      <c r="I571" s="18" t="s">
        <v>161</v>
      </c>
      <c r="J571" s="20">
        <v>1</v>
      </c>
      <c r="K571" s="20">
        <v>1.1499999999999999</v>
      </c>
      <c r="L571" s="21" t="s">
        <v>28</v>
      </c>
      <c r="M571" s="22">
        <v>3.1654</v>
      </c>
      <c r="N571" s="22">
        <v>4.4999999999999998E-2</v>
      </c>
      <c r="O571" s="22">
        <v>1017.1985435894751</v>
      </c>
      <c r="P571" s="22">
        <f t="shared" si="78"/>
        <v>3702.8163103598431</v>
      </c>
      <c r="Q571" s="22">
        <v>2777.0693256854333</v>
      </c>
      <c r="R571" s="22">
        <f t="shared" si="79"/>
        <v>143.71333760422115</v>
      </c>
      <c r="S571" s="22">
        <f t="shared" si="80"/>
        <v>3846.5296479640642</v>
      </c>
      <c r="T571" s="23">
        <v>0.55859868298040061</v>
      </c>
      <c r="U571" s="24">
        <v>0.1</v>
      </c>
      <c r="V571" s="25">
        <f t="shared" si="83"/>
        <v>6594.7156476980408</v>
      </c>
      <c r="W571" s="26" t="s">
        <v>29</v>
      </c>
    </row>
    <row r="572" spans="1:23" ht="89.25" x14ac:dyDescent="0.25">
      <c r="A572" s="17">
        <f t="shared" ca="1" si="81"/>
        <v>568</v>
      </c>
      <c r="B572" s="18" t="s">
        <v>139</v>
      </c>
      <c r="C572" s="18" t="s">
        <v>1165</v>
      </c>
      <c r="D572" s="18"/>
      <c r="E572" s="18"/>
      <c r="F572" s="18"/>
      <c r="G572" s="18"/>
      <c r="H572" s="19" t="s">
        <v>1166</v>
      </c>
      <c r="I572" s="18" t="s">
        <v>161</v>
      </c>
      <c r="J572" s="20">
        <v>1</v>
      </c>
      <c r="K572" s="20">
        <v>1.1499999999999999</v>
      </c>
      <c r="L572" s="21" t="s">
        <v>28</v>
      </c>
      <c r="M572" s="22">
        <v>3.4048000000000003</v>
      </c>
      <c r="N572" s="22">
        <v>4.4999999999999998E-2</v>
      </c>
      <c r="O572" s="22">
        <v>1017.1985435894751</v>
      </c>
      <c r="P572" s="22">
        <f t="shared" si="78"/>
        <v>3982.8612413954615</v>
      </c>
      <c r="Q572" s="22">
        <v>2777.0693256854333</v>
      </c>
      <c r="R572" s="22">
        <f t="shared" si="79"/>
        <v>143.71333760422115</v>
      </c>
      <c r="S572" s="22">
        <f t="shared" si="80"/>
        <v>4126.5745789996827</v>
      </c>
      <c r="T572" s="23">
        <v>0.55859868298040061</v>
      </c>
      <c r="U572" s="24">
        <v>0.1</v>
      </c>
      <c r="V572" s="25">
        <f t="shared" si="83"/>
        <v>7074.8410744542371</v>
      </c>
      <c r="W572" s="26" t="s">
        <v>29</v>
      </c>
    </row>
    <row r="573" spans="1:23" ht="89.25" x14ac:dyDescent="0.25">
      <c r="A573" s="17">
        <f t="shared" ca="1" si="81"/>
        <v>569</v>
      </c>
      <c r="B573" s="18" t="s">
        <v>139</v>
      </c>
      <c r="C573" s="18" t="s">
        <v>1167</v>
      </c>
      <c r="D573" s="18"/>
      <c r="E573" s="18"/>
      <c r="F573" s="18"/>
      <c r="G573" s="18"/>
      <c r="H573" s="19" t="s">
        <v>1168</v>
      </c>
      <c r="I573" s="18" t="s">
        <v>161</v>
      </c>
      <c r="J573" s="20">
        <v>1</v>
      </c>
      <c r="K573" s="20">
        <v>1.1499999999999999</v>
      </c>
      <c r="L573" s="21" t="s">
        <v>28</v>
      </c>
      <c r="M573" s="22">
        <v>3.9584999999999999</v>
      </c>
      <c r="N573" s="22">
        <v>0.18</v>
      </c>
      <c r="O573" s="22">
        <v>1017.1985435894751</v>
      </c>
      <c r="P573" s="22">
        <f t="shared" si="78"/>
        <v>4630.5675000187775</v>
      </c>
      <c r="Q573" s="22">
        <v>2777.0693256854333</v>
      </c>
      <c r="R573" s="22">
        <f t="shared" si="79"/>
        <v>574.85335041688461</v>
      </c>
      <c r="S573" s="22">
        <f t="shared" si="80"/>
        <v>5205.420850435662</v>
      </c>
      <c r="T573" s="23">
        <v>0.55859868298040061</v>
      </c>
      <c r="U573" s="24">
        <v>0.1</v>
      </c>
      <c r="V573" s="25">
        <f t="shared" si="83"/>
        <v>8924.4782900325154</v>
      </c>
      <c r="W573" s="26" t="s">
        <v>29</v>
      </c>
    </row>
    <row r="574" spans="1:23" ht="89.25" x14ac:dyDescent="0.25">
      <c r="A574" s="17">
        <f t="shared" ca="1" si="81"/>
        <v>570</v>
      </c>
      <c r="B574" s="18" t="s">
        <v>139</v>
      </c>
      <c r="C574" s="18" t="s">
        <v>1169</v>
      </c>
      <c r="D574" s="18"/>
      <c r="E574" s="18"/>
      <c r="F574" s="18"/>
      <c r="G574" s="18"/>
      <c r="H574" s="19" t="s">
        <v>1170</v>
      </c>
      <c r="I574" s="18" t="s">
        <v>161</v>
      </c>
      <c r="J574" s="20">
        <v>1</v>
      </c>
      <c r="K574" s="20">
        <v>1.1499999999999999</v>
      </c>
      <c r="L574" s="21" t="s">
        <v>28</v>
      </c>
      <c r="M574" s="22">
        <v>4.1978999999999997</v>
      </c>
      <c r="N574" s="22">
        <v>0.18</v>
      </c>
      <c r="O574" s="22">
        <v>1017.1985435894751</v>
      </c>
      <c r="P574" s="22">
        <f t="shared" si="78"/>
        <v>4910.6124310543955</v>
      </c>
      <c r="Q574" s="22">
        <v>2777.0693256854333</v>
      </c>
      <c r="R574" s="22">
        <f t="shared" si="79"/>
        <v>574.85335041688461</v>
      </c>
      <c r="S574" s="22">
        <f t="shared" si="80"/>
        <v>5485.46578147128</v>
      </c>
      <c r="T574" s="23">
        <v>0.55859868298040061</v>
      </c>
      <c r="U574" s="24">
        <v>0.1</v>
      </c>
      <c r="V574" s="25">
        <f t="shared" si="83"/>
        <v>9404.6037167887116</v>
      </c>
      <c r="W574" s="26" t="s">
        <v>29</v>
      </c>
    </row>
    <row r="575" spans="1:23" ht="89.25" x14ac:dyDescent="0.25">
      <c r="A575" s="17">
        <f t="shared" ca="1" si="81"/>
        <v>571</v>
      </c>
      <c r="B575" s="18" t="s">
        <v>139</v>
      </c>
      <c r="C575" s="18" t="s">
        <v>1171</v>
      </c>
      <c r="D575" s="18"/>
      <c r="E575" s="18"/>
      <c r="F575" s="18"/>
      <c r="G575" s="18"/>
      <c r="H575" s="19" t="s">
        <v>1172</v>
      </c>
      <c r="I575" s="18" t="s">
        <v>161</v>
      </c>
      <c r="J575" s="20">
        <v>1</v>
      </c>
      <c r="K575" s="20">
        <v>1.1499999999999999</v>
      </c>
      <c r="L575" s="21" t="s">
        <v>28</v>
      </c>
      <c r="M575" s="22">
        <v>5.0847999999999995</v>
      </c>
      <c r="N575" s="22">
        <v>0.18</v>
      </c>
      <c r="O575" s="22">
        <v>1017.1985435894751</v>
      </c>
      <c r="P575" s="22">
        <f t="shared" ref="P575:P638" si="84">O575*M575*K575</f>
        <v>5948.088827610326</v>
      </c>
      <c r="Q575" s="22">
        <v>2777.0693256854333</v>
      </c>
      <c r="R575" s="22">
        <f t="shared" ref="R575:R638" si="85">N575*Q575*K575</f>
        <v>574.85335041688461</v>
      </c>
      <c r="S575" s="22">
        <f t="shared" ref="S575:S638" si="86">P575+R575</f>
        <v>6522.9421780272105</v>
      </c>
      <c r="T575" s="23">
        <v>0.55859868298040061</v>
      </c>
      <c r="U575" s="24">
        <v>0.1</v>
      </c>
      <c r="V575" s="25">
        <f t="shared" si="83"/>
        <v>11183.313996613568</v>
      </c>
      <c r="W575" s="26" t="s">
        <v>29</v>
      </c>
    </row>
    <row r="576" spans="1:23" ht="89.25" x14ac:dyDescent="0.25">
      <c r="A576" s="17">
        <f t="shared" ca="1" si="81"/>
        <v>572</v>
      </c>
      <c r="B576" s="18" t="s">
        <v>139</v>
      </c>
      <c r="C576" s="18" t="s">
        <v>1173</v>
      </c>
      <c r="D576" s="18"/>
      <c r="E576" s="18"/>
      <c r="F576" s="18"/>
      <c r="G576" s="18"/>
      <c r="H576" s="19" t="s">
        <v>1174</v>
      </c>
      <c r="I576" s="18" t="s">
        <v>161</v>
      </c>
      <c r="J576" s="20">
        <v>1</v>
      </c>
      <c r="K576" s="20">
        <v>1.1499999999999999</v>
      </c>
      <c r="L576" s="21" t="s">
        <v>28</v>
      </c>
      <c r="M576" s="22">
        <v>5.3241999999999994</v>
      </c>
      <c r="N576" s="22">
        <v>0.18</v>
      </c>
      <c r="O576" s="22">
        <v>1017.1985435894751</v>
      </c>
      <c r="P576" s="22">
        <f t="shared" si="84"/>
        <v>6228.1337586459449</v>
      </c>
      <c r="Q576" s="22">
        <v>2777.0693256854333</v>
      </c>
      <c r="R576" s="22">
        <f t="shared" si="85"/>
        <v>574.85335041688461</v>
      </c>
      <c r="S576" s="22">
        <f t="shared" si="86"/>
        <v>6802.9871090628294</v>
      </c>
      <c r="T576" s="23">
        <v>0.55859868298040061</v>
      </c>
      <c r="U576" s="24">
        <v>0.1</v>
      </c>
      <c r="V576" s="25">
        <f t="shared" si="83"/>
        <v>11663.439423369766</v>
      </c>
      <c r="W576" s="26" t="s">
        <v>29</v>
      </c>
    </row>
    <row r="577" spans="1:23" ht="89.25" x14ac:dyDescent="0.25">
      <c r="A577" s="17">
        <f t="shared" ca="1" si="81"/>
        <v>573</v>
      </c>
      <c r="B577" s="18" t="s">
        <v>139</v>
      </c>
      <c r="C577" s="18" t="s">
        <v>1175</v>
      </c>
      <c r="D577" s="18"/>
      <c r="E577" s="18"/>
      <c r="F577" s="18"/>
      <c r="G577" s="18"/>
      <c r="H577" s="19" t="s">
        <v>1176</v>
      </c>
      <c r="I577" s="18" t="s">
        <v>161</v>
      </c>
      <c r="J577" s="20">
        <v>1</v>
      </c>
      <c r="K577" s="20">
        <v>1.1499999999999999</v>
      </c>
      <c r="L577" s="21" t="s">
        <v>28</v>
      </c>
      <c r="M577" s="22">
        <v>5.5636000000000001</v>
      </c>
      <c r="N577" s="22">
        <v>0.18</v>
      </c>
      <c r="O577" s="22">
        <v>1017.1985435894751</v>
      </c>
      <c r="P577" s="22">
        <f t="shared" si="84"/>
        <v>6508.1786896815638</v>
      </c>
      <c r="Q577" s="22">
        <v>2777.0693256854333</v>
      </c>
      <c r="R577" s="22">
        <f t="shared" si="85"/>
        <v>574.85335041688461</v>
      </c>
      <c r="S577" s="22">
        <f t="shared" si="86"/>
        <v>7083.0320400984483</v>
      </c>
      <c r="T577" s="23">
        <v>0.55859868298040061</v>
      </c>
      <c r="U577" s="24">
        <v>0.1</v>
      </c>
      <c r="V577" s="25">
        <f t="shared" si="83"/>
        <v>12143.564850125964</v>
      </c>
      <c r="W577" s="26" t="s">
        <v>29</v>
      </c>
    </row>
    <row r="578" spans="1:23" ht="89.25" x14ac:dyDescent="0.25">
      <c r="A578" s="17">
        <f t="shared" ca="1" si="81"/>
        <v>574</v>
      </c>
      <c r="B578" s="18" t="s">
        <v>139</v>
      </c>
      <c r="C578" s="18" t="s">
        <v>1177</v>
      </c>
      <c r="D578" s="18"/>
      <c r="E578" s="18"/>
      <c r="F578" s="18"/>
      <c r="G578" s="18"/>
      <c r="H578" s="19" t="s">
        <v>1178</v>
      </c>
      <c r="I578" s="18" t="s">
        <v>161</v>
      </c>
      <c r="J578" s="20">
        <v>1</v>
      </c>
      <c r="K578" s="20">
        <v>1.1499999999999999</v>
      </c>
      <c r="L578" s="21" t="s">
        <v>28</v>
      </c>
      <c r="M578" s="22">
        <v>6.4329999999999989</v>
      </c>
      <c r="N578" s="22">
        <v>0.44999999999999996</v>
      </c>
      <c r="O578" s="22">
        <v>1017.1985435894751</v>
      </c>
      <c r="P578" s="22">
        <f t="shared" si="84"/>
        <v>7525.1839655477552</v>
      </c>
      <c r="Q578" s="22">
        <v>2777.0693256854333</v>
      </c>
      <c r="R578" s="22">
        <f t="shared" si="85"/>
        <v>1437.1333760422117</v>
      </c>
      <c r="S578" s="22">
        <f t="shared" si="86"/>
        <v>8962.3173415899673</v>
      </c>
      <c r="T578" s="23">
        <v>0.55859868298040061</v>
      </c>
      <c r="U578" s="24">
        <v>0.1</v>
      </c>
      <c r="V578" s="25">
        <f t="shared" si="83"/>
        <v>15365.521605559981</v>
      </c>
      <c r="W578" s="26" t="s">
        <v>29</v>
      </c>
    </row>
    <row r="579" spans="1:23" ht="89.25" x14ac:dyDescent="0.25">
      <c r="A579" s="17">
        <f t="shared" ref="A579:A642" ca="1" si="87">CELL("строка",A579)-4</f>
        <v>575</v>
      </c>
      <c r="B579" s="18" t="s">
        <v>139</v>
      </c>
      <c r="C579" s="18" t="s">
        <v>1179</v>
      </c>
      <c r="D579" s="18"/>
      <c r="E579" s="18"/>
      <c r="F579" s="18"/>
      <c r="G579" s="18"/>
      <c r="H579" s="19" t="s">
        <v>1180</v>
      </c>
      <c r="I579" s="18" t="s">
        <v>161</v>
      </c>
      <c r="J579" s="20">
        <v>1</v>
      </c>
      <c r="K579" s="20">
        <v>1.1499999999999999</v>
      </c>
      <c r="L579" s="21" t="s">
        <v>28</v>
      </c>
      <c r="M579" s="22">
        <v>7.3198999999999996</v>
      </c>
      <c r="N579" s="22">
        <v>0.44999999999999996</v>
      </c>
      <c r="O579" s="22">
        <v>1017.1985435894751</v>
      </c>
      <c r="P579" s="22">
        <f t="shared" si="84"/>
        <v>8562.6603621036884</v>
      </c>
      <c r="Q579" s="22">
        <v>2777.0693256854333</v>
      </c>
      <c r="R579" s="22">
        <f t="shared" si="85"/>
        <v>1437.1333760422117</v>
      </c>
      <c r="S579" s="22">
        <f t="shared" si="86"/>
        <v>9999.7937381458996</v>
      </c>
      <c r="T579" s="23">
        <v>0.55859868298040061</v>
      </c>
      <c r="U579" s="24">
        <v>0.1</v>
      </c>
      <c r="V579" s="25">
        <f t="shared" si="83"/>
        <v>17144.231885384841</v>
      </c>
      <c r="W579" s="26" t="s">
        <v>29</v>
      </c>
    </row>
    <row r="580" spans="1:23" ht="89.25" x14ac:dyDescent="0.25">
      <c r="A580" s="17">
        <f t="shared" ca="1" si="87"/>
        <v>576</v>
      </c>
      <c r="B580" s="18" t="s">
        <v>139</v>
      </c>
      <c r="C580" s="18" t="s">
        <v>1181</v>
      </c>
      <c r="D580" s="18"/>
      <c r="E580" s="18"/>
      <c r="F580" s="18"/>
      <c r="G580" s="18"/>
      <c r="H580" s="19" t="s">
        <v>1182</v>
      </c>
      <c r="I580" s="18" t="s">
        <v>161</v>
      </c>
      <c r="J580" s="20">
        <v>1</v>
      </c>
      <c r="K580" s="20">
        <v>1.1499999999999999</v>
      </c>
      <c r="L580" s="21" t="s">
        <v>28</v>
      </c>
      <c r="M580" s="22">
        <v>7.5592999999999995</v>
      </c>
      <c r="N580" s="22">
        <v>0.44999999999999996</v>
      </c>
      <c r="O580" s="22">
        <v>1017.1985435894751</v>
      </c>
      <c r="P580" s="22">
        <f t="shared" si="84"/>
        <v>8842.7052931393046</v>
      </c>
      <c r="Q580" s="22">
        <v>2777.0693256854333</v>
      </c>
      <c r="R580" s="22">
        <f t="shared" si="85"/>
        <v>1437.1333760422117</v>
      </c>
      <c r="S580" s="22">
        <f t="shared" si="86"/>
        <v>10279.838669181516</v>
      </c>
      <c r="T580" s="23">
        <v>0.55859868298040061</v>
      </c>
      <c r="U580" s="24">
        <v>0.1</v>
      </c>
      <c r="V580" s="25">
        <f t="shared" si="83"/>
        <v>17624.357312141034</v>
      </c>
      <c r="W580" s="26" t="s">
        <v>29</v>
      </c>
    </row>
    <row r="581" spans="1:23" ht="89.25" x14ac:dyDescent="0.25">
      <c r="A581" s="17">
        <f t="shared" ca="1" si="87"/>
        <v>577</v>
      </c>
      <c r="B581" s="18" t="s">
        <v>139</v>
      </c>
      <c r="C581" s="18" t="s">
        <v>1183</v>
      </c>
      <c r="D581" s="18"/>
      <c r="E581" s="18"/>
      <c r="F581" s="18"/>
      <c r="G581" s="18"/>
      <c r="H581" s="19" t="s">
        <v>1184</v>
      </c>
      <c r="I581" s="18" t="s">
        <v>161</v>
      </c>
      <c r="J581" s="20">
        <v>1</v>
      </c>
      <c r="K581" s="20">
        <v>1.1499999999999999</v>
      </c>
      <c r="L581" s="21" t="s">
        <v>28</v>
      </c>
      <c r="M581" s="22">
        <v>7.7986999999999993</v>
      </c>
      <c r="N581" s="22">
        <v>0.44999999999999996</v>
      </c>
      <c r="O581" s="22">
        <v>1017.1985435894751</v>
      </c>
      <c r="P581" s="22">
        <f t="shared" si="84"/>
        <v>9122.7502241749244</v>
      </c>
      <c r="Q581" s="22">
        <v>2777.0693256854333</v>
      </c>
      <c r="R581" s="22">
        <f t="shared" si="85"/>
        <v>1437.1333760422117</v>
      </c>
      <c r="S581" s="22">
        <f t="shared" si="86"/>
        <v>10559.883600217136</v>
      </c>
      <c r="T581" s="23">
        <v>0.55859868298040061</v>
      </c>
      <c r="U581" s="24">
        <v>0.1</v>
      </c>
      <c r="V581" s="25">
        <f t="shared" si="83"/>
        <v>18104.482738897234</v>
      </c>
      <c r="W581" s="26" t="s">
        <v>29</v>
      </c>
    </row>
    <row r="582" spans="1:23" ht="89.25" x14ac:dyDescent="0.25">
      <c r="A582" s="17">
        <f t="shared" ca="1" si="87"/>
        <v>578</v>
      </c>
      <c r="B582" s="18" t="s">
        <v>139</v>
      </c>
      <c r="C582" s="18" t="s">
        <v>1185</v>
      </c>
      <c r="D582" s="18"/>
      <c r="E582" s="18"/>
      <c r="F582" s="18"/>
      <c r="G582" s="18"/>
      <c r="H582" s="19" t="s">
        <v>1186</v>
      </c>
      <c r="I582" s="18" t="s">
        <v>161</v>
      </c>
      <c r="J582" s="20">
        <v>1</v>
      </c>
      <c r="K582" s="20">
        <v>1.1499999999999999</v>
      </c>
      <c r="L582" s="21" t="s">
        <v>28</v>
      </c>
      <c r="M582" s="22">
        <v>3.5651000000000002</v>
      </c>
      <c r="N582" s="22">
        <v>4.4999999999999998E-2</v>
      </c>
      <c r="O582" s="22">
        <v>1017.1985435894751</v>
      </c>
      <c r="P582" s="22">
        <f t="shared" si="84"/>
        <v>4170.3767069134628</v>
      </c>
      <c r="Q582" s="22">
        <v>2777.0693256854333</v>
      </c>
      <c r="R582" s="22">
        <f t="shared" si="85"/>
        <v>143.71333760422115</v>
      </c>
      <c r="S582" s="22">
        <f t="shared" si="86"/>
        <v>4314.090044517684</v>
      </c>
      <c r="T582" s="23">
        <v>0.55859868298040061</v>
      </c>
      <c r="U582" s="24">
        <v>0.1</v>
      </c>
      <c r="V582" s="25">
        <f t="shared" si="83"/>
        <v>7396.3285678085331</v>
      </c>
      <c r="W582" s="26" t="s">
        <v>29</v>
      </c>
    </row>
    <row r="583" spans="1:23" ht="89.25" x14ac:dyDescent="0.25">
      <c r="A583" s="17">
        <f t="shared" ca="1" si="87"/>
        <v>579</v>
      </c>
      <c r="B583" s="18" t="s">
        <v>139</v>
      </c>
      <c r="C583" s="18" t="s">
        <v>1187</v>
      </c>
      <c r="D583" s="18"/>
      <c r="E583" s="18"/>
      <c r="F583" s="18"/>
      <c r="G583" s="18"/>
      <c r="H583" s="19" t="s">
        <v>1188</v>
      </c>
      <c r="I583" s="18" t="s">
        <v>161</v>
      </c>
      <c r="J583" s="20">
        <v>1</v>
      </c>
      <c r="K583" s="20">
        <v>1.1499999999999999</v>
      </c>
      <c r="L583" s="21" t="s">
        <v>28</v>
      </c>
      <c r="M583" s="22">
        <v>3.8639999999999999</v>
      </c>
      <c r="N583" s="22">
        <v>4.4999999999999998E-2</v>
      </c>
      <c r="O583" s="22">
        <v>1017.1985435894751</v>
      </c>
      <c r="P583" s="22">
        <f t="shared" si="84"/>
        <v>4520.0234482941914</v>
      </c>
      <c r="Q583" s="22">
        <v>2777.0693256854333</v>
      </c>
      <c r="R583" s="22">
        <f t="shared" si="85"/>
        <v>143.71333760422115</v>
      </c>
      <c r="S583" s="22">
        <f t="shared" si="86"/>
        <v>4663.7367858984126</v>
      </c>
      <c r="T583" s="23">
        <v>0.55859868298040061</v>
      </c>
      <c r="U583" s="24">
        <v>0.1</v>
      </c>
      <c r="V583" s="25">
        <f t="shared" si="83"/>
        <v>7995.7834134953637</v>
      </c>
      <c r="W583" s="26" t="s">
        <v>29</v>
      </c>
    </row>
    <row r="584" spans="1:23" ht="89.25" x14ac:dyDescent="0.25">
      <c r="A584" s="17">
        <f t="shared" ca="1" si="87"/>
        <v>580</v>
      </c>
      <c r="B584" s="18" t="s">
        <v>139</v>
      </c>
      <c r="C584" s="18" t="s">
        <v>1189</v>
      </c>
      <c r="D584" s="18"/>
      <c r="E584" s="18"/>
      <c r="F584" s="18"/>
      <c r="G584" s="18"/>
      <c r="H584" s="19" t="s">
        <v>1190</v>
      </c>
      <c r="I584" s="18" t="s">
        <v>161</v>
      </c>
      <c r="J584" s="20">
        <v>1</v>
      </c>
      <c r="K584" s="20">
        <v>1.1499999999999999</v>
      </c>
      <c r="L584" s="21" t="s">
        <v>28</v>
      </c>
      <c r="M584" s="22">
        <v>4.4779</v>
      </c>
      <c r="N584" s="22">
        <v>0.18</v>
      </c>
      <c r="O584" s="22">
        <v>1017.1985435894751</v>
      </c>
      <c r="P584" s="22">
        <f t="shared" si="84"/>
        <v>5238.1503620902067</v>
      </c>
      <c r="Q584" s="22">
        <v>2777.0693256854333</v>
      </c>
      <c r="R584" s="22">
        <f t="shared" si="85"/>
        <v>574.85335041688461</v>
      </c>
      <c r="S584" s="22">
        <f t="shared" si="86"/>
        <v>5813.0037125070912</v>
      </c>
      <c r="T584" s="23">
        <v>0.55859868298040061</v>
      </c>
      <c r="U584" s="24">
        <v>0.1</v>
      </c>
      <c r="V584" s="25">
        <f t="shared" si="83"/>
        <v>9966.1539235211039</v>
      </c>
      <c r="W584" s="26" t="s">
        <v>29</v>
      </c>
    </row>
    <row r="585" spans="1:23" ht="89.25" x14ac:dyDescent="0.25">
      <c r="A585" s="17">
        <f t="shared" ca="1" si="87"/>
        <v>581</v>
      </c>
      <c r="B585" s="18" t="s">
        <v>139</v>
      </c>
      <c r="C585" s="18" t="s">
        <v>1191</v>
      </c>
      <c r="D585" s="18"/>
      <c r="E585" s="18"/>
      <c r="F585" s="18"/>
      <c r="G585" s="18"/>
      <c r="H585" s="19" t="s">
        <v>1192</v>
      </c>
      <c r="I585" s="18" t="s">
        <v>161</v>
      </c>
      <c r="J585" s="20">
        <v>1</v>
      </c>
      <c r="K585" s="20">
        <v>1.1499999999999999</v>
      </c>
      <c r="L585" s="21" t="s">
        <v>28</v>
      </c>
      <c r="M585" s="22">
        <v>5.4249999999999998</v>
      </c>
      <c r="N585" s="22">
        <v>0.18</v>
      </c>
      <c r="O585" s="22">
        <v>1017.1985435894751</v>
      </c>
      <c r="P585" s="22">
        <f t="shared" si="84"/>
        <v>6346.0474138188365</v>
      </c>
      <c r="Q585" s="22">
        <v>2777.0693256854333</v>
      </c>
      <c r="R585" s="22">
        <f t="shared" si="85"/>
        <v>574.85335041688461</v>
      </c>
      <c r="S585" s="22">
        <f t="shared" si="86"/>
        <v>6920.900764235721</v>
      </c>
      <c r="T585" s="23">
        <v>0.55859868298040061</v>
      </c>
      <c r="U585" s="24">
        <v>0.1</v>
      </c>
      <c r="V585" s="25">
        <f t="shared" si="83"/>
        <v>11865.597497793427</v>
      </c>
      <c r="W585" s="26" t="s">
        <v>29</v>
      </c>
    </row>
    <row r="586" spans="1:23" ht="89.25" x14ac:dyDescent="0.25">
      <c r="A586" s="17">
        <f t="shared" ca="1" si="87"/>
        <v>582</v>
      </c>
      <c r="B586" s="18" t="s">
        <v>139</v>
      </c>
      <c r="C586" s="18" t="s">
        <v>1193</v>
      </c>
      <c r="D586" s="18"/>
      <c r="E586" s="18"/>
      <c r="F586" s="18"/>
      <c r="G586" s="18"/>
      <c r="H586" s="19" t="s">
        <v>1194</v>
      </c>
      <c r="I586" s="18" t="s">
        <v>161</v>
      </c>
      <c r="J586" s="20">
        <v>1</v>
      </c>
      <c r="K586" s="20">
        <v>1.1499999999999999</v>
      </c>
      <c r="L586" s="21" t="s">
        <v>28</v>
      </c>
      <c r="M586" s="22">
        <v>5.7238999999999995</v>
      </c>
      <c r="N586" s="22">
        <v>0.18</v>
      </c>
      <c r="O586" s="22">
        <v>1017.1985435894751</v>
      </c>
      <c r="P586" s="22">
        <f t="shared" si="84"/>
        <v>6695.6941551995651</v>
      </c>
      <c r="Q586" s="22">
        <v>2777.0693256854333</v>
      </c>
      <c r="R586" s="22">
        <f t="shared" si="85"/>
        <v>574.85335041688461</v>
      </c>
      <c r="S586" s="22">
        <f t="shared" si="86"/>
        <v>7270.5475056164496</v>
      </c>
      <c r="T586" s="23">
        <v>0.55859868298040061</v>
      </c>
      <c r="U586" s="24">
        <v>0.1</v>
      </c>
      <c r="V586" s="25">
        <f t="shared" si="83"/>
        <v>12465.052343480258</v>
      </c>
      <c r="W586" s="26" t="s">
        <v>29</v>
      </c>
    </row>
    <row r="587" spans="1:23" ht="89.25" x14ac:dyDescent="0.25">
      <c r="A587" s="17">
        <f t="shared" ca="1" si="87"/>
        <v>583</v>
      </c>
      <c r="B587" s="18" t="s">
        <v>139</v>
      </c>
      <c r="C587" s="18" t="s">
        <v>1195</v>
      </c>
      <c r="D587" s="18"/>
      <c r="E587" s="18"/>
      <c r="F587" s="18"/>
      <c r="G587" s="18"/>
      <c r="H587" s="19" t="s">
        <v>1196</v>
      </c>
      <c r="I587" s="18" t="s">
        <v>161</v>
      </c>
      <c r="J587" s="20">
        <v>1</v>
      </c>
      <c r="K587" s="20">
        <v>1.1499999999999999</v>
      </c>
      <c r="L587" s="21" t="s">
        <v>28</v>
      </c>
      <c r="M587" s="22">
        <v>6.0234999999999985</v>
      </c>
      <c r="N587" s="22">
        <v>0.18</v>
      </c>
      <c r="O587" s="22">
        <v>1017.1985435894751</v>
      </c>
      <c r="P587" s="22">
        <f t="shared" si="84"/>
        <v>7046.1597414078815</v>
      </c>
      <c r="Q587" s="22">
        <v>2777.0693256854333</v>
      </c>
      <c r="R587" s="22">
        <f t="shared" si="85"/>
        <v>574.85335041688461</v>
      </c>
      <c r="S587" s="22">
        <f t="shared" si="86"/>
        <v>7621.013091824766</v>
      </c>
      <c r="T587" s="23">
        <v>0.55859868298040061</v>
      </c>
      <c r="U587" s="24">
        <v>0.1</v>
      </c>
      <c r="V587" s="25">
        <f t="shared" si="83"/>
        <v>13065.91106468392</v>
      </c>
      <c r="W587" s="26" t="s">
        <v>29</v>
      </c>
    </row>
    <row r="588" spans="1:23" ht="89.25" x14ac:dyDescent="0.25">
      <c r="A588" s="17">
        <f t="shared" ca="1" si="87"/>
        <v>584</v>
      </c>
      <c r="B588" s="18" t="s">
        <v>139</v>
      </c>
      <c r="C588" s="18" t="s">
        <v>1197</v>
      </c>
      <c r="D588" s="18"/>
      <c r="E588" s="18"/>
      <c r="F588" s="18"/>
      <c r="G588" s="18"/>
      <c r="H588" s="19" t="s">
        <v>1198</v>
      </c>
      <c r="I588" s="18" t="s">
        <v>161</v>
      </c>
      <c r="J588" s="20">
        <v>1</v>
      </c>
      <c r="K588" s="20">
        <v>1.1499999999999999</v>
      </c>
      <c r="L588" s="21" t="s">
        <v>28</v>
      </c>
      <c r="M588" s="22">
        <v>6.3224</v>
      </c>
      <c r="N588" s="22">
        <v>0.18</v>
      </c>
      <c r="O588" s="22">
        <v>1017.1985435894751</v>
      </c>
      <c r="P588" s="22">
        <f t="shared" si="84"/>
        <v>7395.8064827886119</v>
      </c>
      <c r="Q588" s="22">
        <v>2777.0693256854333</v>
      </c>
      <c r="R588" s="22">
        <f t="shared" si="85"/>
        <v>574.85335041688461</v>
      </c>
      <c r="S588" s="22">
        <f t="shared" si="86"/>
        <v>7970.6598332054964</v>
      </c>
      <c r="T588" s="23">
        <v>0.55859868298040061</v>
      </c>
      <c r="U588" s="24">
        <v>0.1</v>
      </c>
      <c r="V588" s="25">
        <f t="shared" si="83"/>
        <v>13665.365910370752</v>
      </c>
      <c r="W588" s="26" t="s">
        <v>29</v>
      </c>
    </row>
    <row r="589" spans="1:23" ht="89.25" x14ac:dyDescent="0.25">
      <c r="A589" s="17">
        <f t="shared" ca="1" si="87"/>
        <v>585</v>
      </c>
      <c r="B589" s="18" t="s">
        <v>139</v>
      </c>
      <c r="C589" s="18" t="s">
        <v>1199</v>
      </c>
      <c r="D589" s="18"/>
      <c r="E589" s="18"/>
      <c r="F589" s="18"/>
      <c r="G589" s="18"/>
      <c r="H589" s="19" t="s">
        <v>1200</v>
      </c>
      <c r="I589" s="18" t="s">
        <v>161</v>
      </c>
      <c r="J589" s="20">
        <v>1</v>
      </c>
      <c r="K589" s="20">
        <v>1.1499999999999999</v>
      </c>
      <c r="L589" s="21" t="s">
        <v>28</v>
      </c>
      <c r="M589" s="22">
        <v>7.8994999999999997</v>
      </c>
      <c r="N589" s="22">
        <v>0.44999999999999996</v>
      </c>
      <c r="O589" s="22">
        <v>1017.1985435894751</v>
      </c>
      <c r="P589" s="22">
        <f t="shared" si="84"/>
        <v>9240.663879347816</v>
      </c>
      <c r="Q589" s="22">
        <v>2777.0693256854333</v>
      </c>
      <c r="R589" s="22">
        <f t="shared" si="85"/>
        <v>1437.1333760422117</v>
      </c>
      <c r="S589" s="22">
        <f t="shared" si="86"/>
        <v>10677.797255390027</v>
      </c>
      <c r="T589" s="23">
        <v>0.55859868298040061</v>
      </c>
      <c r="U589" s="24">
        <v>0.1</v>
      </c>
      <c r="V589" s="25">
        <f t="shared" si="83"/>
        <v>18306.640813320897</v>
      </c>
      <c r="W589" s="26" t="s">
        <v>29</v>
      </c>
    </row>
    <row r="590" spans="1:23" ht="89.25" x14ac:dyDescent="0.25">
      <c r="A590" s="17">
        <f t="shared" ca="1" si="87"/>
        <v>586</v>
      </c>
      <c r="B590" s="18" t="s">
        <v>139</v>
      </c>
      <c r="C590" s="18" t="s">
        <v>1201</v>
      </c>
      <c r="D590" s="18"/>
      <c r="E590" s="18"/>
      <c r="F590" s="18"/>
      <c r="G590" s="18"/>
      <c r="H590" s="19" t="s">
        <v>1202</v>
      </c>
      <c r="I590" s="18" t="s">
        <v>161</v>
      </c>
      <c r="J590" s="20">
        <v>1</v>
      </c>
      <c r="K590" s="20">
        <v>1.1499999999999999</v>
      </c>
      <c r="L590" s="21" t="s">
        <v>28</v>
      </c>
      <c r="M590" s="22">
        <v>8.1983999999999995</v>
      </c>
      <c r="N590" s="22">
        <v>0.44999999999999996</v>
      </c>
      <c r="O590" s="22">
        <v>1017.1985435894751</v>
      </c>
      <c r="P590" s="22">
        <f t="shared" si="84"/>
        <v>9590.3106207285437</v>
      </c>
      <c r="Q590" s="22">
        <v>2777.0693256854333</v>
      </c>
      <c r="R590" s="22">
        <f t="shared" si="85"/>
        <v>1437.1333760422117</v>
      </c>
      <c r="S590" s="22">
        <f t="shared" si="86"/>
        <v>11027.443996770755</v>
      </c>
      <c r="T590" s="23">
        <v>0.55859868298040061</v>
      </c>
      <c r="U590" s="24">
        <v>0.1</v>
      </c>
      <c r="V590" s="25">
        <f t="shared" si="83"/>
        <v>18906.095659007726</v>
      </c>
      <c r="W590" s="26" t="s">
        <v>29</v>
      </c>
    </row>
    <row r="591" spans="1:23" ht="89.25" x14ac:dyDescent="0.25">
      <c r="A591" s="17">
        <f t="shared" ca="1" si="87"/>
        <v>587</v>
      </c>
      <c r="B591" s="18" t="s">
        <v>139</v>
      </c>
      <c r="C591" s="18" t="s">
        <v>1203</v>
      </c>
      <c r="D591" s="18"/>
      <c r="E591" s="18"/>
      <c r="F591" s="18"/>
      <c r="G591" s="18"/>
      <c r="H591" s="19" t="s">
        <v>1204</v>
      </c>
      <c r="I591" s="18" t="s">
        <v>161</v>
      </c>
      <c r="J591" s="20">
        <v>1</v>
      </c>
      <c r="K591" s="20">
        <v>1.1499999999999999</v>
      </c>
      <c r="L591" s="21" t="s">
        <v>28</v>
      </c>
      <c r="M591" s="22">
        <v>8.4972999999999992</v>
      </c>
      <c r="N591" s="22">
        <v>0.44999999999999996</v>
      </c>
      <c r="O591" s="22">
        <v>1017.1985435894751</v>
      </c>
      <c r="P591" s="22">
        <f t="shared" si="84"/>
        <v>9939.9573621092713</v>
      </c>
      <c r="Q591" s="22">
        <v>2777.0693256854333</v>
      </c>
      <c r="R591" s="22">
        <f t="shared" si="85"/>
        <v>1437.1333760422117</v>
      </c>
      <c r="S591" s="22">
        <f t="shared" si="86"/>
        <v>11377.090738151483</v>
      </c>
      <c r="T591" s="23">
        <v>0.55859868298040061</v>
      </c>
      <c r="U591" s="24">
        <v>0.1</v>
      </c>
      <c r="V591" s="25">
        <f t="shared" si="83"/>
        <v>19505.550504694555</v>
      </c>
      <c r="W591" s="26" t="s">
        <v>29</v>
      </c>
    </row>
    <row r="592" spans="1:23" ht="89.25" x14ac:dyDescent="0.25">
      <c r="A592" s="17">
        <f t="shared" ca="1" si="87"/>
        <v>588</v>
      </c>
      <c r="B592" s="18" t="s">
        <v>139</v>
      </c>
      <c r="C592" s="18" t="s">
        <v>1205</v>
      </c>
      <c r="D592" s="18"/>
      <c r="E592" s="18"/>
      <c r="F592" s="18"/>
      <c r="G592" s="18"/>
      <c r="H592" s="19" t="s">
        <v>1206</v>
      </c>
      <c r="I592" s="18" t="s">
        <v>161</v>
      </c>
      <c r="J592" s="20">
        <v>1</v>
      </c>
      <c r="K592" s="20">
        <v>1.1499999999999999</v>
      </c>
      <c r="L592" s="21" t="s">
        <v>28</v>
      </c>
      <c r="M592" s="22">
        <v>9.4443999999999999</v>
      </c>
      <c r="N592" s="22">
        <v>0.44999999999999996</v>
      </c>
      <c r="O592" s="22">
        <v>1017.1985435894751</v>
      </c>
      <c r="P592" s="22">
        <f t="shared" si="84"/>
        <v>11047.854413837902</v>
      </c>
      <c r="Q592" s="22">
        <v>2777.0693256854333</v>
      </c>
      <c r="R592" s="22">
        <f t="shared" si="85"/>
        <v>1437.1333760422117</v>
      </c>
      <c r="S592" s="22">
        <f t="shared" si="86"/>
        <v>12484.987789880113</v>
      </c>
      <c r="T592" s="23">
        <v>0.55859868298040061</v>
      </c>
      <c r="U592" s="24">
        <v>0.1</v>
      </c>
      <c r="V592" s="25">
        <f t="shared" si="83"/>
        <v>21404.994078966876</v>
      </c>
      <c r="W592" s="26" t="s">
        <v>29</v>
      </c>
    </row>
    <row r="593" spans="1:23" ht="89.25" x14ac:dyDescent="0.25">
      <c r="A593" s="17">
        <f t="shared" ca="1" si="87"/>
        <v>589</v>
      </c>
      <c r="B593" s="18" t="s">
        <v>139</v>
      </c>
      <c r="C593" s="18" t="s">
        <v>1207</v>
      </c>
      <c r="D593" s="18"/>
      <c r="E593" s="18"/>
      <c r="F593" s="18"/>
      <c r="G593" s="18"/>
      <c r="H593" s="19" t="s">
        <v>1208</v>
      </c>
      <c r="I593" s="18" t="s">
        <v>161</v>
      </c>
      <c r="J593" s="20">
        <v>1</v>
      </c>
      <c r="K593" s="20">
        <v>1.1499999999999999</v>
      </c>
      <c r="L593" s="21" t="s">
        <v>28</v>
      </c>
      <c r="M593" s="22">
        <v>1.0737999999999999</v>
      </c>
      <c r="N593" s="22">
        <v>4.4999999999999998E-2</v>
      </c>
      <c r="O593" s="22">
        <v>1017.1985435894751</v>
      </c>
      <c r="P593" s="22">
        <f t="shared" si="84"/>
        <v>1256.1079655223348</v>
      </c>
      <c r="Q593" s="22">
        <v>2777.0693256854333</v>
      </c>
      <c r="R593" s="22">
        <f t="shared" si="85"/>
        <v>143.71333760422115</v>
      </c>
      <c r="S593" s="22">
        <f t="shared" si="86"/>
        <v>1399.8213031265559</v>
      </c>
      <c r="T593" s="23">
        <v>0.55859868298040061</v>
      </c>
      <c r="U593" s="24">
        <v>0.1</v>
      </c>
      <c r="V593" s="25">
        <f t="shared" si="83"/>
        <v>2399.9356034070538</v>
      </c>
      <c r="W593" s="26" t="s">
        <v>29</v>
      </c>
    </row>
    <row r="594" spans="1:23" ht="89.25" x14ac:dyDescent="0.25">
      <c r="A594" s="17">
        <f t="shared" ca="1" si="87"/>
        <v>590</v>
      </c>
      <c r="B594" s="18" t="s">
        <v>139</v>
      </c>
      <c r="C594" s="18" t="s">
        <v>1209</v>
      </c>
      <c r="D594" s="18"/>
      <c r="E594" s="18"/>
      <c r="F594" s="18"/>
      <c r="G594" s="18"/>
      <c r="H594" s="19" t="s">
        <v>1210</v>
      </c>
      <c r="I594" s="18" t="s">
        <v>161</v>
      </c>
      <c r="J594" s="20">
        <v>1</v>
      </c>
      <c r="K594" s="20">
        <v>1.1499999999999999</v>
      </c>
      <c r="L594" s="21" t="s">
        <v>28</v>
      </c>
      <c r="M594" s="22">
        <v>1.2830999999999997</v>
      </c>
      <c r="N594" s="22">
        <v>4.4999999999999998E-2</v>
      </c>
      <c r="O594" s="22">
        <v>1017.1985435894751</v>
      </c>
      <c r="P594" s="22">
        <f t="shared" si="84"/>
        <v>1500.9425689716034</v>
      </c>
      <c r="Q594" s="22">
        <v>2777.0693256854333</v>
      </c>
      <c r="R594" s="22">
        <f t="shared" si="85"/>
        <v>143.71333760422115</v>
      </c>
      <c r="S594" s="22">
        <f t="shared" si="86"/>
        <v>1644.6559065758245</v>
      </c>
      <c r="T594" s="23">
        <v>0.55859868298040061</v>
      </c>
      <c r="U594" s="24">
        <v>0.1</v>
      </c>
      <c r="V594" s="25">
        <f t="shared" si="83"/>
        <v>2819.6943829395186</v>
      </c>
      <c r="W594" s="26" t="s">
        <v>29</v>
      </c>
    </row>
    <row r="595" spans="1:23" x14ac:dyDescent="0.25">
      <c r="A595" s="12">
        <f t="shared" ca="1" si="87"/>
        <v>591</v>
      </c>
      <c r="B595" s="13" t="s">
        <v>139</v>
      </c>
      <c r="C595" s="13" t="s">
        <v>1211</v>
      </c>
      <c r="D595" s="13"/>
      <c r="E595" s="13"/>
      <c r="F595" s="13"/>
      <c r="G595" s="13"/>
      <c r="H595" s="15" t="s">
        <v>1212</v>
      </c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27"/>
      <c r="U595" s="16"/>
      <c r="V595" s="13"/>
      <c r="W595" s="13"/>
    </row>
    <row r="596" spans="1:23" ht="89.25" x14ac:dyDescent="0.25">
      <c r="A596" s="17">
        <f t="shared" ca="1" si="87"/>
        <v>592</v>
      </c>
      <c r="B596" s="18" t="s">
        <v>139</v>
      </c>
      <c r="C596" s="18" t="s">
        <v>1213</v>
      </c>
      <c r="D596" s="18"/>
      <c r="E596" s="18"/>
      <c r="F596" s="18"/>
      <c r="G596" s="18"/>
      <c r="H596" s="19" t="s">
        <v>1214</v>
      </c>
      <c r="I596" s="18" t="s">
        <v>161</v>
      </c>
      <c r="J596" s="20">
        <v>1</v>
      </c>
      <c r="K596" s="20">
        <v>1.1499999999999999</v>
      </c>
      <c r="L596" s="21" t="s">
        <v>28</v>
      </c>
      <c r="M596" s="22">
        <v>4.0865999999999998</v>
      </c>
      <c r="N596" s="22">
        <v>0.18</v>
      </c>
      <c r="O596" s="22">
        <v>1017.1985435894751</v>
      </c>
      <c r="P596" s="22">
        <f t="shared" si="84"/>
        <v>4780.4161034676608</v>
      </c>
      <c r="Q596" s="22">
        <v>2777.0693256854333</v>
      </c>
      <c r="R596" s="22">
        <f t="shared" si="85"/>
        <v>574.85335041688461</v>
      </c>
      <c r="S596" s="22">
        <f t="shared" si="86"/>
        <v>5355.2694538845453</v>
      </c>
      <c r="T596" s="23">
        <v>0.55859868298040061</v>
      </c>
      <c r="U596" s="24">
        <v>0.1</v>
      </c>
      <c r="V596" s="25">
        <f t="shared" ref="V596:V611" si="88">S596+S596*T596+(S596+S596*T596)*U596</f>
        <v>9181.387509612583</v>
      </c>
      <c r="W596" s="26" t="s">
        <v>29</v>
      </c>
    </row>
    <row r="597" spans="1:23" ht="89.25" x14ac:dyDescent="0.25">
      <c r="A597" s="17">
        <f t="shared" ca="1" si="87"/>
        <v>593</v>
      </c>
      <c r="B597" s="18" t="s">
        <v>139</v>
      </c>
      <c r="C597" s="18" t="s">
        <v>1215</v>
      </c>
      <c r="D597" s="18"/>
      <c r="E597" s="18"/>
      <c r="F597" s="18"/>
      <c r="G597" s="18"/>
      <c r="H597" s="19" t="s">
        <v>1216</v>
      </c>
      <c r="I597" s="18" t="s">
        <v>161</v>
      </c>
      <c r="J597" s="20">
        <v>1</v>
      </c>
      <c r="K597" s="20">
        <v>1.1499999999999999</v>
      </c>
      <c r="L597" s="21" t="s">
        <v>28</v>
      </c>
      <c r="M597" s="22">
        <v>4.8362999999999996</v>
      </c>
      <c r="N597" s="22">
        <v>0.44999999999999996</v>
      </c>
      <c r="O597" s="22">
        <v>1017.1985435894751</v>
      </c>
      <c r="P597" s="22">
        <f t="shared" si="84"/>
        <v>5657.398913816045</v>
      </c>
      <c r="Q597" s="22">
        <v>2777.0693256854333</v>
      </c>
      <c r="R597" s="22">
        <f t="shared" si="85"/>
        <v>1437.1333760422117</v>
      </c>
      <c r="S597" s="22">
        <f t="shared" si="86"/>
        <v>7094.5322898582563</v>
      </c>
      <c r="T597" s="23">
        <v>0.55859868298040061</v>
      </c>
      <c r="U597" s="24">
        <v>0.1</v>
      </c>
      <c r="V597" s="25">
        <f t="shared" si="88"/>
        <v>12163.281551668504</v>
      </c>
      <c r="W597" s="26" t="s">
        <v>29</v>
      </c>
    </row>
    <row r="598" spans="1:23" ht="89.25" x14ac:dyDescent="0.25">
      <c r="A598" s="17">
        <f t="shared" ca="1" si="87"/>
        <v>594</v>
      </c>
      <c r="B598" s="18" t="s">
        <v>139</v>
      </c>
      <c r="C598" s="18" t="s">
        <v>1217</v>
      </c>
      <c r="D598" s="18"/>
      <c r="E598" s="18"/>
      <c r="F598" s="18"/>
      <c r="G598" s="18"/>
      <c r="H598" s="19" t="s">
        <v>1218</v>
      </c>
      <c r="I598" s="18" t="s">
        <v>161</v>
      </c>
      <c r="J598" s="20">
        <v>1</v>
      </c>
      <c r="K598" s="20">
        <v>1.1499999999999999</v>
      </c>
      <c r="L598" s="21" t="s">
        <v>28</v>
      </c>
      <c r="M598" s="22">
        <v>5.8155999999999999</v>
      </c>
      <c r="N598" s="22">
        <v>0.44999999999999996</v>
      </c>
      <c r="O598" s="22">
        <v>1017.1985435894751</v>
      </c>
      <c r="P598" s="22">
        <f t="shared" si="84"/>
        <v>6802.9628276137937</v>
      </c>
      <c r="Q598" s="22">
        <v>2777.0693256854333</v>
      </c>
      <c r="R598" s="22">
        <f t="shared" si="85"/>
        <v>1437.1333760422117</v>
      </c>
      <c r="S598" s="22">
        <f t="shared" si="86"/>
        <v>8240.0962036560049</v>
      </c>
      <c r="T598" s="23">
        <v>0.55859868298040061</v>
      </c>
      <c r="U598" s="24">
        <v>0.1</v>
      </c>
      <c r="V598" s="25">
        <f t="shared" si="88"/>
        <v>14127.303399715052</v>
      </c>
      <c r="W598" s="26" t="s">
        <v>29</v>
      </c>
    </row>
    <row r="599" spans="1:23" ht="89.25" x14ac:dyDescent="0.25">
      <c r="A599" s="17">
        <f t="shared" ca="1" si="87"/>
        <v>595</v>
      </c>
      <c r="B599" s="18" t="s">
        <v>139</v>
      </c>
      <c r="C599" s="18" t="s">
        <v>1219</v>
      </c>
      <c r="D599" s="18"/>
      <c r="E599" s="18"/>
      <c r="F599" s="18"/>
      <c r="G599" s="18"/>
      <c r="H599" s="19" t="s">
        <v>1220</v>
      </c>
      <c r="I599" s="18" t="s">
        <v>161</v>
      </c>
      <c r="J599" s="20">
        <v>1</v>
      </c>
      <c r="K599" s="20">
        <v>1.1499999999999999</v>
      </c>
      <c r="L599" s="21" t="s">
        <v>28</v>
      </c>
      <c r="M599" s="22">
        <v>5.8750999999999998</v>
      </c>
      <c r="N599" s="22">
        <v>0.44999999999999996</v>
      </c>
      <c r="O599" s="22">
        <v>1017.1985435894751</v>
      </c>
      <c r="P599" s="22">
        <f t="shared" si="84"/>
        <v>6872.5646379589034</v>
      </c>
      <c r="Q599" s="22">
        <v>2777.0693256854333</v>
      </c>
      <c r="R599" s="22">
        <f t="shared" si="85"/>
        <v>1437.1333760422117</v>
      </c>
      <c r="S599" s="22">
        <f t="shared" si="86"/>
        <v>8309.6980140011146</v>
      </c>
      <c r="T599" s="23">
        <v>0.55859868298040061</v>
      </c>
      <c r="U599" s="24">
        <v>0.1</v>
      </c>
      <c r="V599" s="25">
        <f t="shared" si="88"/>
        <v>14246.632818645687</v>
      </c>
      <c r="W599" s="26" t="s">
        <v>29</v>
      </c>
    </row>
    <row r="600" spans="1:23" ht="89.25" x14ac:dyDescent="0.25">
      <c r="A600" s="17">
        <f t="shared" ca="1" si="87"/>
        <v>596</v>
      </c>
      <c r="B600" s="18" t="s">
        <v>139</v>
      </c>
      <c r="C600" s="18" t="s">
        <v>1221</v>
      </c>
      <c r="D600" s="18"/>
      <c r="E600" s="18"/>
      <c r="F600" s="18"/>
      <c r="G600" s="18"/>
      <c r="H600" s="19" t="s">
        <v>1222</v>
      </c>
      <c r="I600" s="18" t="s">
        <v>161</v>
      </c>
      <c r="J600" s="20">
        <v>1</v>
      </c>
      <c r="K600" s="20">
        <v>1.1499999999999999</v>
      </c>
      <c r="L600" s="21" t="s">
        <v>28</v>
      </c>
      <c r="M600" s="22">
        <v>5.9353000000000007</v>
      </c>
      <c r="N600" s="22">
        <v>0.44999999999999996</v>
      </c>
      <c r="O600" s="22">
        <v>1017.1985435894751</v>
      </c>
      <c r="P600" s="22">
        <f t="shared" si="84"/>
        <v>6942.9852931316036</v>
      </c>
      <c r="Q600" s="22">
        <v>2777.0693256854333</v>
      </c>
      <c r="R600" s="22">
        <f t="shared" si="85"/>
        <v>1437.1333760422117</v>
      </c>
      <c r="S600" s="22">
        <f t="shared" si="86"/>
        <v>8380.1186691738149</v>
      </c>
      <c r="T600" s="23">
        <v>0.55859868298040061</v>
      </c>
      <c r="U600" s="24">
        <v>0.1</v>
      </c>
      <c r="V600" s="25">
        <f t="shared" si="88"/>
        <v>14367.366113093154</v>
      </c>
      <c r="W600" s="26" t="s">
        <v>29</v>
      </c>
    </row>
    <row r="601" spans="1:23" ht="89.25" x14ac:dyDescent="0.25">
      <c r="A601" s="17">
        <f t="shared" ca="1" si="87"/>
        <v>597</v>
      </c>
      <c r="B601" s="18" t="s">
        <v>139</v>
      </c>
      <c r="C601" s="18" t="s">
        <v>1223</v>
      </c>
      <c r="D601" s="18"/>
      <c r="E601" s="18"/>
      <c r="F601" s="18"/>
      <c r="G601" s="18"/>
      <c r="H601" s="19" t="s">
        <v>1224</v>
      </c>
      <c r="I601" s="18" t="s">
        <v>161</v>
      </c>
      <c r="J601" s="20">
        <v>1</v>
      </c>
      <c r="K601" s="20">
        <v>1.1499999999999999</v>
      </c>
      <c r="L601" s="21" t="s">
        <v>28</v>
      </c>
      <c r="M601" s="22">
        <v>5.9947999999999997</v>
      </c>
      <c r="N601" s="22">
        <v>0.44999999999999996</v>
      </c>
      <c r="O601" s="22">
        <v>1017.1985435894751</v>
      </c>
      <c r="P601" s="22">
        <f t="shared" si="84"/>
        <v>7012.5871034767115</v>
      </c>
      <c r="Q601" s="22">
        <v>2777.0693256854333</v>
      </c>
      <c r="R601" s="22">
        <f t="shared" si="85"/>
        <v>1437.1333760422117</v>
      </c>
      <c r="S601" s="22">
        <f t="shared" si="86"/>
        <v>8449.7204795189227</v>
      </c>
      <c r="T601" s="23">
        <v>0.55859868298040061</v>
      </c>
      <c r="U601" s="24">
        <v>0.1</v>
      </c>
      <c r="V601" s="25">
        <f t="shared" si="88"/>
        <v>14486.695532023783</v>
      </c>
      <c r="W601" s="26" t="s">
        <v>29</v>
      </c>
    </row>
    <row r="602" spans="1:23" ht="89.25" x14ac:dyDescent="0.25">
      <c r="A602" s="17">
        <f t="shared" ca="1" si="87"/>
        <v>598</v>
      </c>
      <c r="B602" s="18" t="s">
        <v>139</v>
      </c>
      <c r="C602" s="18" t="s">
        <v>1225</v>
      </c>
      <c r="D602" s="18"/>
      <c r="E602" s="18"/>
      <c r="F602" s="18"/>
      <c r="G602" s="18"/>
      <c r="H602" s="19" t="s">
        <v>1226</v>
      </c>
      <c r="I602" s="18" t="s">
        <v>161</v>
      </c>
      <c r="J602" s="20">
        <v>1</v>
      </c>
      <c r="K602" s="20">
        <v>1.1499999999999999</v>
      </c>
      <c r="L602" s="21" t="s">
        <v>28</v>
      </c>
      <c r="M602" s="22">
        <v>6.0549999999999997</v>
      </c>
      <c r="N602" s="22">
        <v>0.44999999999999996</v>
      </c>
      <c r="O602" s="22">
        <v>1017.1985435894751</v>
      </c>
      <c r="P602" s="22">
        <f t="shared" si="84"/>
        <v>7083.0077586494108</v>
      </c>
      <c r="Q602" s="22">
        <v>2777.0693256854333</v>
      </c>
      <c r="R602" s="22">
        <f t="shared" si="85"/>
        <v>1437.1333760422117</v>
      </c>
      <c r="S602" s="22">
        <f t="shared" si="86"/>
        <v>8520.1411346916229</v>
      </c>
      <c r="T602" s="23">
        <v>0.55859868298040061</v>
      </c>
      <c r="U602" s="24">
        <v>0.1</v>
      </c>
      <c r="V602" s="25">
        <f t="shared" si="88"/>
        <v>14607.42882647125</v>
      </c>
      <c r="W602" s="26" t="s">
        <v>29</v>
      </c>
    </row>
    <row r="603" spans="1:23" ht="89.25" x14ac:dyDescent="0.25">
      <c r="A603" s="17">
        <f t="shared" ca="1" si="87"/>
        <v>599</v>
      </c>
      <c r="B603" s="18" t="s">
        <v>139</v>
      </c>
      <c r="C603" s="18" t="s">
        <v>1227</v>
      </c>
      <c r="D603" s="18"/>
      <c r="E603" s="18"/>
      <c r="F603" s="18"/>
      <c r="G603" s="18"/>
      <c r="H603" s="19" t="s">
        <v>1228</v>
      </c>
      <c r="I603" s="18" t="s">
        <v>161</v>
      </c>
      <c r="J603" s="20">
        <v>1</v>
      </c>
      <c r="K603" s="20">
        <v>1.1499999999999999</v>
      </c>
      <c r="L603" s="21" t="s">
        <v>28</v>
      </c>
      <c r="M603" s="22">
        <v>6.9748000000000001</v>
      </c>
      <c r="N603" s="22">
        <v>0.44999999999999996</v>
      </c>
      <c r="O603" s="22">
        <v>1017.1985435894751</v>
      </c>
      <c r="P603" s="22">
        <f t="shared" si="84"/>
        <v>8158.9698621020507</v>
      </c>
      <c r="Q603" s="22">
        <v>2777.0693256854333</v>
      </c>
      <c r="R603" s="22">
        <f t="shared" si="85"/>
        <v>1437.1333760422117</v>
      </c>
      <c r="S603" s="22">
        <f t="shared" si="86"/>
        <v>9596.1032381442619</v>
      </c>
      <c r="T603" s="23">
        <v>0.55859868298040061</v>
      </c>
      <c r="U603" s="24">
        <v>0.1</v>
      </c>
      <c r="V603" s="25">
        <f t="shared" si="88"/>
        <v>16452.121255587164</v>
      </c>
      <c r="W603" s="26" t="s">
        <v>29</v>
      </c>
    </row>
    <row r="604" spans="1:23" ht="89.25" x14ac:dyDescent="0.25">
      <c r="A604" s="17">
        <f t="shared" ca="1" si="87"/>
        <v>600</v>
      </c>
      <c r="B604" s="18" t="s">
        <v>139</v>
      </c>
      <c r="C604" s="18" t="s">
        <v>1229</v>
      </c>
      <c r="D604" s="18"/>
      <c r="E604" s="18"/>
      <c r="F604" s="18"/>
      <c r="G604" s="18"/>
      <c r="H604" s="19" t="s">
        <v>1230</v>
      </c>
      <c r="I604" s="18" t="s">
        <v>161</v>
      </c>
      <c r="J604" s="20">
        <v>1</v>
      </c>
      <c r="K604" s="20">
        <v>1.1499999999999999</v>
      </c>
      <c r="L604" s="21" t="s">
        <v>28</v>
      </c>
      <c r="M604" s="22">
        <v>7.0342999999999991</v>
      </c>
      <c r="N604" s="22">
        <v>0.44999999999999996</v>
      </c>
      <c r="O604" s="22">
        <v>1017.1985435894751</v>
      </c>
      <c r="P604" s="22">
        <f t="shared" si="84"/>
        <v>8228.5716724471604</v>
      </c>
      <c r="Q604" s="22">
        <v>2777.0693256854333</v>
      </c>
      <c r="R604" s="22">
        <f t="shared" si="85"/>
        <v>1437.1333760422117</v>
      </c>
      <c r="S604" s="22">
        <f t="shared" si="86"/>
        <v>9665.7050484893716</v>
      </c>
      <c r="T604" s="23">
        <v>0.55859868298040061</v>
      </c>
      <c r="U604" s="24">
        <v>0.1</v>
      </c>
      <c r="V604" s="25">
        <f t="shared" si="88"/>
        <v>16571.450674517801</v>
      </c>
      <c r="W604" s="26" t="s">
        <v>29</v>
      </c>
    </row>
    <row r="605" spans="1:23" ht="89.25" x14ac:dyDescent="0.25">
      <c r="A605" s="17">
        <f t="shared" ca="1" si="87"/>
        <v>601</v>
      </c>
      <c r="B605" s="18" t="s">
        <v>139</v>
      </c>
      <c r="C605" s="18" t="s">
        <v>1231</v>
      </c>
      <c r="D605" s="18"/>
      <c r="E605" s="18"/>
      <c r="F605" s="18"/>
      <c r="G605" s="18"/>
      <c r="H605" s="19" t="s">
        <v>1232</v>
      </c>
      <c r="I605" s="18" t="s">
        <v>161</v>
      </c>
      <c r="J605" s="20">
        <v>1</v>
      </c>
      <c r="K605" s="20">
        <v>1.1499999999999999</v>
      </c>
      <c r="L605" s="21" t="s">
        <v>28</v>
      </c>
      <c r="M605" s="22">
        <v>6.964999999999999</v>
      </c>
      <c r="N605" s="22">
        <v>0.18</v>
      </c>
      <c r="O605" s="22">
        <v>1017.1985435894751</v>
      </c>
      <c r="P605" s="22">
        <f t="shared" si="84"/>
        <v>8147.5060345157963</v>
      </c>
      <c r="Q605" s="22">
        <v>2777.0693256854333</v>
      </c>
      <c r="R605" s="22">
        <f t="shared" si="85"/>
        <v>574.85335041688461</v>
      </c>
      <c r="S605" s="22">
        <f t="shared" si="86"/>
        <v>8722.3593849326808</v>
      </c>
      <c r="T605" s="23">
        <v>0.55859868298040061</v>
      </c>
      <c r="U605" s="24">
        <v>0.1</v>
      </c>
      <c r="V605" s="25">
        <f t="shared" si="88"/>
        <v>14954.123634821593</v>
      </c>
      <c r="W605" s="26" t="s">
        <v>29</v>
      </c>
    </row>
    <row r="606" spans="1:23" ht="89.25" x14ac:dyDescent="0.25">
      <c r="A606" s="17">
        <f t="shared" ca="1" si="87"/>
        <v>602</v>
      </c>
      <c r="B606" s="18" t="s">
        <v>139</v>
      </c>
      <c r="C606" s="18" t="s">
        <v>1233</v>
      </c>
      <c r="D606" s="18"/>
      <c r="E606" s="18"/>
      <c r="F606" s="18"/>
      <c r="G606" s="18"/>
      <c r="H606" s="19" t="s">
        <v>1234</v>
      </c>
      <c r="I606" s="18" t="s">
        <v>161</v>
      </c>
      <c r="J606" s="20">
        <v>1</v>
      </c>
      <c r="K606" s="20">
        <v>1.1499999999999999</v>
      </c>
      <c r="L606" s="21" t="s">
        <v>28</v>
      </c>
      <c r="M606" s="22">
        <v>8.1836999999999982</v>
      </c>
      <c r="N606" s="22">
        <v>0.18</v>
      </c>
      <c r="O606" s="22">
        <v>1017.1985435894751</v>
      </c>
      <c r="P606" s="22">
        <f t="shared" si="84"/>
        <v>9573.1148793491611</v>
      </c>
      <c r="Q606" s="22">
        <v>2777.0693256854333</v>
      </c>
      <c r="R606" s="22">
        <f t="shared" si="85"/>
        <v>574.85335041688461</v>
      </c>
      <c r="S606" s="22">
        <f t="shared" si="86"/>
        <v>10147.968229766046</v>
      </c>
      <c r="T606" s="23">
        <v>0.55859868298040061</v>
      </c>
      <c r="U606" s="24">
        <v>0.1</v>
      </c>
      <c r="V606" s="25">
        <f t="shared" si="88"/>
        <v>17398.270909624334</v>
      </c>
      <c r="W606" s="26" t="s">
        <v>29</v>
      </c>
    </row>
    <row r="607" spans="1:23" ht="89.25" x14ac:dyDescent="0.25">
      <c r="A607" s="17">
        <f t="shared" ca="1" si="87"/>
        <v>603</v>
      </c>
      <c r="B607" s="18" t="s">
        <v>139</v>
      </c>
      <c r="C607" s="18" t="s">
        <v>1235</v>
      </c>
      <c r="D607" s="18"/>
      <c r="E607" s="18"/>
      <c r="F607" s="18"/>
      <c r="G607" s="18"/>
      <c r="H607" s="19" t="s">
        <v>1236</v>
      </c>
      <c r="I607" s="18" t="s">
        <v>161</v>
      </c>
      <c r="J607" s="20">
        <v>1</v>
      </c>
      <c r="K607" s="20">
        <v>1.1499999999999999</v>
      </c>
      <c r="L607" s="21" t="s">
        <v>28</v>
      </c>
      <c r="M607" s="22">
        <v>8.9936000000000007</v>
      </c>
      <c r="N607" s="22">
        <v>0.44999999999999996</v>
      </c>
      <c r="O607" s="22">
        <v>1017.1985435894751</v>
      </c>
      <c r="P607" s="22">
        <f t="shared" si="84"/>
        <v>10520.51834487025</v>
      </c>
      <c r="Q607" s="22">
        <v>2777.0693256854333</v>
      </c>
      <c r="R607" s="22">
        <f t="shared" si="85"/>
        <v>1437.1333760422117</v>
      </c>
      <c r="S607" s="22">
        <f t="shared" si="86"/>
        <v>11957.651720912461</v>
      </c>
      <c r="T607" s="23">
        <v>0.55859868298040061</v>
      </c>
      <c r="U607" s="24">
        <v>0.1</v>
      </c>
      <c r="V607" s="25">
        <f t="shared" si="88"/>
        <v>20500.89824612773</v>
      </c>
      <c r="W607" s="26" t="s">
        <v>29</v>
      </c>
    </row>
    <row r="608" spans="1:23" ht="89.25" x14ac:dyDescent="0.25">
      <c r="A608" s="17">
        <f t="shared" ca="1" si="87"/>
        <v>604</v>
      </c>
      <c r="B608" s="18" t="s">
        <v>139</v>
      </c>
      <c r="C608" s="18" t="s">
        <v>1237</v>
      </c>
      <c r="D608" s="18"/>
      <c r="E608" s="18"/>
      <c r="F608" s="18"/>
      <c r="G608" s="18"/>
      <c r="H608" s="19" t="s">
        <v>1238</v>
      </c>
      <c r="I608" s="18" t="s">
        <v>161</v>
      </c>
      <c r="J608" s="20">
        <v>1</v>
      </c>
      <c r="K608" s="20">
        <v>1.1499999999999999</v>
      </c>
      <c r="L608" s="21" t="s">
        <v>28</v>
      </c>
      <c r="M608" s="22">
        <v>9.1728000000000005</v>
      </c>
      <c r="N608" s="22">
        <v>0.44999999999999996</v>
      </c>
      <c r="O608" s="22">
        <v>1017.1985435894751</v>
      </c>
      <c r="P608" s="22">
        <f t="shared" si="84"/>
        <v>10730.142620733168</v>
      </c>
      <c r="Q608" s="22">
        <v>2777.0693256854333</v>
      </c>
      <c r="R608" s="22">
        <f t="shared" si="85"/>
        <v>1437.1333760422117</v>
      </c>
      <c r="S608" s="22">
        <f t="shared" si="86"/>
        <v>12167.275996775379</v>
      </c>
      <c r="T608" s="23">
        <v>0.55859868298040061</v>
      </c>
      <c r="U608" s="24">
        <v>0.1</v>
      </c>
      <c r="V608" s="25">
        <f t="shared" si="88"/>
        <v>20860.290378436461</v>
      </c>
      <c r="W608" s="26" t="s">
        <v>29</v>
      </c>
    </row>
    <row r="609" spans="1:23" ht="89.25" x14ac:dyDescent="0.25">
      <c r="A609" s="17">
        <f t="shared" ca="1" si="87"/>
        <v>605</v>
      </c>
      <c r="B609" s="18" t="s">
        <v>139</v>
      </c>
      <c r="C609" s="18" t="s">
        <v>1239</v>
      </c>
      <c r="D609" s="18"/>
      <c r="E609" s="18"/>
      <c r="F609" s="18"/>
      <c r="G609" s="18"/>
      <c r="H609" s="19" t="s">
        <v>1240</v>
      </c>
      <c r="I609" s="18" t="s">
        <v>161</v>
      </c>
      <c r="J609" s="20">
        <v>1</v>
      </c>
      <c r="K609" s="20">
        <v>1.1499999999999999</v>
      </c>
      <c r="L609" s="21" t="s">
        <v>28</v>
      </c>
      <c r="M609" s="22">
        <v>9.3519999999999985</v>
      </c>
      <c r="N609" s="22">
        <v>0.44999999999999996</v>
      </c>
      <c r="O609" s="22">
        <v>1017.1985435894751</v>
      </c>
      <c r="P609" s="22">
        <f t="shared" si="84"/>
        <v>10939.766896596084</v>
      </c>
      <c r="Q609" s="22">
        <v>2777.0693256854333</v>
      </c>
      <c r="R609" s="22">
        <f t="shared" si="85"/>
        <v>1437.1333760422117</v>
      </c>
      <c r="S609" s="22">
        <f t="shared" si="86"/>
        <v>12376.900272638295</v>
      </c>
      <c r="T609" s="23">
        <v>0.55859868298040061</v>
      </c>
      <c r="U609" s="24">
        <v>0.1</v>
      </c>
      <c r="V609" s="25">
        <f t="shared" si="88"/>
        <v>21219.682510745188</v>
      </c>
      <c r="W609" s="26" t="s">
        <v>29</v>
      </c>
    </row>
    <row r="610" spans="1:23" ht="89.25" x14ac:dyDescent="0.25">
      <c r="A610" s="17">
        <f t="shared" ca="1" si="87"/>
        <v>606</v>
      </c>
      <c r="B610" s="18" t="s">
        <v>139</v>
      </c>
      <c r="C610" s="18" t="s">
        <v>1241</v>
      </c>
      <c r="D610" s="18"/>
      <c r="E610" s="18"/>
      <c r="F610" s="18"/>
      <c r="G610" s="18"/>
      <c r="H610" s="19" t="s">
        <v>1242</v>
      </c>
      <c r="I610" s="18" t="s">
        <v>161</v>
      </c>
      <c r="J610" s="20">
        <v>1</v>
      </c>
      <c r="K610" s="20">
        <v>1.1499999999999999</v>
      </c>
      <c r="L610" s="21" t="s">
        <v>28</v>
      </c>
      <c r="M610" s="22">
        <v>10.391500000000001</v>
      </c>
      <c r="N610" s="22">
        <v>0.44999999999999996</v>
      </c>
      <c r="O610" s="22">
        <v>1017.1985435894751</v>
      </c>
      <c r="P610" s="22">
        <f t="shared" si="84"/>
        <v>12155.751465566536</v>
      </c>
      <c r="Q610" s="22">
        <v>2777.0693256854333</v>
      </c>
      <c r="R610" s="22">
        <f t="shared" si="85"/>
        <v>1437.1333760422117</v>
      </c>
      <c r="S610" s="22">
        <f t="shared" si="86"/>
        <v>13592.884841608748</v>
      </c>
      <c r="T610" s="23">
        <v>0.55859868298040061</v>
      </c>
      <c r="U610" s="24">
        <v>0.1</v>
      </c>
      <c r="V610" s="25">
        <f t="shared" si="88"/>
        <v>23304.437653239209</v>
      </c>
      <c r="W610" s="26" t="s">
        <v>29</v>
      </c>
    </row>
    <row r="611" spans="1:23" ht="89.25" x14ac:dyDescent="0.25">
      <c r="A611" s="17">
        <f t="shared" ca="1" si="87"/>
        <v>607</v>
      </c>
      <c r="B611" s="18" t="s">
        <v>139</v>
      </c>
      <c r="C611" s="18" t="s">
        <v>1243</v>
      </c>
      <c r="D611" s="18"/>
      <c r="E611" s="18"/>
      <c r="F611" s="18"/>
      <c r="G611" s="18"/>
      <c r="H611" s="19" t="s">
        <v>1244</v>
      </c>
      <c r="I611" s="18" t="s">
        <v>161</v>
      </c>
      <c r="J611" s="20">
        <v>1</v>
      </c>
      <c r="K611" s="20">
        <v>1.1499999999999999</v>
      </c>
      <c r="L611" s="21" t="s">
        <v>28</v>
      </c>
      <c r="M611" s="22">
        <v>1.8094999999999999</v>
      </c>
      <c r="N611" s="22">
        <v>0.13919999999999999</v>
      </c>
      <c r="O611" s="22">
        <v>1017.1985435894751</v>
      </c>
      <c r="P611" s="22">
        <f t="shared" si="84"/>
        <v>2116.7138793189283</v>
      </c>
      <c r="Q611" s="22">
        <v>2777.0693256854333</v>
      </c>
      <c r="R611" s="22">
        <f t="shared" si="85"/>
        <v>444.55325765572411</v>
      </c>
      <c r="S611" s="22">
        <f t="shared" si="86"/>
        <v>2561.2671369746522</v>
      </c>
      <c r="T611" s="23">
        <v>0.55859868298040061</v>
      </c>
      <c r="U611" s="24">
        <v>0.1</v>
      </c>
      <c r="V611" s="25">
        <f t="shared" si="88"/>
        <v>4391.1863450946421</v>
      </c>
      <c r="W611" s="26" t="s">
        <v>29</v>
      </c>
    </row>
    <row r="612" spans="1:23" x14ac:dyDescent="0.25">
      <c r="A612" s="5">
        <f t="shared" ca="1" si="87"/>
        <v>608</v>
      </c>
      <c r="B612" s="6" t="s">
        <v>1245</v>
      </c>
      <c r="C612" s="6" t="s">
        <v>1245</v>
      </c>
      <c r="D612" s="6" t="s">
        <v>3386</v>
      </c>
      <c r="E612" s="6"/>
      <c r="F612" s="6"/>
      <c r="G612" s="6"/>
      <c r="H612" s="7" t="s">
        <v>1246</v>
      </c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30"/>
      <c r="U612" s="8"/>
      <c r="V612" s="6"/>
      <c r="W612" s="6"/>
    </row>
    <row r="613" spans="1:23" x14ac:dyDescent="0.25">
      <c r="A613" s="28">
        <f t="shared" ca="1" si="87"/>
        <v>609</v>
      </c>
      <c r="B613" s="9" t="s">
        <v>1245</v>
      </c>
      <c r="C613" s="9" t="s">
        <v>1247</v>
      </c>
      <c r="D613" s="6" t="s">
        <v>3386</v>
      </c>
      <c r="E613" s="9" t="s">
        <v>3387</v>
      </c>
      <c r="F613" s="9"/>
      <c r="G613" s="9"/>
      <c r="H613" s="10" t="s">
        <v>1248</v>
      </c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29"/>
      <c r="U613" s="11"/>
      <c r="V613" s="9"/>
      <c r="W613" s="9"/>
    </row>
    <row r="614" spans="1:23" x14ac:dyDescent="0.25">
      <c r="A614" s="12">
        <f t="shared" ca="1" si="87"/>
        <v>610</v>
      </c>
      <c r="B614" s="13" t="s">
        <v>1245</v>
      </c>
      <c r="C614" s="13" t="s">
        <v>1249</v>
      </c>
      <c r="D614" s="6" t="s">
        <v>3386</v>
      </c>
      <c r="E614" s="9" t="s">
        <v>3387</v>
      </c>
      <c r="F614" s="13" t="s">
        <v>3389</v>
      </c>
      <c r="G614" s="13"/>
      <c r="H614" s="15" t="s">
        <v>1250</v>
      </c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27"/>
      <c r="U614" s="16"/>
      <c r="V614" s="13"/>
      <c r="W614" s="13"/>
    </row>
    <row r="615" spans="1:23" ht="89.25" x14ac:dyDescent="0.25">
      <c r="A615" s="17">
        <f t="shared" ca="1" si="87"/>
        <v>611</v>
      </c>
      <c r="B615" s="18" t="s">
        <v>1245</v>
      </c>
      <c r="C615" s="18" t="s">
        <v>1251</v>
      </c>
      <c r="D615" s="6" t="s">
        <v>3386</v>
      </c>
      <c r="E615" s="9" t="s">
        <v>3387</v>
      </c>
      <c r="F615" s="13" t="s">
        <v>3389</v>
      </c>
      <c r="G615" s="18" t="str">
        <f>CONCATENATE(C615,"_",H615)</f>
        <v>CS00-01-02-1_Монтаж неперфорированного кабельного лотка ширина до 100 мм, , без установки опор</v>
      </c>
      <c r="H615" s="19" t="s">
        <v>1252</v>
      </c>
      <c r="I615" s="18" t="s">
        <v>104</v>
      </c>
      <c r="J615" s="20">
        <v>1</v>
      </c>
      <c r="K615" s="20">
        <v>1.1499999999999999</v>
      </c>
      <c r="L615" s="21" t="s">
        <v>28</v>
      </c>
      <c r="M615" s="22">
        <v>0.59849999999999992</v>
      </c>
      <c r="N615" s="22">
        <v>1.5599999999999999E-2</v>
      </c>
      <c r="O615" s="22">
        <v>1007.6071541501975</v>
      </c>
      <c r="P615" s="22">
        <f t="shared" si="84"/>
        <v>693.510814022727</v>
      </c>
      <c r="Q615" s="22">
        <v>2922.65</v>
      </c>
      <c r="R615" s="22">
        <f t="shared" si="85"/>
        <v>52.432340999999994</v>
      </c>
      <c r="S615" s="22">
        <f t="shared" si="86"/>
        <v>745.94315502272696</v>
      </c>
      <c r="T615" s="23">
        <v>0.55859868298040061</v>
      </c>
      <c r="U615" s="24">
        <v>0.1</v>
      </c>
      <c r="V615" s="25">
        <f t="shared" ref="V615:V634" si="89">S615+S615*T615+(S615+S615*T615)*U615</f>
        <v>1278.8886208963336</v>
      </c>
      <c r="W615" s="26" t="s">
        <v>29</v>
      </c>
    </row>
    <row r="616" spans="1:23" ht="89.25" x14ac:dyDescent="0.25">
      <c r="A616" s="17">
        <f t="shared" ca="1" si="87"/>
        <v>612</v>
      </c>
      <c r="B616" s="18" t="s">
        <v>1245</v>
      </c>
      <c r="C616" s="18" t="s">
        <v>1253</v>
      </c>
      <c r="D616" s="6" t="s">
        <v>3386</v>
      </c>
      <c r="E616" s="9" t="s">
        <v>3387</v>
      </c>
      <c r="F616" s="13" t="s">
        <v>3389</v>
      </c>
      <c r="G616" s="18" t="str">
        <f t="shared" ref="F616:G637" si="90">CONCATENATE(C616,"_",H616)</f>
        <v>CS00-01-02-2_Монтаж неперфорированного кабельного лотка ширина от 100 мм до 200 мм, без установки опор</v>
      </c>
      <c r="H616" s="19" t="s">
        <v>1254</v>
      </c>
      <c r="I616" s="18" t="s">
        <v>104</v>
      </c>
      <c r="J616" s="20">
        <v>1</v>
      </c>
      <c r="K616" s="20">
        <v>1.1499999999999999</v>
      </c>
      <c r="L616" s="21" t="s">
        <v>28</v>
      </c>
      <c r="M616" s="22">
        <v>0.6048</v>
      </c>
      <c r="N616" s="22">
        <v>1.5599999999999999E-2</v>
      </c>
      <c r="O616" s="22">
        <v>1007.6071541501975</v>
      </c>
      <c r="P616" s="22">
        <f t="shared" si="84"/>
        <v>700.8109278545453</v>
      </c>
      <c r="Q616" s="22">
        <v>2922.65</v>
      </c>
      <c r="R616" s="22">
        <f t="shared" si="85"/>
        <v>52.432340999999994</v>
      </c>
      <c r="S616" s="22">
        <f t="shared" si="86"/>
        <v>753.24326885454525</v>
      </c>
      <c r="T616" s="23">
        <v>0.55859868298040061</v>
      </c>
      <c r="U616" s="24">
        <v>0.1</v>
      </c>
      <c r="V616" s="25">
        <f t="shared" si="89"/>
        <v>1291.4043634806008</v>
      </c>
      <c r="W616" s="26" t="s">
        <v>29</v>
      </c>
    </row>
    <row r="617" spans="1:23" ht="89.25" x14ac:dyDescent="0.25">
      <c r="A617" s="17">
        <f t="shared" ca="1" si="87"/>
        <v>613</v>
      </c>
      <c r="B617" s="18" t="s">
        <v>1245</v>
      </c>
      <c r="C617" s="18" t="s">
        <v>1255</v>
      </c>
      <c r="D617" s="6" t="s">
        <v>3386</v>
      </c>
      <c r="E617" s="9" t="s">
        <v>3387</v>
      </c>
      <c r="F617" s="13" t="s">
        <v>3389</v>
      </c>
      <c r="G617" s="18" t="str">
        <f t="shared" si="90"/>
        <v>CS00-01-02-3_Монтаж неперфорированного кабельного лотка ширина от 200 мм до 300 мм, без установки опор</v>
      </c>
      <c r="H617" s="19" t="s">
        <v>1256</v>
      </c>
      <c r="I617" s="18" t="s">
        <v>104</v>
      </c>
      <c r="J617" s="20">
        <v>1</v>
      </c>
      <c r="K617" s="20">
        <v>1.1499999999999999</v>
      </c>
      <c r="L617" s="21" t="s">
        <v>28</v>
      </c>
      <c r="M617" s="22">
        <v>0.61319999999999997</v>
      </c>
      <c r="N617" s="22">
        <v>1.7399999999999999E-2</v>
      </c>
      <c r="O617" s="22">
        <v>1007.6071541501975</v>
      </c>
      <c r="P617" s="22">
        <f t="shared" si="84"/>
        <v>710.54441296363609</v>
      </c>
      <c r="Q617" s="22">
        <v>2922.65</v>
      </c>
      <c r="R617" s="22">
        <f t="shared" si="85"/>
        <v>58.482226499999996</v>
      </c>
      <c r="S617" s="22">
        <f t="shared" si="86"/>
        <v>769.02663946363612</v>
      </c>
      <c r="T617" s="23">
        <v>0.55859868298040061</v>
      </c>
      <c r="U617" s="24">
        <v>0.1</v>
      </c>
      <c r="V617" s="25">
        <f t="shared" si="89"/>
        <v>1318.4642981893533</v>
      </c>
      <c r="W617" s="26" t="s">
        <v>29</v>
      </c>
    </row>
    <row r="618" spans="1:23" ht="89.25" x14ac:dyDescent="0.25">
      <c r="A618" s="17">
        <f t="shared" ca="1" si="87"/>
        <v>614</v>
      </c>
      <c r="B618" s="18" t="s">
        <v>1245</v>
      </c>
      <c r="C618" s="18" t="s">
        <v>1257</v>
      </c>
      <c r="D618" s="6" t="s">
        <v>3386</v>
      </c>
      <c r="E618" s="9" t="s">
        <v>3387</v>
      </c>
      <c r="F618" s="13" t="s">
        <v>3389</v>
      </c>
      <c r="G618" s="18" t="str">
        <f t="shared" si="90"/>
        <v>CS00-01-02-4_Монтаж неперфорированного кабельного лотка ширина от 300 мм до 400 мм, без установки опор</v>
      </c>
      <c r="H618" s="19" t="s">
        <v>1258</v>
      </c>
      <c r="I618" s="18" t="s">
        <v>104</v>
      </c>
      <c r="J618" s="20">
        <v>1</v>
      </c>
      <c r="K618" s="20">
        <v>1.1499999999999999</v>
      </c>
      <c r="L618" s="21" t="s">
        <v>28</v>
      </c>
      <c r="M618" s="22">
        <v>0.72449999999999992</v>
      </c>
      <c r="N618" s="22">
        <v>1.7399999999999999E-2</v>
      </c>
      <c r="O618" s="22">
        <v>1007.6071541501975</v>
      </c>
      <c r="P618" s="22">
        <f t="shared" si="84"/>
        <v>839.51309065909061</v>
      </c>
      <c r="Q618" s="22">
        <v>2922.65</v>
      </c>
      <c r="R618" s="22">
        <f t="shared" si="85"/>
        <v>58.482226499999996</v>
      </c>
      <c r="S618" s="22">
        <f t="shared" si="86"/>
        <v>897.99531715909063</v>
      </c>
      <c r="T618" s="23">
        <v>0.55859868298040061</v>
      </c>
      <c r="U618" s="24">
        <v>0.1</v>
      </c>
      <c r="V618" s="25">
        <f t="shared" si="89"/>
        <v>1539.5757505113982</v>
      </c>
      <c r="W618" s="26" t="s">
        <v>29</v>
      </c>
    </row>
    <row r="619" spans="1:23" ht="89.25" x14ac:dyDescent="0.25">
      <c r="A619" s="17">
        <f t="shared" ca="1" si="87"/>
        <v>615</v>
      </c>
      <c r="B619" s="18" t="s">
        <v>1245</v>
      </c>
      <c r="C619" s="18" t="s">
        <v>1259</v>
      </c>
      <c r="D619" s="6" t="s">
        <v>3386</v>
      </c>
      <c r="E619" s="9" t="s">
        <v>3387</v>
      </c>
      <c r="F619" s="13" t="s">
        <v>3389</v>
      </c>
      <c r="G619" s="18" t="str">
        <f t="shared" si="90"/>
        <v>CS00-01-02-5_Монтаж неперфорированного кабельного лотка ширина от 400 мм до 500 мм, без установки опор</v>
      </c>
      <c r="H619" s="19" t="s">
        <v>1260</v>
      </c>
      <c r="I619" s="18" t="s">
        <v>104</v>
      </c>
      <c r="J619" s="20">
        <v>1</v>
      </c>
      <c r="K619" s="20">
        <v>1.1499999999999999</v>
      </c>
      <c r="L619" s="21" t="s">
        <v>28</v>
      </c>
      <c r="M619" s="22">
        <v>0.73499999999999988</v>
      </c>
      <c r="N619" s="22">
        <v>1.9800000000000002E-2</v>
      </c>
      <c r="O619" s="22">
        <v>1007.6071541501975</v>
      </c>
      <c r="P619" s="22">
        <f t="shared" si="84"/>
        <v>851.67994704545413</v>
      </c>
      <c r="Q619" s="22">
        <v>2922.65</v>
      </c>
      <c r="R619" s="22">
        <f t="shared" si="85"/>
        <v>66.548740500000008</v>
      </c>
      <c r="S619" s="22">
        <f t="shared" si="86"/>
        <v>918.22868754545414</v>
      </c>
      <c r="T619" s="23">
        <v>0.55859868298040061</v>
      </c>
      <c r="U619" s="24">
        <v>0.1</v>
      </c>
      <c r="V619" s="25">
        <f t="shared" si="89"/>
        <v>1574.2650253914833</v>
      </c>
      <c r="W619" s="26" t="s">
        <v>29</v>
      </c>
    </row>
    <row r="620" spans="1:23" ht="89.25" x14ac:dyDescent="0.25">
      <c r="A620" s="17">
        <f t="shared" ca="1" si="87"/>
        <v>616</v>
      </c>
      <c r="B620" s="18" t="s">
        <v>1245</v>
      </c>
      <c r="C620" s="18" t="s">
        <v>1261</v>
      </c>
      <c r="D620" s="6" t="s">
        <v>3386</v>
      </c>
      <c r="E620" s="9" t="s">
        <v>3387</v>
      </c>
      <c r="F620" s="13" t="s">
        <v>3389</v>
      </c>
      <c r="G620" s="18" t="str">
        <f t="shared" si="90"/>
        <v>CS00-01-02-6_Монтаж неперфорированного кабельного лотка ширина от 500 мм до 600 мм, без установки опор</v>
      </c>
      <c r="H620" s="19" t="s">
        <v>1262</v>
      </c>
      <c r="I620" s="18" t="s">
        <v>104</v>
      </c>
      <c r="J620" s="20">
        <v>1</v>
      </c>
      <c r="K620" s="20">
        <v>1.1499999999999999</v>
      </c>
      <c r="L620" s="21" t="s">
        <v>28</v>
      </c>
      <c r="M620" s="22">
        <v>0.85189999999999988</v>
      </c>
      <c r="N620" s="22">
        <v>1.9800000000000002E-2</v>
      </c>
      <c r="O620" s="22">
        <v>1007.6071541501975</v>
      </c>
      <c r="P620" s="22">
        <f t="shared" si="84"/>
        <v>987.13761481363599</v>
      </c>
      <c r="Q620" s="22">
        <v>2922.65</v>
      </c>
      <c r="R620" s="22">
        <f t="shared" si="85"/>
        <v>66.548740500000008</v>
      </c>
      <c r="S620" s="22">
        <f t="shared" si="86"/>
        <v>1053.6863553136359</v>
      </c>
      <c r="T620" s="23">
        <v>0.55859868298040061</v>
      </c>
      <c r="U620" s="24">
        <v>0.1</v>
      </c>
      <c r="V620" s="25">
        <f t="shared" si="89"/>
        <v>1806.5015822328764</v>
      </c>
      <c r="W620" s="26" t="s">
        <v>29</v>
      </c>
    </row>
    <row r="621" spans="1:23" ht="89.25" x14ac:dyDescent="0.25">
      <c r="A621" s="17">
        <f t="shared" ca="1" si="87"/>
        <v>617</v>
      </c>
      <c r="B621" s="18" t="s">
        <v>1245</v>
      </c>
      <c r="C621" s="18" t="s">
        <v>1263</v>
      </c>
      <c r="D621" s="6" t="s">
        <v>3386</v>
      </c>
      <c r="E621" s="9" t="s">
        <v>3387</v>
      </c>
      <c r="F621" s="13" t="s">
        <v>3389</v>
      </c>
      <c r="G621" s="18" t="str">
        <f t="shared" si="90"/>
        <v>CS00-01-02-7_Монтаж неперфорированного кабельного лотка ширина от 600 мм до 700 мм, без установки опор</v>
      </c>
      <c r="H621" s="19" t="s">
        <v>1264</v>
      </c>
      <c r="I621" s="18" t="s">
        <v>104</v>
      </c>
      <c r="J621" s="20">
        <v>1</v>
      </c>
      <c r="K621" s="20">
        <v>1.1499999999999999</v>
      </c>
      <c r="L621" s="21" t="s">
        <v>28</v>
      </c>
      <c r="M621" s="22">
        <v>0.86379999999999979</v>
      </c>
      <c r="N621" s="22">
        <v>2.1600000000000001E-2</v>
      </c>
      <c r="O621" s="22">
        <v>1007.6071541501975</v>
      </c>
      <c r="P621" s="22">
        <f t="shared" si="84"/>
        <v>1000.9267187181813</v>
      </c>
      <c r="Q621" s="22">
        <v>2922.65</v>
      </c>
      <c r="R621" s="22">
        <f t="shared" si="85"/>
        <v>72.598625999999996</v>
      </c>
      <c r="S621" s="22">
        <f t="shared" si="86"/>
        <v>1073.5253447181813</v>
      </c>
      <c r="T621" s="23">
        <v>0.55859868298040061</v>
      </c>
      <c r="U621" s="24">
        <v>0.1</v>
      </c>
      <c r="V621" s="25">
        <f t="shared" si="89"/>
        <v>1840.5147072662216</v>
      </c>
      <c r="W621" s="26" t="s">
        <v>29</v>
      </c>
    </row>
    <row r="622" spans="1:23" ht="89.25" x14ac:dyDescent="0.25">
      <c r="A622" s="17">
        <f t="shared" ca="1" si="87"/>
        <v>618</v>
      </c>
      <c r="B622" s="18" t="s">
        <v>1245</v>
      </c>
      <c r="C622" s="18" t="s">
        <v>1265</v>
      </c>
      <c r="D622" s="6" t="s">
        <v>3386</v>
      </c>
      <c r="E622" s="9" t="s">
        <v>3387</v>
      </c>
      <c r="F622" s="13" t="s">
        <v>3389</v>
      </c>
      <c r="G622" s="18" t="str">
        <f t="shared" si="90"/>
        <v>CS00-01-02-8_Монтаж неперфорированного кабельного лотка ширина от 700 мм до 800 мм, без установки опор</v>
      </c>
      <c r="H622" s="19" t="s">
        <v>1266</v>
      </c>
      <c r="I622" s="18" t="s">
        <v>104</v>
      </c>
      <c r="J622" s="20">
        <v>1</v>
      </c>
      <c r="K622" s="20">
        <v>1.1499999999999999</v>
      </c>
      <c r="L622" s="21" t="s">
        <v>28</v>
      </c>
      <c r="M622" s="22">
        <v>0.87149999999999983</v>
      </c>
      <c r="N622" s="22">
        <v>2.1600000000000001E-2</v>
      </c>
      <c r="O622" s="22">
        <v>1007.6071541501975</v>
      </c>
      <c r="P622" s="22">
        <f t="shared" si="84"/>
        <v>1009.8490800681815</v>
      </c>
      <c r="Q622" s="22">
        <v>2922.65</v>
      </c>
      <c r="R622" s="22">
        <f t="shared" si="85"/>
        <v>72.598625999999996</v>
      </c>
      <c r="S622" s="22">
        <f t="shared" si="86"/>
        <v>1082.4477060681816</v>
      </c>
      <c r="T622" s="23">
        <v>0.55859868298040061</v>
      </c>
      <c r="U622" s="24">
        <v>0.1</v>
      </c>
      <c r="V622" s="25">
        <f t="shared" si="89"/>
        <v>1855.8117259803262</v>
      </c>
      <c r="W622" s="26" t="s">
        <v>29</v>
      </c>
    </row>
    <row r="623" spans="1:23" ht="89.25" x14ac:dyDescent="0.25">
      <c r="A623" s="17">
        <f t="shared" ca="1" si="87"/>
        <v>619</v>
      </c>
      <c r="B623" s="18" t="s">
        <v>1245</v>
      </c>
      <c r="C623" s="18" t="s">
        <v>1267</v>
      </c>
      <c r="D623" s="6" t="s">
        <v>3386</v>
      </c>
      <c r="E623" s="9" t="s">
        <v>3387</v>
      </c>
      <c r="F623" s="13" t="s">
        <v>3389</v>
      </c>
      <c r="G623" s="18" t="str">
        <f t="shared" si="90"/>
        <v>CS00-01-02-9_Монтаж неперфорированного кабельного лотка ширина от 800 мм до 900 мм, без установки опор</v>
      </c>
      <c r="H623" s="19" t="s">
        <v>1268</v>
      </c>
      <c r="I623" s="18" t="s">
        <v>104</v>
      </c>
      <c r="J623" s="20">
        <v>1</v>
      </c>
      <c r="K623" s="20">
        <v>1.1499999999999999</v>
      </c>
      <c r="L623" s="21" t="s">
        <v>28</v>
      </c>
      <c r="M623" s="22">
        <v>1.0002999999999997</v>
      </c>
      <c r="N623" s="22">
        <v>2.3400000000000001E-2</v>
      </c>
      <c r="O623" s="22">
        <v>1007.6071541501975</v>
      </c>
      <c r="P623" s="22">
        <f t="shared" si="84"/>
        <v>1159.0958517409085</v>
      </c>
      <c r="Q623" s="22">
        <v>2922.65</v>
      </c>
      <c r="R623" s="22">
        <f t="shared" si="85"/>
        <v>78.648511499999998</v>
      </c>
      <c r="S623" s="22">
        <f t="shared" si="86"/>
        <v>1237.7443632409086</v>
      </c>
      <c r="T623" s="23">
        <v>0.55859868298040061</v>
      </c>
      <c r="U623" s="24">
        <v>0.1</v>
      </c>
      <c r="V623" s="25">
        <f t="shared" si="89"/>
        <v>2122.0614078550639</v>
      </c>
      <c r="W623" s="26" t="s">
        <v>29</v>
      </c>
    </row>
    <row r="624" spans="1:23" ht="89.25" x14ac:dyDescent="0.25">
      <c r="A624" s="17">
        <f t="shared" ca="1" si="87"/>
        <v>620</v>
      </c>
      <c r="B624" s="18" t="s">
        <v>1245</v>
      </c>
      <c r="C624" s="18" t="s">
        <v>1269</v>
      </c>
      <c r="D624" s="6" t="s">
        <v>3386</v>
      </c>
      <c r="E624" s="9" t="s">
        <v>3387</v>
      </c>
      <c r="F624" s="13" t="s">
        <v>3389</v>
      </c>
      <c r="G624" s="18" t="str">
        <f t="shared" si="90"/>
        <v>CS00-01-02-10_Монтаж неперфорированного кабельного лотка ширина от 900 мм до 1000 мм, без установки опор</v>
      </c>
      <c r="H624" s="19" t="s">
        <v>1270</v>
      </c>
      <c r="I624" s="18" t="s">
        <v>104</v>
      </c>
      <c r="J624" s="20">
        <v>1</v>
      </c>
      <c r="K624" s="20">
        <v>1.1499999999999999</v>
      </c>
      <c r="L624" s="21" t="s">
        <v>28</v>
      </c>
      <c r="M624" s="22">
        <v>1.0093999999999999</v>
      </c>
      <c r="N624" s="22">
        <v>2.3400000000000001E-2</v>
      </c>
      <c r="O624" s="22">
        <v>1007.6071541501975</v>
      </c>
      <c r="P624" s="22">
        <f t="shared" si="84"/>
        <v>1169.6404606090905</v>
      </c>
      <c r="Q624" s="22">
        <v>2922.65</v>
      </c>
      <c r="R624" s="22">
        <f t="shared" si="85"/>
        <v>78.648511499999998</v>
      </c>
      <c r="S624" s="22">
        <f t="shared" si="86"/>
        <v>1248.2889721090905</v>
      </c>
      <c r="T624" s="23">
        <v>0.55859868298040061</v>
      </c>
      <c r="U624" s="24">
        <v>0.1</v>
      </c>
      <c r="V624" s="25">
        <f t="shared" si="89"/>
        <v>2140.1397026990053</v>
      </c>
      <c r="W624" s="26" t="s">
        <v>29</v>
      </c>
    </row>
    <row r="625" spans="1:23" ht="89.25" x14ac:dyDescent="0.25">
      <c r="A625" s="17">
        <f t="shared" ca="1" si="87"/>
        <v>621</v>
      </c>
      <c r="B625" s="18" t="s">
        <v>1245</v>
      </c>
      <c r="C625" s="18" t="s">
        <v>1271</v>
      </c>
      <c r="D625" s="6" t="s">
        <v>3386</v>
      </c>
      <c r="E625" s="9" t="s">
        <v>3387</v>
      </c>
      <c r="F625" s="13" t="s">
        <v>3389</v>
      </c>
      <c r="G625" s="18" t="str">
        <f t="shared" si="90"/>
        <v>CS00-01-02-11_Монтаж перфорированного кабельного лотка ширина до 100 мм, без установки опор</v>
      </c>
      <c r="H625" s="19" t="s">
        <v>1272</v>
      </c>
      <c r="I625" s="18" t="s">
        <v>104</v>
      </c>
      <c r="J625" s="20">
        <v>1</v>
      </c>
      <c r="K625" s="20">
        <v>1.1499999999999999</v>
      </c>
      <c r="L625" s="21" t="s">
        <v>28</v>
      </c>
      <c r="M625" s="22">
        <v>0.55369999999999997</v>
      </c>
      <c r="N625" s="22">
        <v>1.5599999999999999E-2</v>
      </c>
      <c r="O625" s="22">
        <v>1007.6071541501975</v>
      </c>
      <c r="P625" s="22">
        <f t="shared" si="84"/>
        <v>641.59889344090891</v>
      </c>
      <c r="Q625" s="22">
        <v>2922.65</v>
      </c>
      <c r="R625" s="22">
        <f t="shared" si="85"/>
        <v>52.432340999999994</v>
      </c>
      <c r="S625" s="22">
        <f t="shared" si="86"/>
        <v>694.03123444090886</v>
      </c>
      <c r="T625" s="23">
        <v>0.55859868298040061</v>
      </c>
      <c r="U625" s="24">
        <v>0.1</v>
      </c>
      <c r="V625" s="25">
        <f t="shared" si="89"/>
        <v>1189.8877847415486</v>
      </c>
      <c r="W625" s="26" t="s">
        <v>29</v>
      </c>
    </row>
    <row r="626" spans="1:23" ht="89.25" x14ac:dyDescent="0.25">
      <c r="A626" s="17">
        <f t="shared" ca="1" si="87"/>
        <v>622</v>
      </c>
      <c r="B626" s="18" t="s">
        <v>1245</v>
      </c>
      <c r="C626" s="18" t="s">
        <v>1273</v>
      </c>
      <c r="D626" s="6" t="s">
        <v>3386</v>
      </c>
      <c r="E626" s="9" t="s">
        <v>3387</v>
      </c>
      <c r="F626" s="13" t="s">
        <v>3389</v>
      </c>
      <c r="G626" s="18" t="str">
        <f t="shared" si="90"/>
        <v>CS00-01-02-12_Монтаж перфорированного кабельного лотка ширина от 100 мм до 200 мм, без установки опор</v>
      </c>
      <c r="H626" s="19" t="s">
        <v>1274</v>
      </c>
      <c r="I626" s="18" t="s">
        <v>104</v>
      </c>
      <c r="J626" s="20">
        <v>1</v>
      </c>
      <c r="K626" s="20">
        <v>1.1499999999999999</v>
      </c>
      <c r="L626" s="21" t="s">
        <v>28</v>
      </c>
      <c r="M626" s="22">
        <v>0.55999999999999994</v>
      </c>
      <c r="N626" s="22">
        <v>1.5599999999999999E-2</v>
      </c>
      <c r="O626" s="22">
        <v>1007.6071541501975</v>
      </c>
      <c r="P626" s="22">
        <f t="shared" si="84"/>
        <v>648.89900727272709</v>
      </c>
      <c r="Q626" s="22">
        <v>2922.65</v>
      </c>
      <c r="R626" s="22">
        <f t="shared" si="85"/>
        <v>52.432340999999994</v>
      </c>
      <c r="S626" s="22">
        <f t="shared" si="86"/>
        <v>701.33134827272704</v>
      </c>
      <c r="T626" s="23">
        <v>0.55859868298040061</v>
      </c>
      <c r="U626" s="24">
        <v>0.1</v>
      </c>
      <c r="V626" s="25">
        <f t="shared" si="89"/>
        <v>1202.403527325815</v>
      </c>
      <c r="W626" s="26" t="s">
        <v>29</v>
      </c>
    </row>
    <row r="627" spans="1:23" ht="89.25" x14ac:dyDescent="0.25">
      <c r="A627" s="17">
        <f t="shared" ca="1" si="87"/>
        <v>623</v>
      </c>
      <c r="B627" s="18" t="s">
        <v>1245</v>
      </c>
      <c r="C627" s="18" t="s">
        <v>1275</v>
      </c>
      <c r="D627" s="6" t="s">
        <v>3386</v>
      </c>
      <c r="E627" s="9" t="s">
        <v>3387</v>
      </c>
      <c r="F627" s="13" t="s">
        <v>3389</v>
      </c>
      <c r="G627" s="18" t="str">
        <f t="shared" si="90"/>
        <v>CS00-01-02-13_Монтаж перфорированного кабельного лотка ширина от 200 мм до 300 мм, без установки опор</v>
      </c>
      <c r="H627" s="19" t="s">
        <v>1276</v>
      </c>
      <c r="I627" s="18" t="s">
        <v>104</v>
      </c>
      <c r="J627" s="20">
        <v>1</v>
      </c>
      <c r="K627" s="20">
        <v>1.1499999999999999</v>
      </c>
      <c r="L627" s="21" t="s">
        <v>28</v>
      </c>
      <c r="M627" s="22">
        <v>0.56840000000000002</v>
      </c>
      <c r="N627" s="22">
        <v>1.7399999999999999E-2</v>
      </c>
      <c r="O627" s="22">
        <v>1007.6071541501975</v>
      </c>
      <c r="P627" s="22">
        <f t="shared" si="84"/>
        <v>658.63249238181811</v>
      </c>
      <c r="Q627" s="22">
        <v>2922.65</v>
      </c>
      <c r="R627" s="22">
        <f t="shared" si="85"/>
        <v>58.482226499999996</v>
      </c>
      <c r="S627" s="22">
        <f t="shared" si="86"/>
        <v>717.11471888181813</v>
      </c>
      <c r="T627" s="23">
        <v>0.55859868298040061</v>
      </c>
      <c r="U627" s="24">
        <v>0.1</v>
      </c>
      <c r="V627" s="25">
        <f t="shared" si="89"/>
        <v>1229.4634620345682</v>
      </c>
      <c r="W627" s="26" t="s">
        <v>29</v>
      </c>
    </row>
    <row r="628" spans="1:23" ht="89.25" x14ac:dyDescent="0.25">
      <c r="A628" s="17">
        <f t="shared" ca="1" si="87"/>
        <v>624</v>
      </c>
      <c r="B628" s="18" t="s">
        <v>1245</v>
      </c>
      <c r="C628" s="18" t="s">
        <v>1277</v>
      </c>
      <c r="D628" s="6" t="s">
        <v>3386</v>
      </c>
      <c r="E628" s="9" t="s">
        <v>3387</v>
      </c>
      <c r="F628" s="13" t="s">
        <v>3389</v>
      </c>
      <c r="G628" s="18" t="str">
        <f t="shared" si="90"/>
        <v>CS00-01-02-14_Монтаж перфорированного кабельного лотка ширина от 300 мм до 400 мм, без установки опор</v>
      </c>
      <c r="H628" s="19" t="s">
        <v>1278</v>
      </c>
      <c r="I628" s="18" t="s">
        <v>104</v>
      </c>
      <c r="J628" s="20">
        <v>1</v>
      </c>
      <c r="K628" s="20">
        <v>1.1499999999999999</v>
      </c>
      <c r="L628" s="21" t="s">
        <v>28</v>
      </c>
      <c r="M628" s="22">
        <v>0.67269999999999996</v>
      </c>
      <c r="N628" s="22">
        <v>1.7399999999999999E-2</v>
      </c>
      <c r="O628" s="22">
        <v>1007.6071541501975</v>
      </c>
      <c r="P628" s="22">
        <f t="shared" si="84"/>
        <v>779.48993248636339</v>
      </c>
      <c r="Q628" s="22">
        <v>2922.65</v>
      </c>
      <c r="R628" s="22">
        <f t="shared" si="85"/>
        <v>58.482226499999996</v>
      </c>
      <c r="S628" s="22">
        <f t="shared" si="86"/>
        <v>837.97215898636341</v>
      </c>
      <c r="T628" s="23">
        <v>0.55859868298040061</v>
      </c>
      <c r="U628" s="24">
        <v>0.1</v>
      </c>
      <c r="V628" s="25">
        <f t="shared" si="89"/>
        <v>1436.6685337074277</v>
      </c>
      <c r="W628" s="26" t="s">
        <v>29</v>
      </c>
    </row>
    <row r="629" spans="1:23" ht="89.25" x14ac:dyDescent="0.25">
      <c r="A629" s="17">
        <f t="shared" ca="1" si="87"/>
        <v>625</v>
      </c>
      <c r="B629" s="18" t="s">
        <v>1245</v>
      </c>
      <c r="C629" s="18" t="s">
        <v>1279</v>
      </c>
      <c r="D629" s="6" t="s">
        <v>3386</v>
      </c>
      <c r="E629" s="9" t="s">
        <v>3387</v>
      </c>
      <c r="F629" s="13" t="s">
        <v>3389</v>
      </c>
      <c r="G629" s="18" t="str">
        <f t="shared" si="90"/>
        <v>CS00-01-02-15_Монтаж перфорированного кабельного лотка ширина от 400 мм до 500 мм, без установки опор</v>
      </c>
      <c r="H629" s="19" t="s">
        <v>1280</v>
      </c>
      <c r="I629" s="18" t="s">
        <v>104</v>
      </c>
      <c r="J629" s="20">
        <v>1</v>
      </c>
      <c r="K629" s="20">
        <v>1.1499999999999999</v>
      </c>
      <c r="L629" s="21" t="s">
        <v>28</v>
      </c>
      <c r="M629" s="22">
        <v>0.68319999999999992</v>
      </c>
      <c r="N629" s="22">
        <v>1.9800000000000002E-2</v>
      </c>
      <c r="O629" s="22">
        <v>1007.6071541501975</v>
      </c>
      <c r="P629" s="22">
        <f t="shared" si="84"/>
        <v>791.65678887272702</v>
      </c>
      <c r="Q629" s="22">
        <v>2922.65</v>
      </c>
      <c r="R629" s="22">
        <f t="shared" si="85"/>
        <v>66.548740500000008</v>
      </c>
      <c r="S629" s="22">
        <f t="shared" si="86"/>
        <v>858.20552937272703</v>
      </c>
      <c r="T629" s="23">
        <v>0.55859868298040061</v>
      </c>
      <c r="U629" s="24">
        <v>0.1</v>
      </c>
      <c r="V629" s="25">
        <f t="shared" si="89"/>
        <v>1471.3578085875129</v>
      </c>
      <c r="W629" s="26" t="s">
        <v>29</v>
      </c>
    </row>
    <row r="630" spans="1:23" ht="89.25" x14ac:dyDescent="0.25">
      <c r="A630" s="17">
        <f t="shared" ca="1" si="87"/>
        <v>626</v>
      </c>
      <c r="B630" s="18" t="s">
        <v>1245</v>
      </c>
      <c r="C630" s="18" t="s">
        <v>1281</v>
      </c>
      <c r="D630" s="6" t="s">
        <v>3386</v>
      </c>
      <c r="E630" s="9" t="s">
        <v>3387</v>
      </c>
      <c r="F630" s="13" t="s">
        <v>3389</v>
      </c>
      <c r="G630" s="18" t="str">
        <f t="shared" si="90"/>
        <v>CS00-01-02-16_Монтаж перфорированного кабельного лотка ширина от 500 мм до 600 мм, без установки опор</v>
      </c>
      <c r="H630" s="19" t="s">
        <v>1282</v>
      </c>
      <c r="I630" s="18" t="s">
        <v>104</v>
      </c>
      <c r="J630" s="20">
        <v>1</v>
      </c>
      <c r="K630" s="20">
        <v>1.1499999999999999</v>
      </c>
      <c r="L630" s="21" t="s">
        <v>28</v>
      </c>
      <c r="M630" s="22">
        <v>0.68879999999999997</v>
      </c>
      <c r="N630" s="22">
        <v>1.9800000000000002E-2</v>
      </c>
      <c r="O630" s="22">
        <v>1007.6071541501975</v>
      </c>
      <c r="P630" s="22">
        <f t="shared" si="84"/>
        <v>798.14577894545437</v>
      </c>
      <c r="Q630" s="22">
        <v>2922.65</v>
      </c>
      <c r="R630" s="22">
        <f t="shared" si="85"/>
        <v>66.548740500000008</v>
      </c>
      <c r="S630" s="22">
        <f t="shared" si="86"/>
        <v>864.69451944545438</v>
      </c>
      <c r="T630" s="23">
        <v>0.55859868298040061</v>
      </c>
      <c r="U630" s="24">
        <v>0.1</v>
      </c>
      <c r="V630" s="25">
        <f t="shared" si="89"/>
        <v>1482.4829131068611</v>
      </c>
      <c r="W630" s="26" t="s">
        <v>29</v>
      </c>
    </row>
    <row r="631" spans="1:23" ht="89.25" x14ac:dyDescent="0.25">
      <c r="A631" s="17">
        <f t="shared" ca="1" si="87"/>
        <v>627</v>
      </c>
      <c r="B631" s="18" t="s">
        <v>1245</v>
      </c>
      <c r="C631" s="18" t="s">
        <v>1283</v>
      </c>
      <c r="D631" s="6" t="s">
        <v>3386</v>
      </c>
      <c r="E631" s="9" t="s">
        <v>3387</v>
      </c>
      <c r="F631" s="13" t="s">
        <v>3389</v>
      </c>
      <c r="G631" s="18" t="str">
        <f t="shared" si="90"/>
        <v>CS00-01-02-17_Монтаж перфорированного кабельного лотка ширина от 600 мм до 700 мм, без установки опор</v>
      </c>
      <c r="H631" s="19" t="s">
        <v>1284</v>
      </c>
      <c r="I631" s="18" t="s">
        <v>104</v>
      </c>
      <c r="J631" s="20">
        <v>1</v>
      </c>
      <c r="K631" s="20">
        <v>1.1499999999999999</v>
      </c>
      <c r="L631" s="21" t="s">
        <v>28</v>
      </c>
      <c r="M631" s="22">
        <v>0.80429999999999979</v>
      </c>
      <c r="N631" s="22">
        <v>2.1600000000000001E-2</v>
      </c>
      <c r="O631" s="22">
        <v>1007.6071541501975</v>
      </c>
      <c r="P631" s="22">
        <f t="shared" si="84"/>
        <v>931.98119919545411</v>
      </c>
      <c r="Q631" s="22">
        <v>2922.65</v>
      </c>
      <c r="R631" s="22">
        <f t="shared" si="85"/>
        <v>72.598625999999996</v>
      </c>
      <c r="S631" s="22">
        <f t="shared" si="86"/>
        <v>1004.5798251954541</v>
      </c>
      <c r="T631" s="23">
        <v>0.55859868298040061</v>
      </c>
      <c r="U631" s="24">
        <v>0.1</v>
      </c>
      <c r="V631" s="25">
        <f t="shared" si="89"/>
        <v>1722.3104717481476</v>
      </c>
      <c r="W631" s="26" t="s">
        <v>29</v>
      </c>
    </row>
    <row r="632" spans="1:23" ht="89.25" x14ac:dyDescent="0.25">
      <c r="A632" s="17">
        <f t="shared" ca="1" si="87"/>
        <v>628</v>
      </c>
      <c r="B632" s="18" t="s">
        <v>1245</v>
      </c>
      <c r="C632" s="18" t="s">
        <v>1285</v>
      </c>
      <c r="D632" s="6" t="s">
        <v>3386</v>
      </c>
      <c r="E632" s="9" t="s">
        <v>3387</v>
      </c>
      <c r="F632" s="13" t="s">
        <v>3389</v>
      </c>
      <c r="G632" s="18" t="str">
        <f t="shared" si="90"/>
        <v>CS00-01-02-18_Монтаж перфорированного кабельного лотка ширина от 700 мм до 800 мм, без установки опор</v>
      </c>
      <c r="H632" s="19" t="s">
        <v>1286</v>
      </c>
      <c r="I632" s="18" t="s">
        <v>104</v>
      </c>
      <c r="J632" s="20">
        <v>1</v>
      </c>
      <c r="K632" s="20">
        <v>1.1499999999999999</v>
      </c>
      <c r="L632" s="21" t="s">
        <v>28</v>
      </c>
      <c r="M632" s="22">
        <v>0.8112999999999998</v>
      </c>
      <c r="N632" s="22">
        <v>2.1600000000000001E-2</v>
      </c>
      <c r="O632" s="22">
        <v>1007.6071541501975</v>
      </c>
      <c r="P632" s="22">
        <f t="shared" si="84"/>
        <v>940.09243678636312</v>
      </c>
      <c r="Q632" s="22">
        <v>2922.65</v>
      </c>
      <c r="R632" s="22">
        <f t="shared" si="85"/>
        <v>72.598625999999996</v>
      </c>
      <c r="S632" s="22">
        <f t="shared" si="86"/>
        <v>1012.6910627863631</v>
      </c>
      <c r="T632" s="23">
        <v>0.55859868298040061</v>
      </c>
      <c r="U632" s="24">
        <v>0.1</v>
      </c>
      <c r="V632" s="25">
        <f t="shared" si="89"/>
        <v>1736.2168523973326</v>
      </c>
      <c r="W632" s="26" t="s">
        <v>29</v>
      </c>
    </row>
    <row r="633" spans="1:23" ht="89.25" x14ac:dyDescent="0.25">
      <c r="A633" s="17">
        <f t="shared" ca="1" si="87"/>
        <v>629</v>
      </c>
      <c r="B633" s="18" t="s">
        <v>1245</v>
      </c>
      <c r="C633" s="18" t="s">
        <v>1287</v>
      </c>
      <c r="D633" s="6" t="s">
        <v>3386</v>
      </c>
      <c r="E633" s="9" t="s">
        <v>3387</v>
      </c>
      <c r="F633" s="13" t="s">
        <v>3389</v>
      </c>
      <c r="G633" s="18" t="str">
        <f t="shared" si="90"/>
        <v>CS00-01-02-19_Монтаж перфорированного кабельного лотка ширина от 800 мм до 900 мм, без установки опор</v>
      </c>
      <c r="H633" s="19" t="s">
        <v>1288</v>
      </c>
      <c r="I633" s="18" t="s">
        <v>104</v>
      </c>
      <c r="J633" s="20">
        <v>1</v>
      </c>
      <c r="K633" s="20">
        <v>1.1499999999999999</v>
      </c>
      <c r="L633" s="21" t="s">
        <v>28</v>
      </c>
      <c r="M633" s="22">
        <v>0.82389999999999985</v>
      </c>
      <c r="N633" s="22">
        <v>2.3400000000000001E-2</v>
      </c>
      <c r="O633" s="22">
        <v>1007.6071541501975</v>
      </c>
      <c r="P633" s="22">
        <f t="shared" si="84"/>
        <v>954.6926644499996</v>
      </c>
      <c r="Q633" s="22">
        <v>2922.65</v>
      </c>
      <c r="R633" s="22">
        <f t="shared" si="85"/>
        <v>78.648511499999998</v>
      </c>
      <c r="S633" s="22">
        <f t="shared" si="86"/>
        <v>1033.3411759499995</v>
      </c>
      <c r="T633" s="23">
        <v>0.55859868298040061</v>
      </c>
      <c r="U633" s="24">
        <v>0.1</v>
      </c>
      <c r="V633" s="25">
        <f t="shared" si="89"/>
        <v>1771.6206154955964</v>
      </c>
      <c r="W633" s="26" t="s">
        <v>29</v>
      </c>
    </row>
    <row r="634" spans="1:23" ht="89.25" x14ac:dyDescent="0.25">
      <c r="A634" s="17">
        <f t="shared" ca="1" si="87"/>
        <v>630</v>
      </c>
      <c r="B634" s="18" t="s">
        <v>1245</v>
      </c>
      <c r="C634" s="18" t="s">
        <v>1289</v>
      </c>
      <c r="D634" s="6" t="s">
        <v>3386</v>
      </c>
      <c r="E634" s="9" t="s">
        <v>3387</v>
      </c>
      <c r="F634" s="13" t="s">
        <v>3389</v>
      </c>
      <c r="G634" s="18" t="str">
        <f t="shared" si="90"/>
        <v>CS00-01-02-20_Монтаж перфорированного кабельного лотка ширина от 900 мм до 1000 мм, без установки опор</v>
      </c>
      <c r="H634" s="19" t="s">
        <v>1290</v>
      </c>
      <c r="I634" s="18" t="s">
        <v>104</v>
      </c>
      <c r="J634" s="20">
        <v>1</v>
      </c>
      <c r="K634" s="20">
        <v>1.1499999999999999</v>
      </c>
      <c r="L634" s="21" t="s">
        <v>28</v>
      </c>
      <c r="M634" s="22">
        <v>0.94149999999999989</v>
      </c>
      <c r="N634" s="22">
        <v>2.3400000000000001E-2</v>
      </c>
      <c r="O634" s="22">
        <v>1007.6071541501975</v>
      </c>
      <c r="P634" s="22">
        <f t="shared" si="84"/>
        <v>1090.9614559772724</v>
      </c>
      <c r="Q634" s="22">
        <v>2922.65</v>
      </c>
      <c r="R634" s="22">
        <f t="shared" si="85"/>
        <v>78.648511499999998</v>
      </c>
      <c r="S634" s="22">
        <f t="shared" si="86"/>
        <v>1169.6099674772724</v>
      </c>
      <c r="T634" s="23">
        <v>0.55859868298040061</v>
      </c>
      <c r="U634" s="24">
        <v>0.1</v>
      </c>
      <c r="V634" s="25">
        <f t="shared" si="89"/>
        <v>2005.2478104019087</v>
      </c>
      <c r="W634" s="26" t="s">
        <v>29</v>
      </c>
    </row>
    <row r="635" spans="1:23" x14ac:dyDescent="0.25">
      <c r="A635" s="12">
        <f t="shared" ca="1" si="87"/>
        <v>631</v>
      </c>
      <c r="B635" s="13" t="s">
        <v>1245</v>
      </c>
      <c r="C635" s="13" t="s">
        <v>1291</v>
      </c>
      <c r="D635" s="6" t="s">
        <v>3386</v>
      </c>
      <c r="E635" s="13"/>
      <c r="F635" s="13"/>
      <c r="G635" s="13"/>
      <c r="H635" s="15" t="s">
        <v>1292</v>
      </c>
      <c r="I635" s="3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27"/>
      <c r="U635" s="16"/>
      <c r="V635" s="13"/>
      <c r="W635" s="13"/>
    </row>
    <row r="636" spans="1:23" ht="89.25" x14ac:dyDescent="0.25">
      <c r="A636" s="17">
        <f t="shared" ca="1" si="87"/>
        <v>632</v>
      </c>
      <c r="B636" s="18" t="s">
        <v>1245</v>
      </c>
      <c r="C636" s="18" t="s">
        <v>1293</v>
      </c>
      <c r="D636" s="6" t="s">
        <v>3386</v>
      </c>
      <c r="E636" s="18" t="str">
        <f>CONCATENATE($C$635,"_",$H$635)</f>
        <v>CS00-02-03_Монтаж пластиковых коробов с крышкой, включая все фитинги</v>
      </c>
      <c r="F636" s="18"/>
      <c r="G636" s="18" t="str">
        <f t="shared" si="90"/>
        <v>CS00-02-03-1_Монтаж пластикового короба с крышкой, до 60 мм включительно</v>
      </c>
      <c r="H636" s="19" t="s">
        <v>1294</v>
      </c>
      <c r="I636" s="18" t="s">
        <v>104</v>
      </c>
      <c r="J636" s="20">
        <v>1</v>
      </c>
      <c r="K636" s="20">
        <v>1.1499999999999999</v>
      </c>
      <c r="L636" s="21" t="s">
        <v>28</v>
      </c>
      <c r="M636" s="22">
        <v>0.1162</v>
      </c>
      <c r="N636" s="22">
        <v>8.3999999999999995E-3</v>
      </c>
      <c r="O636" s="22">
        <v>1007.6071541501975</v>
      </c>
      <c r="P636" s="22">
        <f t="shared" si="84"/>
        <v>134.64654400909089</v>
      </c>
      <c r="Q636" s="22">
        <v>2922.65</v>
      </c>
      <c r="R636" s="22">
        <f t="shared" si="85"/>
        <v>28.232798999999996</v>
      </c>
      <c r="S636" s="22">
        <f t="shared" si="86"/>
        <v>162.87934300909089</v>
      </c>
      <c r="T636" s="23">
        <v>0.55859868298040061</v>
      </c>
      <c r="U636" s="24">
        <v>0.1</v>
      </c>
      <c r="V636" s="25">
        <f t="shared" ref="V636:V640" si="91">S636+S636*T636+(S636+S636*T636)*U636</f>
        <v>279.24988244855018</v>
      </c>
      <c r="W636" s="26" t="s">
        <v>29</v>
      </c>
    </row>
    <row r="637" spans="1:23" ht="89.25" x14ac:dyDescent="0.25">
      <c r="A637" s="17">
        <f t="shared" ca="1" si="87"/>
        <v>633</v>
      </c>
      <c r="B637" s="18" t="s">
        <v>1245</v>
      </c>
      <c r="C637" s="18" t="s">
        <v>1295</v>
      </c>
      <c r="D637" s="6" t="s">
        <v>3386</v>
      </c>
      <c r="E637" s="18" t="str">
        <f t="shared" ref="E637:E640" si="92">CONCATENATE($C$635,"_",$H$635)</f>
        <v>CS00-02-03_Монтаж пластиковых коробов с крышкой, включая все фитинги</v>
      </c>
      <c r="F637" s="18"/>
      <c r="G637" s="18" t="str">
        <f t="shared" si="90"/>
        <v>CS00-02-03-2_Монтаж пластикового короба с крышкой, от 61 мм до 100 мм включительно</v>
      </c>
      <c r="H637" s="19" t="s">
        <v>1296</v>
      </c>
      <c r="I637" s="18" t="s">
        <v>104</v>
      </c>
      <c r="J637" s="20">
        <v>1</v>
      </c>
      <c r="K637" s="20">
        <v>1.1499999999999999</v>
      </c>
      <c r="L637" s="21" t="s">
        <v>28</v>
      </c>
      <c r="M637" s="22">
        <v>0.12390000000000001</v>
      </c>
      <c r="N637" s="22">
        <v>8.9999999999999993E-3</v>
      </c>
      <c r="O637" s="22">
        <v>1007.6071541501975</v>
      </c>
      <c r="P637" s="22">
        <f t="shared" si="84"/>
        <v>143.56890535909088</v>
      </c>
      <c r="Q637" s="22">
        <v>2922.65</v>
      </c>
      <c r="R637" s="22">
        <f t="shared" si="85"/>
        <v>30.249427499999996</v>
      </c>
      <c r="S637" s="22">
        <f t="shared" si="86"/>
        <v>173.81833285909087</v>
      </c>
      <c r="T637" s="23">
        <v>0.55859868298040061</v>
      </c>
      <c r="U637" s="24">
        <v>0.1</v>
      </c>
      <c r="V637" s="25">
        <f t="shared" si="91"/>
        <v>298.00432713923072</v>
      </c>
      <c r="W637" s="26" t="s">
        <v>29</v>
      </c>
    </row>
    <row r="638" spans="1:23" ht="89.25" x14ac:dyDescent="0.25">
      <c r="A638" s="17">
        <f t="shared" ca="1" si="87"/>
        <v>634</v>
      </c>
      <c r="B638" s="18" t="s">
        <v>1245</v>
      </c>
      <c r="C638" s="18" t="s">
        <v>1297</v>
      </c>
      <c r="D638" s="6" t="s">
        <v>3386</v>
      </c>
      <c r="E638" s="18" t="str">
        <f t="shared" si="92"/>
        <v>CS00-02-03_Монтаж пластиковых коробов с крышкой, включая все фитинги</v>
      </c>
      <c r="F638" s="18"/>
      <c r="G638" s="18" t="str">
        <f t="shared" ref="G638:G640" si="93">CONCATENATE(C638,"_",H638)</f>
        <v>CS00-02-03-3_Монтаж пластикового короба с крышкой, от 101 мм до 150 мм включительно</v>
      </c>
      <c r="H638" s="19" t="s">
        <v>1298</v>
      </c>
      <c r="I638" s="18" t="s">
        <v>104</v>
      </c>
      <c r="J638" s="20">
        <v>1</v>
      </c>
      <c r="K638" s="20">
        <v>1.1499999999999999</v>
      </c>
      <c r="L638" s="21" t="s">
        <v>28</v>
      </c>
      <c r="M638" s="22">
        <v>0.1484</v>
      </c>
      <c r="N638" s="22">
        <v>9.5999999999999992E-3</v>
      </c>
      <c r="O638" s="22">
        <v>1007.6071541501975</v>
      </c>
      <c r="P638" s="22">
        <f t="shared" si="84"/>
        <v>171.95823692727271</v>
      </c>
      <c r="Q638" s="22">
        <v>2922.65</v>
      </c>
      <c r="R638" s="22">
        <f t="shared" si="85"/>
        <v>32.266055999999999</v>
      </c>
      <c r="S638" s="22">
        <f t="shared" si="86"/>
        <v>204.2242929272727</v>
      </c>
      <c r="T638" s="23">
        <v>0.55859868298040061</v>
      </c>
      <c r="U638" s="24">
        <v>0.1</v>
      </c>
      <c r="V638" s="25">
        <f t="shared" si="91"/>
        <v>350.13408538795585</v>
      </c>
      <c r="W638" s="26" t="s">
        <v>29</v>
      </c>
    </row>
    <row r="639" spans="1:23" ht="89.25" x14ac:dyDescent="0.25">
      <c r="A639" s="17">
        <f t="shared" ca="1" si="87"/>
        <v>635</v>
      </c>
      <c r="B639" s="18" t="s">
        <v>1245</v>
      </c>
      <c r="C639" s="18" t="s">
        <v>1299</v>
      </c>
      <c r="D639" s="6" t="s">
        <v>3386</v>
      </c>
      <c r="E639" s="18" t="str">
        <f t="shared" si="92"/>
        <v>CS00-02-03_Монтаж пластиковых коробов с крышкой, включая все фитинги</v>
      </c>
      <c r="F639" s="18"/>
      <c r="G639" s="18" t="str">
        <f t="shared" si="93"/>
        <v>CS00-02-03-4_Монтаж пластикового короба с крышкой, от 151 мм до 200 мм включительно</v>
      </c>
      <c r="H639" s="19" t="s">
        <v>1300</v>
      </c>
      <c r="I639" s="18" t="s">
        <v>104</v>
      </c>
      <c r="J639" s="20">
        <v>1</v>
      </c>
      <c r="K639" s="20">
        <v>1.1499999999999999</v>
      </c>
      <c r="L639" s="21" t="s">
        <v>28</v>
      </c>
      <c r="M639" s="22">
        <v>0.15679999999999999</v>
      </c>
      <c r="N639" s="22">
        <v>9.5999999999999992E-3</v>
      </c>
      <c r="O639" s="22">
        <v>1007.6071541501975</v>
      </c>
      <c r="P639" s="22">
        <f t="shared" ref="P639:P700" si="94">O639*M639*K639</f>
        <v>181.69172203636359</v>
      </c>
      <c r="Q639" s="22">
        <v>2922.65</v>
      </c>
      <c r="R639" s="22">
        <f t="shared" ref="R639:R700" si="95">N639*Q639*K639</f>
        <v>32.266055999999999</v>
      </c>
      <c r="S639" s="22">
        <f t="shared" ref="S639:S700" si="96">P639+R639</f>
        <v>213.95777803636358</v>
      </c>
      <c r="T639" s="23">
        <v>0.55859868298040061</v>
      </c>
      <c r="U639" s="24">
        <v>0.1</v>
      </c>
      <c r="V639" s="25">
        <f t="shared" si="91"/>
        <v>366.82174216697803</v>
      </c>
      <c r="W639" s="26" t="s">
        <v>29</v>
      </c>
    </row>
    <row r="640" spans="1:23" ht="89.25" x14ac:dyDescent="0.25">
      <c r="A640" s="17">
        <f t="shared" ca="1" si="87"/>
        <v>636</v>
      </c>
      <c r="B640" s="18" t="s">
        <v>1245</v>
      </c>
      <c r="C640" s="18" t="s">
        <v>1301</v>
      </c>
      <c r="D640" s="6" t="s">
        <v>3386</v>
      </c>
      <c r="E640" s="18" t="str">
        <f t="shared" si="92"/>
        <v>CS00-02-03_Монтаж пластиковых коробов с крышкой, включая все фитинги</v>
      </c>
      <c r="F640" s="18"/>
      <c r="G640" s="18" t="str">
        <f t="shared" si="93"/>
        <v>CS00-02-03-5_Монтаж пластикового короба с крышкой, от 201 мм до 250 мм включительно</v>
      </c>
      <c r="H640" s="19" t="s">
        <v>1302</v>
      </c>
      <c r="I640" s="18" t="s">
        <v>104</v>
      </c>
      <c r="J640" s="20">
        <v>1</v>
      </c>
      <c r="K640" s="20">
        <v>1.1499999999999999</v>
      </c>
      <c r="L640" s="21" t="s">
        <v>28</v>
      </c>
      <c r="M640" s="22">
        <v>0.16170000000000001</v>
      </c>
      <c r="N640" s="22">
        <v>9.5999999999999992E-3</v>
      </c>
      <c r="O640" s="22">
        <v>1007.6071541501975</v>
      </c>
      <c r="P640" s="22">
        <f t="shared" si="94"/>
        <v>187.36958834999999</v>
      </c>
      <c r="Q640" s="22">
        <v>2922.65</v>
      </c>
      <c r="R640" s="22">
        <f t="shared" si="95"/>
        <v>32.266055999999999</v>
      </c>
      <c r="S640" s="22">
        <f t="shared" si="96"/>
        <v>219.63564434999998</v>
      </c>
      <c r="T640" s="23">
        <v>0.55859868298040061</v>
      </c>
      <c r="U640" s="24">
        <v>0.1</v>
      </c>
      <c r="V640" s="25">
        <f t="shared" si="91"/>
        <v>376.55620862140779</v>
      </c>
      <c r="W640" s="26" t="s">
        <v>29</v>
      </c>
    </row>
    <row r="641" spans="1:23" x14ac:dyDescent="0.25">
      <c r="A641" s="28">
        <f t="shared" ca="1" si="87"/>
        <v>637</v>
      </c>
      <c r="B641" s="9" t="s">
        <v>1245</v>
      </c>
      <c r="C641" s="9" t="s">
        <v>1303</v>
      </c>
      <c r="D641" s="6" t="s">
        <v>3386</v>
      </c>
      <c r="E641" s="9"/>
      <c r="F641" s="9"/>
      <c r="G641" s="9"/>
      <c r="H641" s="10" t="s">
        <v>1304</v>
      </c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29"/>
      <c r="U641" s="11"/>
      <c r="V641" s="9"/>
      <c r="W641" s="9"/>
    </row>
    <row r="642" spans="1:23" x14ac:dyDescent="0.25">
      <c r="A642" s="12">
        <f t="shared" ca="1" si="87"/>
        <v>638</v>
      </c>
      <c r="B642" s="13" t="s">
        <v>1245</v>
      </c>
      <c r="C642" s="13" t="s">
        <v>1305</v>
      </c>
      <c r="D642" s="6" t="s">
        <v>3386</v>
      </c>
      <c r="E642" s="13"/>
      <c r="F642" s="13"/>
      <c r="G642" s="13"/>
      <c r="H642" s="15" t="s">
        <v>1304</v>
      </c>
      <c r="I642" s="3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27"/>
      <c r="U642" s="16"/>
      <c r="V642" s="13"/>
      <c r="W642" s="13"/>
    </row>
    <row r="643" spans="1:23" ht="89.25" x14ac:dyDescent="0.25">
      <c r="A643" s="17">
        <f t="shared" ref="A643:A706" ca="1" si="97">CELL("строка",A643)-4</f>
        <v>639</v>
      </c>
      <c r="B643" s="18" t="s">
        <v>1245</v>
      </c>
      <c r="C643" s="18" t="s">
        <v>1306</v>
      </c>
      <c r="D643" s="6" t="s">
        <v>3386</v>
      </c>
      <c r="E643" s="18" t="str">
        <f>CONCATENATE($C$642,"_",$H$642)</f>
        <v>CS00-03-01_Монтаж крышек для кабельных лотков</v>
      </c>
      <c r="F643" s="18"/>
      <c r="G643" s="18" t="str">
        <f t="shared" ref="G643:G652" si="98">CONCATENATE(C643,"_",H643)</f>
        <v>CS00-03-01-1_Монтаж крышки кабельного лотка ширина до 100 мм</v>
      </c>
      <c r="H643" s="19" t="s">
        <v>1307</v>
      </c>
      <c r="I643" s="18" t="s">
        <v>104</v>
      </c>
      <c r="J643" s="20">
        <v>1</v>
      </c>
      <c r="K643" s="20">
        <v>1.1499999999999999</v>
      </c>
      <c r="L643" s="21" t="s">
        <v>28</v>
      </c>
      <c r="M643" s="22">
        <v>0.1288</v>
      </c>
      <c r="N643" s="22">
        <v>2.1600000000000001E-2</v>
      </c>
      <c r="O643" s="22">
        <v>1007.6071541501975</v>
      </c>
      <c r="P643" s="22">
        <f t="shared" si="94"/>
        <v>149.24677167272725</v>
      </c>
      <c r="Q643" s="22">
        <v>2922.65</v>
      </c>
      <c r="R643" s="22">
        <f t="shared" si="95"/>
        <v>72.598625999999996</v>
      </c>
      <c r="S643" s="22">
        <f t="shared" si="96"/>
        <v>221.84539767272724</v>
      </c>
      <c r="T643" s="23">
        <v>0.55859868298040061</v>
      </c>
      <c r="U643" s="24">
        <v>0.1</v>
      </c>
      <c r="V643" s="25">
        <f t="shared" ref="V643:V652" si="99">S643+S643*T643+(S643+S643*T643)*U643</f>
        <v>380.34473910177348</v>
      </c>
      <c r="W643" s="26" t="s">
        <v>29</v>
      </c>
    </row>
    <row r="644" spans="1:23" ht="89.25" x14ac:dyDescent="0.25">
      <c r="A644" s="17">
        <f t="shared" ca="1" si="97"/>
        <v>640</v>
      </c>
      <c r="B644" s="18" t="s">
        <v>1245</v>
      </c>
      <c r="C644" s="18" t="s">
        <v>1308</v>
      </c>
      <c r="D644" s="6" t="s">
        <v>3386</v>
      </c>
      <c r="E644" s="18" t="str">
        <f t="shared" ref="E644:E653" si="100">CONCATENATE($C$642,"_",$H$642)</f>
        <v>CS00-03-01_Монтаж крышек для кабельных лотков</v>
      </c>
      <c r="F644" s="18"/>
      <c r="G644" s="18" t="str">
        <f t="shared" si="98"/>
        <v>CS00-03-01-2_Монтаж крышки кабельного лотка ширина от 100 мм до 200 мм</v>
      </c>
      <c r="H644" s="19" t="s">
        <v>1309</v>
      </c>
      <c r="I644" s="18" t="s">
        <v>104</v>
      </c>
      <c r="J644" s="20">
        <v>1</v>
      </c>
      <c r="K644" s="20">
        <v>1.1499999999999999</v>
      </c>
      <c r="L644" s="21" t="s">
        <v>28</v>
      </c>
      <c r="M644" s="22">
        <v>0.15189999999999998</v>
      </c>
      <c r="N644" s="22">
        <v>2.1600000000000001E-2</v>
      </c>
      <c r="O644" s="22">
        <v>1007.6071541501975</v>
      </c>
      <c r="P644" s="22">
        <f t="shared" si="94"/>
        <v>176.01385572272721</v>
      </c>
      <c r="Q644" s="22">
        <v>2922.65</v>
      </c>
      <c r="R644" s="22">
        <f t="shared" si="95"/>
        <v>72.598625999999996</v>
      </c>
      <c r="S644" s="22">
        <f t="shared" si="96"/>
        <v>248.61248172272721</v>
      </c>
      <c r="T644" s="23">
        <v>0.55859868298040061</v>
      </c>
      <c r="U644" s="24">
        <v>0.1</v>
      </c>
      <c r="V644" s="25">
        <f t="shared" si="99"/>
        <v>426.23579524408467</v>
      </c>
      <c r="W644" s="26" t="s">
        <v>29</v>
      </c>
    </row>
    <row r="645" spans="1:23" ht="89.25" x14ac:dyDescent="0.25">
      <c r="A645" s="17">
        <f t="shared" ca="1" si="97"/>
        <v>641</v>
      </c>
      <c r="B645" s="18" t="s">
        <v>1245</v>
      </c>
      <c r="C645" s="18" t="s">
        <v>1310</v>
      </c>
      <c r="D645" s="6" t="s">
        <v>3386</v>
      </c>
      <c r="E645" s="18" t="str">
        <f t="shared" si="100"/>
        <v>CS00-03-01_Монтаж крышек для кабельных лотков</v>
      </c>
      <c r="F645" s="18"/>
      <c r="G645" s="18" t="str">
        <f t="shared" si="98"/>
        <v>CS00-03-01-3_Монтаж крышки кабельного лотка ширина от 200 мм до 300 мм</v>
      </c>
      <c r="H645" s="19" t="s">
        <v>1311</v>
      </c>
      <c r="I645" s="18" t="s">
        <v>104</v>
      </c>
      <c r="J645" s="20">
        <v>1</v>
      </c>
      <c r="K645" s="20">
        <v>1.1499999999999999</v>
      </c>
      <c r="L645" s="21" t="s">
        <v>28</v>
      </c>
      <c r="M645" s="22">
        <v>0.15609999999999999</v>
      </c>
      <c r="N645" s="22">
        <v>2.1600000000000001E-2</v>
      </c>
      <c r="O645" s="22">
        <v>1007.6071541501975</v>
      </c>
      <c r="P645" s="22">
        <f t="shared" si="94"/>
        <v>180.88059827727267</v>
      </c>
      <c r="Q645" s="22">
        <v>2922.65</v>
      </c>
      <c r="R645" s="22">
        <f t="shared" si="95"/>
        <v>72.598625999999996</v>
      </c>
      <c r="S645" s="22">
        <f t="shared" si="96"/>
        <v>253.47922427727266</v>
      </c>
      <c r="T645" s="23">
        <v>0.55859868298040061</v>
      </c>
      <c r="U645" s="24">
        <v>0.1</v>
      </c>
      <c r="V645" s="25">
        <f t="shared" si="99"/>
        <v>434.57962363359587</v>
      </c>
      <c r="W645" s="26" t="s">
        <v>29</v>
      </c>
    </row>
    <row r="646" spans="1:23" ht="89.25" x14ac:dyDescent="0.25">
      <c r="A646" s="17">
        <f t="shared" ca="1" si="97"/>
        <v>642</v>
      </c>
      <c r="B646" s="18" t="s">
        <v>1245</v>
      </c>
      <c r="C646" s="18" t="s">
        <v>1312</v>
      </c>
      <c r="D646" s="6" t="s">
        <v>3386</v>
      </c>
      <c r="E646" s="18" t="str">
        <f t="shared" si="100"/>
        <v>CS00-03-01_Монтаж крышек для кабельных лотков</v>
      </c>
      <c r="F646" s="18"/>
      <c r="G646" s="18" t="str">
        <f t="shared" si="98"/>
        <v>CS00-03-01-4_Монтаж крышки кабельного лотка ширина от 300 мм до 400 мм</v>
      </c>
      <c r="H646" s="19" t="s">
        <v>1313</v>
      </c>
      <c r="I646" s="18" t="s">
        <v>104</v>
      </c>
      <c r="J646" s="20">
        <v>1</v>
      </c>
      <c r="K646" s="20">
        <v>1.1499999999999999</v>
      </c>
      <c r="L646" s="21" t="s">
        <v>28</v>
      </c>
      <c r="M646" s="22">
        <v>0.161</v>
      </c>
      <c r="N646" s="22">
        <v>2.1600000000000001E-2</v>
      </c>
      <c r="O646" s="22">
        <v>1007.6071541501975</v>
      </c>
      <c r="P646" s="22">
        <f t="shared" si="94"/>
        <v>186.55846459090907</v>
      </c>
      <c r="Q646" s="22">
        <v>2922.65</v>
      </c>
      <c r="R646" s="22">
        <f t="shared" si="95"/>
        <v>72.598625999999996</v>
      </c>
      <c r="S646" s="22">
        <f t="shared" si="96"/>
        <v>259.15709059090909</v>
      </c>
      <c r="T646" s="23">
        <v>0.55859868298040061</v>
      </c>
      <c r="U646" s="24">
        <v>0.1</v>
      </c>
      <c r="V646" s="25">
        <f t="shared" si="99"/>
        <v>444.31409008802564</v>
      </c>
      <c r="W646" s="26" t="s">
        <v>29</v>
      </c>
    </row>
    <row r="647" spans="1:23" ht="89.25" x14ac:dyDescent="0.25">
      <c r="A647" s="17">
        <f t="shared" ca="1" si="97"/>
        <v>643</v>
      </c>
      <c r="B647" s="18" t="s">
        <v>1245</v>
      </c>
      <c r="C647" s="18" t="s">
        <v>1314</v>
      </c>
      <c r="D647" s="6" t="s">
        <v>3386</v>
      </c>
      <c r="E647" s="18" t="str">
        <f t="shared" si="100"/>
        <v>CS00-03-01_Монтаж крышек для кабельных лотков</v>
      </c>
      <c r="F647" s="18"/>
      <c r="G647" s="18" t="str">
        <f t="shared" si="98"/>
        <v>CS00-03-01-5_Монтаж крышки кабельного лотка ширина от 400 мм до 500 мм</v>
      </c>
      <c r="H647" s="19" t="s">
        <v>1315</v>
      </c>
      <c r="I647" s="18" t="s">
        <v>104</v>
      </c>
      <c r="J647" s="20">
        <v>1</v>
      </c>
      <c r="K647" s="20">
        <v>1.1499999999999999</v>
      </c>
      <c r="L647" s="21" t="s">
        <v>28</v>
      </c>
      <c r="M647" s="22">
        <v>0.16519999999999999</v>
      </c>
      <c r="N647" s="22">
        <v>2.1600000000000001E-2</v>
      </c>
      <c r="O647" s="22">
        <v>1007.6071541501975</v>
      </c>
      <c r="P647" s="22">
        <f t="shared" si="94"/>
        <v>191.42520714545449</v>
      </c>
      <c r="Q647" s="22">
        <v>2922.65</v>
      </c>
      <c r="R647" s="22">
        <f t="shared" si="95"/>
        <v>72.598625999999996</v>
      </c>
      <c r="S647" s="22">
        <f t="shared" si="96"/>
        <v>264.02383314545449</v>
      </c>
      <c r="T647" s="23">
        <v>0.55859868298040061</v>
      </c>
      <c r="U647" s="24">
        <v>0.1</v>
      </c>
      <c r="V647" s="25">
        <f t="shared" si="99"/>
        <v>452.65791847753667</v>
      </c>
      <c r="W647" s="26" t="s">
        <v>29</v>
      </c>
    </row>
    <row r="648" spans="1:23" ht="89.25" x14ac:dyDescent="0.25">
      <c r="A648" s="17">
        <f t="shared" ca="1" si="97"/>
        <v>644</v>
      </c>
      <c r="B648" s="18" t="s">
        <v>1245</v>
      </c>
      <c r="C648" s="18" t="s">
        <v>1316</v>
      </c>
      <c r="D648" s="6" t="s">
        <v>3386</v>
      </c>
      <c r="E648" s="18" t="str">
        <f t="shared" si="100"/>
        <v>CS00-03-01_Монтаж крышек для кабельных лотков</v>
      </c>
      <c r="F648" s="18"/>
      <c r="G648" s="18" t="str">
        <f t="shared" si="98"/>
        <v>CS00-03-01-6_Монтаж крышки кабельного лотка ширина от 500 мм до 600 мм</v>
      </c>
      <c r="H648" s="19" t="s">
        <v>1317</v>
      </c>
      <c r="I648" s="18" t="s">
        <v>104</v>
      </c>
      <c r="J648" s="20">
        <v>1</v>
      </c>
      <c r="K648" s="20">
        <v>1.1499999999999999</v>
      </c>
      <c r="L648" s="21" t="s">
        <v>28</v>
      </c>
      <c r="M648" s="22">
        <v>0.17009999999999997</v>
      </c>
      <c r="N648" s="22">
        <v>2.1600000000000001E-2</v>
      </c>
      <c r="O648" s="22">
        <v>1007.6071541501975</v>
      </c>
      <c r="P648" s="22">
        <f t="shared" si="94"/>
        <v>197.10307345909084</v>
      </c>
      <c r="Q648" s="22">
        <v>2922.65</v>
      </c>
      <c r="R648" s="22">
        <f t="shared" si="95"/>
        <v>72.598625999999996</v>
      </c>
      <c r="S648" s="22">
        <f t="shared" si="96"/>
        <v>269.70169945909083</v>
      </c>
      <c r="T648" s="23">
        <v>0.55859868298040061</v>
      </c>
      <c r="U648" s="24">
        <v>0.1</v>
      </c>
      <c r="V648" s="25">
        <f t="shared" si="99"/>
        <v>462.39238493196626</v>
      </c>
      <c r="W648" s="26" t="s">
        <v>29</v>
      </c>
    </row>
    <row r="649" spans="1:23" ht="89.25" x14ac:dyDescent="0.25">
      <c r="A649" s="17">
        <f t="shared" ca="1" si="97"/>
        <v>645</v>
      </c>
      <c r="B649" s="18" t="s">
        <v>1245</v>
      </c>
      <c r="C649" s="18" t="s">
        <v>1318</v>
      </c>
      <c r="D649" s="6" t="s">
        <v>3386</v>
      </c>
      <c r="E649" s="18" t="str">
        <f t="shared" si="100"/>
        <v>CS00-03-01_Монтаж крышек для кабельных лотков</v>
      </c>
      <c r="F649" s="18"/>
      <c r="G649" s="18" t="str">
        <f t="shared" si="98"/>
        <v>CS00-03-01-7_Монтаж крышки кабельного лотка ширина от 600 мм до 700 мм</v>
      </c>
      <c r="H649" s="19" t="s">
        <v>1319</v>
      </c>
      <c r="I649" s="18" t="s">
        <v>104</v>
      </c>
      <c r="J649" s="20">
        <v>1</v>
      </c>
      <c r="K649" s="20">
        <v>1.1499999999999999</v>
      </c>
      <c r="L649" s="21" t="s">
        <v>28</v>
      </c>
      <c r="M649" s="22">
        <v>0.17499999999999999</v>
      </c>
      <c r="N649" s="22">
        <v>2.1600000000000001E-2</v>
      </c>
      <c r="O649" s="22">
        <v>1007.6071541501975</v>
      </c>
      <c r="P649" s="22">
        <f t="shared" si="94"/>
        <v>202.78093977272724</v>
      </c>
      <c r="Q649" s="22">
        <v>2922.65</v>
      </c>
      <c r="R649" s="22">
        <f t="shared" si="95"/>
        <v>72.598625999999996</v>
      </c>
      <c r="S649" s="22">
        <f t="shared" si="96"/>
        <v>275.37956577272723</v>
      </c>
      <c r="T649" s="23">
        <v>0.55859868298040061</v>
      </c>
      <c r="U649" s="24">
        <v>0.1</v>
      </c>
      <c r="V649" s="25">
        <f t="shared" si="99"/>
        <v>472.12685138639597</v>
      </c>
      <c r="W649" s="26" t="s">
        <v>29</v>
      </c>
    </row>
    <row r="650" spans="1:23" ht="89.25" x14ac:dyDescent="0.25">
      <c r="A650" s="17">
        <f t="shared" ca="1" si="97"/>
        <v>646</v>
      </c>
      <c r="B650" s="18" t="s">
        <v>1245</v>
      </c>
      <c r="C650" s="18" t="s">
        <v>1320</v>
      </c>
      <c r="D650" s="6" t="s">
        <v>3386</v>
      </c>
      <c r="E650" s="18" t="str">
        <f t="shared" si="100"/>
        <v>CS00-03-01_Монтаж крышек для кабельных лотков</v>
      </c>
      <c r="F650" s="18"/>
      <c r="G650" s="18" t="str">
        <f t="shared" si="98"/>
        <v>CS00-03-01-8_Монтаж крышки кабельного лотка ширина от 700 мм до 800 мм</v>
      </c>
      <c r="H650" s="19" t="s">
        <v>1321</v>
      </c>
      <c r="I650" s="18" t="s">
        <v>104</v>
      </c>
      <c r="J650" s="20">
        <v>1</v>
      </c>
      <c r="K650" s="20">
        <v>1.1499999999999999</v>
      </c>
      <c r="L650" s="21" t="s">
        <v>28</v>
      </c>
      <c r="M650" s="22">
        <v>0.1792</v>
      </c>
      <c r="N650" s="22">
        <v>2.1600000000000001E-2</v>
      </c>
      <c r="O650" s="22">
        <v>1007.6071541501975</v>
      </c>
      <c r="P650" s="22">
        <f t="shared" si="94"/>
        <v>207.64768232727269</v>
      </c>
      <c r="Q650" s="22">
        <v>2922.65</v>
      </c>
      <c r="R650" s="22">
        <f t="shared" si="95"/>
        <v>72.598625999999996</v>
      </c>
      <c r="S650" s="22">
        <f t="shared" si="96"/>
        <v>280.24630832727269</v>
      </c>
      <c r="T650" s="23">
        <v>0.55859868298040061</v>
      </c>
      <c r="U650" s="24">
        <v>0.1</v>
      </c>
      <c r="V650" s="25">
        <f t="shared" si="99"/>
        <v>480.47067977590717</v>
      </c>
      <c r="W650" s="26" t="s">
        <v>29</v>
      </c>
    </row>
    <row r="651" spans="1:23" ht="89.25" x14ac:dyDescent="0.25">
      <c r="A651" s="17">
        <f t="shared" ca="1" si="97"/>
        <v>647</v>
      </c>
      <c r="B651" s="18" t="s">
        <v>1245</v>
      </c>
      <c r="C651" s="18" t="s">
        <v>1322</v>
      </c>
      <c r="D651" s="6" t="s">
        <v>3386</v>
      </c>
      <c r="E651" s="18" t="str">
        <f t="shared" si="100"/>
        <v>CS00-03-01_Монтаж крышек для кабельных лотков</v>
      </c>
      <c r="F651" s="18"/>
      <c r="G651" s="18" t="str">
        <f t="shared" si="98"/>
        <v>CS00-03-01-9_Монтаж крышки кабельного лотка ширина от 800 мм до 900 мм</v>
      </c>
      <c r="H651" s="19" t="s">
        <v>1323</v>
      </c>
      <c r="I651" s="18" t="s">
        <v>104</v>
      </c>
      <c r="J651" s="20">
        <v>1</v>
      </c>
      <c r="K651" s="20">
        <v>1.1499999999999999</v>
      </c>
      <c r="L651" s="21" t="s">
        <v>28</v>
      </c>
      <c r="M651" s="22">
        <v>0.18409999999999999</v>
      </c>
      <c r="N651" s="22">
        <v>2.1600000000000001E-2</v>
      </c>
      <c r="O651" s="22">
        <v>1007.6071541501975</v>
      </c>
      <c r="P651" s="22">
        <f t="shared" si="94"/>
        <v>213.32554864090903</v>
      </c>
      <c r="Q651" s="22">
        <v>2922.65</v>
      </c>
      <c r="R651" s="22">
        <f t="shared" si="95"/>
        <v>72.598625999999996</v>
      </c>
      <c r="S651" s="22">
        <f t="shared" si="96"/>
        <v>285.92417464090903</v>
      </c>
      <c r="T651" s="23">
        <v>0.55859868298040061</v>
      </c>
      <c r="U651" s="24">
        <v>0.1</v>
      </c>
      <c r="V651" s="25">
        <f t="shared" si="99"/>
        <v>490.20514623033677</v>
      </c>
      <c r="W651" s="26" t="s">
        <v>29</v>
      </c>
    </row>
    <row r="652" spans="1:23" ht="89.25" x14ac:dyDescent="0.25">
      <c r="A652" s="17">
        <f t="shared" ca="1" si="97"/>
        <v>648</v>
      </c>
      <c r="B652" s="18" t="s">
        <v>1245</v>
      </c>
      <c r="C652" s="18" t="s">
        <v>1324</v>
      </c>
      <c r="D652" s="6" t="s">
        <v>3386</v>
      </c>
      <c r="F652" s="18"/>
      <c r="G652" s="18" t="str">
        <f t="shared" si="98"/>
        <v>CS00-03-01-10_Монтаж крышки кабельного лотка ширина от 900 мм до 1000 мм</v>
      </c>
      <c r="H652" s="19" t="s">
        <v>1325</v>
      </c>
      <c r="I652" s="18" t="s">
        <v>104</v>
      </c>
      <c r="J652" s="20">
        <v>1</v>
      </c>
      <c r="K652" s="20">
        <v>1.1499999999999999</v>
      </c>
      <c r="L652" s="21" t="s">
        <v>28</v>
      </c>
      <c r="M652" s="22">
        <v>0.1883</v>
      </c>
      <c r="N652" s="22">
        <v>2.1600000000000001E-2</v>
      </c>
      <c r="O652" s="22">
        <v>1007.6071541501975</v>
      </c>
      <c r="P652" s="22">
        <f t="shared" si="94"/>
        <v>218.19229119545449</v>
      </c>
      <c r="Q652" s="22">
        <v>2922.65</v>
      </c>
      <c r="R652" s="22">
        <f t="shared" si="95"/>
        <v>72.598625999999996</v>
      </c>
      <c r="S652" s="22">
        <f t="shared" si="96"/>
        <v>290.79091719545448</v>
      </c>
      <c r="T652" s="23">
        <v>0.55859868298040061</v>
      </c>
      <c r="U652" s="24">
        <v>0.1</v>
      </c>
      <c r="V652" s="25">
        <f t="shared" si="99"/>
        <v>498.54897461984785</v>
      </c>
      <c r="W652" s="26" t="s">
        <v>29</v>
      </c>
    </row>
    <row r="653" spans="1:23" x14ac:dyDescent="0.25">
      <c r="A653" s="28">
        <f t="shared" ca="1" si="97"/>
        <v>649</v>
      </c>
      <c r="B653" s="9" t="s">
        <v>1245</v>
      </c>
      <c r="C653" s="9" t="s">
        <v>1326</v>
      </c>
      <c r="D653" s="6" t="s">
        <v>3386</v>
      </c>
      <c r="E653" s="18" t="str">
        <f>CONCATENATE($C$653,"_",$H$653)</f>
        <v>CS00-04_Установка труб для кабельных трасс</v>
      </c>
      <c r="F653" s="9"/>
      <c r="G653" s="9"/>
      <c r="H653" s="10" t="s">
        <v>1327</v>
      </c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29"/>
      <c r="U653" s="11"/>
      <c r="V653" s="9"/>
      <c r="W653" s="9"/>
    </row>
    <row r="654" spans="1:23" x14ac:dyDescent="0.25">
      <c r="A654" s="12">
        <f t="shared" ca="1" si="97"/>
        <v>650</v>
      </c>
      <c r="B654" s="13" t="s">
        <v>1245</v>
      </c>
      <c r="C654" s="13" t="s">
        <v>1328</v>
      </c>
      <c r="D654" s="6" t="s">
        <v>3386</v>
      </c>
      <c r="E654" s="18" t="str">
        <f t="shared" ref="E654:E673" si="101">CONCATENATE($C$653,"_",$H$653)</f>
        <v>CS00-04_Установка труб для кабельных трасс</v>
      </c>
      <c r="F654" s="13"/>
      <c r="G654" s="13"/>
      <c r="H654" s="15" t="s">
        <v>1329</v>
      </c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27"/>
      <c r="U654" s="16"/>
      <c r="V654" s="13"/>
      <c r="W654" s="13"/>
    </row>
    <row r="655" spans="1:23" ht="89.25" x14ac:dyDescent="0.25">
      <c r="A655" s="17">
        <f t="shared" ca="1" si="97"/>
        <v>651</v>
      </c>
      <c r="B655" s="18" t="s">
        <v>1245</v>
      </c>
      <c r="C655" s="18" t="s">
        <v>1330</v>
      </c>
      <c r="D655" s="6" t="s">
        <v>3386</v>
      </c>
      <c r="E655" s="18" t="str">
        <f t="shared" si="101"/>
        <v>CS00-04_Установка труб для кабельных трасс</v>
      </c>
      <c r="F655" s="18"/>
      <c r="G655" s="18"/>
      <c r="H655" s="19" t="s">
        <v>1331</v>
      </c>
      <c r="I655" s="18" t="s">
        <v>104</v>
      </c>
      <c r="J655" s="20">
        <v>1</v>
      </c>
      <c r="K655" s="20">
        <v>1.1499999999999999</v>
      </c>
      <c r="L655" s="21" t="s">
        <v>28</v>
      </c>
      <c r="M655" s="22">
        <v>0.26249999999999996</v>
      </c>
      <c r="N655" s="22">
        <v>1.8599999999999998E-2</v>
      </c>
      <c r="O655" s="22">
        <v>1007.6071541501975</v>
      </c>
      <c r="P655" s="22">
        <f t="shared" si="94"/>
        <v>304.17140965909078</v>
      </c>
      <c r="Q655" s="22">
        <v>2922.65</v>
      </c>
      <c r="R655" s="22">
        <f t="shared" si="95"/>
        <v>62.515483499999995</v>
      </c>
      <c r="S655" s="22">
        <f t="shared" si="96"/>
        <v>366.6868931590908</v>
      </c>
      <c r="T655" s="23">
        <v>0.55859868298040061</v>
      </c>
      <c r="U655" s="24">
        <v>0.1</v>
      </c>
      <c r="V655" s="25">
        <f t="shared" ref="V655:V673" si="102">S655+S655*T655+(S655+S655*T655)*U655</f>
        <v>628.66947961832716</v>
      </c>
      <c r="W655" s="26" t="s">
        <v>29</v>
      </c>
    </row>
    <row r="656" spans="1:23" ht="89.25" x14ac:dyDescent="0.25">
      <c r="A656" s="17">
        <f t="shared" ca="1" si="97"/>
        <v>652</v>
      </c>
      <c r="B656" s="18" t="s">
        <v>1245</v>
      </c>
      <c r="C656" s="18" t="s">
        <v>1332</v>
      </c>
      <c r="D656" s="6" t="s">
        <v>3386</v>
      </c>
      <c r="E656" s="18" t="str">
        <f t="shared" si="101"/>
        <v>CS00-04_Установка труб для кабельных трасс</v>
      </c>
      <c r="F656" s="18"/>
      <c r="G656" s="18"/>
      <c r="H656" s="19" t="s">
        <v>1333</v>
      </c>
      <c r="I656" s="18" t="s">
        <v>104</v>
      </c>
      <c r="J656" s="20">
        <v>1</v>
      </c>
      <c r="K656" s="20">
        <v>1.1499999999999999</v>
      </c>
      <c r="L656" s="21" t="s">
        <v>28</v>
      </c>
      <c r="M656" s="22">
        <v>0.31569999999999993</v>
      </c>
      <c r="N656" s="22">
        <v>1.9199999999999998E-2</v>
      </c>
      <c r="O656" s="22">
        <v>1007.6071541501975</v>
      </c>
      <c r="P656" s="22">
        <f t="shared" si="94"/>
        <v>365.81681534999984</v>
      </c>
      <c r="Q656" s="22">
        <v>2922.65</v>
      </c>
      <c r="R656" s="22">
        <f t="shared" si="95"/>
        <v>64.532111999999998</v>
      </c>
      <c r="S656" s="22">
        <f t="shared" si="96"/>
        <v>430.34892734999983</v>
      </c>
      <c r="T656" s="23">
        <v>0.55859868298040061</v>
      </c>
      <c r="U656" s="24">
        <v>0.1</v>
      </c>
      <c r="V656" s="25">
        <f t="shared" si="102"/>
        <v>737.81539852871151</v>
      </c>
      <c r="W656" s="26" t="s">
        <v>29</v>
      </c>
    </row>
    <row r="657" spans="1:23" ht="89.25" x14ac:dyDescent="0.25">
      <c r="A657" s="17">
        <f t="shared" ca="1" si="97"/>
        <v>653</v>
      </c>
      <c r="B657" s="18" t="s">
        <v>1245</v>
      </c>
      <c r="C657" s="18" t="s">
        <v>1334</v>
      </c>
      <c r="D657" s="6" t="s">
        <v>3386</v>
      </c>
      <c r="E657" s="18" t="str">
        <f t="shared" si="101"/>
        <v>CS00-04_Установка труб для кабельных трасс</v>
      </c>
      <c r="F657" s="18"/>
      <c r="G657" s="18"/>
      <c r="H657" s="19" t="s">
        <v>1335</v>
      </c>
      <c r="I657" s="18" t="s">
        <v>104</v>
      </c>
      <c r="J657" s="20">
        <v>1</v>
      </c>
      <c r="K657" s="20">
        <v>1.1499999999999999</v>
      </c>
      <c r="L657" s="21" t="s">
        <v>28</v>
      </c>
      <c r="M657" s="22">
        <v>0.35489999999999999</v>
      </c>
      <c r="N657" s="22">
        <v>2.1000000000000001E-2</v>
      </c>
      <c r="O657" s="22">
        <v>1007.6071541501975</v>
      </c>
      <c r="P657" s="22">
        <f t="shared" si="94"/>
        <v>411.23974585909087</v>
      </c>
      <c r="Q657" s="22">
        <v>2922.65</v>
      </c>
      <c r="R657" s="22">
        <f t="shared" si="95"/>
        <v>70.5819975</v>
      </c>
      <c r="S657" s="22">
        <f t="shared" si="96"/>
        <v>481.82174335909087</v>
      </c>
      <c r="T657" s="23">
        <v>0.55859868298040061</v>
      </c>
      <c r="U657" s="24">
        <v>0.1</v>
      </c>
      <c r="V657" s="25">
        <f t="shared" si="102"/>
        <v>826.06340809387962</v>
      </c>
      <c r="W657" s="26" t="s">
        <v>29</v>
      </c>
    </row>
    <row r="658" spans="1:23" ht="89.25" x14ac:dyDescent="0.25">
      <c r="A658" s="17">
        <f t="shared" ca="1" si="97"/>
        <v>654</v>
      </c>
      <c r="B658" s="18" t="s">
        <v>1245</v>
      </c>
      <c r="C658" s="18" t="s">
        <v>1336</v>
      </c>
      <c r="D658" s="6" t="s">
        <v>3386</v>
      </c>
      <c r="E658" s="18" t="str">
        <f t="shared" si="101"/>
        <v>CS00-04_Установка труб для кабельных трасс</v>
      </c>
      <c r="F658" s="18"/>
      <c r="G658" s="18"/>
      <c r="H658" s="19" t="s">
        <v>1337</v>
      </c>
      <c r="I658" s="18" t="s">
        <v>104</v>
      </c>
      <c r="J658" s="20">
        <v>1</v>
      </c>
      <c r="K658" s="20">
        <v>1.1499999999999999</v>
      </c>
      <c r="L658" s="21" t="s">
        <v>28</v>
      </c>
      <c r="M658" s="22">
        <v>0.21909999999999999</v>
      </c>
      <c r="N658" s="22">
        <v>1.8599999999999998E-2</v>
      </c>
      <c r="O658" s="22">
        <v>1007.6071541501975</v>
      </c>
      <c r="P658" s="22">
        <f t="shared" si="94"/>
        <v>253.88173659545447</v>
      </c>
      <c r="Q658" s="22">
        <v>2922.65</v>
      </c>
      <c r="R658" s="22">
        <f t="shared" si="95"/>
        <v>62.515483499999995</v>
      </c>
      <c r="S658" s="22">
        <f t="shared" si="96"/>
        <v>316.39722009545449</v>
      </c>
      <c r="T658" s="23">
        <v>0.55859868298040061</v>
      </c>
      <c r="U658" s="24">
        <v>0.1</v>
      </c>
      <c r="V658" s="25">
        <f t="shared" si="102"/>
        <v>542.44991959337881</v>
      </c>
      <c r="W658" s="26" t="s">
        <v>29</v>
      </c>
    </row>
    <row r="659" spans="1:23" ht="89.25" x14ac:dyDescent="0.25">
      <c r="A659" s="17">
        <f t="shared" ca="1" si="97"/>
        <v>655</v>
      </c>
      <c r="B659" s="18" t="s">
        <v>1245</v>
      </c>
      <c r="C659" s="18" t="s">
        <v>1338</v>
      </c>
      <c r="D659" s="6" t="s">
        <v>3386</v>
      </c>
      <c r="E659" s="18" t="str">
        <f t="shared" si="101"/>
        <v>CS00-04_Установка труб для кабельных трасс</v>
      </c>
      <c r="F659" s="18"/>
      <c r="G659" s="18"/>
      <c r="H659" s="19" t="s">
        <v>1339</v>
      </c>
      <c r="I659" s="18" t="s">
        <v>104</v>
      </c>
      <c r="J659" s="20">
        <v>1</v>
      </c>
      <c r="K659" s="20">
        <v>1.1499999999999999</v>
      </c>
      <c r="L659" s="21" t="s">
        <v>28</v>
      </c>
      <c r="M659" s="22">
        <v>0.24219999999999997</v>
      </c>
      <c r="N659" s="22">
        <v>1.9199999999999998E-2</v>
      </c>
      <c r="O659" s="22">
        <v>1007.6071541501975</v>
      </c>
      <c r="P659" s="22">
        <f t="shared" si="94"/>
        <v>280.64882064545446</v>
      </c>
      <c r="Q659" s="22">
        <v>2922.65</v>
      </c>
      <c r="R659" s="22">
        <f t="shared" si="95"/>
        <v>64.532111999999998</v>
      </c>
      <c r="S659" s="22">
        <f t="shared" si="96"/>
        <v>345.18093264545445</v>
      </c>
      <c r="T659" s="23">
        <v>0.55859868298040061</v>
      </c>
      <c r="U659" s="24">
        <v>0.1</v>
      </c>
      <c r="V659" s="25">
        <f t="shared" si="102"/>
        <v>591.79840171226681</v>
      </c>
      <c r="W659" s="26" t="s">
        <v>29</v>
      </c>
    </row>
    <row r="660" spans="1:23" ht="89.25" x14ac:dyDescent="0.25">
      <c r="A660" s="17">
        <f t="shared" ca="1" si="97"/>
        <v>656</v>
      </c>
      <c r="B660" s="18" t="s">
        <v>1245</v>
      </c>
      <c r="C660" s="18" t="s">
        <v>1340</v>
      </c>
      <c r="D660" s="6" t="s">
        <v>3386</v>
      </c>
      <c r="E660" s="18" t="str">
        <f t="shared" si="101"/>
        <v>CS00-04_Установка труб для кабельных трасс</v>
      </c>
      <c r="F660" s="18"/>
      <c r="G660" s="18"/>
      <c r="H660" s="19" t="s">
        <v>1341</v>
      </c>
      <c r="I660" s="18" t="s">
        <v>104</v>
      </c>
      <c r="J660" s="20">
        <v>1</v>
      </c>
      <c r="K660" s="20">
        <v>1.1499999999999999</v>
      </c>
      <c r="L660" s="21" t="s">
        <v>28</v>
      </c>
      <c r="M660" s="22">
        <v>0.27509999999999996</v>
      </c>
      <c r="N660" s="22">
        <v>2.1000000000000001E-2</v>
      </c>
      <c r="O660" s="22">
        <v>1007.6071541501975</v>
      </c>
      <c r="P660" s="22">
        <f t="shared" si="94"/>
        <v>318.77163732272714</v>
      </c>
      <c r="Q660" s="22">
        <v>2922.65</v>
      </c>
      <c r="R660" s="22">
        <f t="shared" si="95"/>
        <v>70.5819975</v>
      </c>
      <c r="S660" s="22">
        <f t="shared" si="96"/>
        <v>389.35363482272714</v>
      </c>
      <c r="T660" s="23">
        <v>0.55859868298040061</v>
      </c>
      <c r="U660" s="24">
        <v>0.1</v>
      </c>
      <c r="V660" s="25">
        <f t="shared" si="102"/>
        <v>667.53066869316774</v>
      </c>
      <c r="W660" s="26" t="s">
        <v>29</v>
      </c>
    </row>
    <row r="661" spans="1:23" ht="89.25" x14ac:dyDescent="0.25">
      <c r="A661" s="17">
        <f t="shared" ca="1" si="97"/>
        <v>657</v>
      </c>
      <c r="B661" s="18" t="s">
        <v>1245</v>
      </c>
      <c r="C661" s="18" t="s">
        <v>1342</v>
      </c>
      <c r="D661" s="6" t="s">
        <v>3386</v>
      </c>
      <c r="E661" s="18" t="str">
        <f t="shared" si="101"/>
        <v>CS00-04_Установка труб для кабельных трасс</v>
      </c>
      <c r="F661" s="18"/>
      <c r="G661" s="18"/>
      <c r="H661" s="19" t="s">
        <v>1343</v>
      </c>
      <c r="I661" s="18" t="s">
        <v>104</v>
      </c>
      <c r="J661" s="20">
        <v>1</v>
      </c>
      <c r="K661" s="20">
        <v>1.1499999999999999</v>
      </c>
      <c r="L661" s="21" t="s">
        <v>28</v>
      </c>
      <c r="M661" s="22">
        <v>0.1169</v>
      </c>
      <c r="N661" s="22">
        <v>1.7999999999999999E-2</v>
      </c>
      <c r="O661" s="22">
        <v>1007.6071541501975</v>
      </c>
      <c r="P661" s="22">
        <f t="shared" si="94"/>
        <v>135.45766776818181</v>
      </c>
      <c r="Q661" s="22">
        <v>2922.65</v>
      </c>
      <c r="R661" s="22">
        <f t="shared" si="95"/>
        <v>60.498854999999992</v>
      </c>
      <c r="S661" s="22">
        <f t="shared" si="96"/>
        <v>195.9565227681818</v>
      </c>
      <c r="T661" s="23">
        <v>0.55859868298040061</v>
      </c>
      <c r="U661" s="24">
        <v>0.1</v>
      </c>
      <c r="V661" s="25">
        <f t="shared" si="102"/>
        <v>335.95933613869772</v>
      </c>
      <c r="W661" s="26" t="s">
        <v>29</v>
      </c>
    </row>
    <row r="662" spans="1:23" ht="89.25" x14ac:dyDescent="0.25">
      <c r="A662" s="17">
        <f t="shared" ca="1" si="97"/>
        <v>658</v>
      </c>
      <c r="B662" s="18" t="s">
        <v>1245</v>
      </c>
      <c r="C662" s="18" t="s">
        <v>1344</v>
      </c>
      <c r="D662" s="6" t="s">
        <v>3386</v>
      </c>
      <c r="E662" s="18" t="str">
        <f t="shared" si="101"/>
        <v>CS00-04_Установка труб для кабельных трасс</v>
      </c>
      <c r="F662" s="18"/>
      <c r="G662" s="18"/>
      <c r="H662" s="19" t="s">
        <v>1345</v>
      </c>
      <c r="I662" s="18" t="s">
        <v>104</v>
      </c>
      <c r="J662" s="20">
        <v>1</v>
      </c>
      <c r="K662" s="20">
        <v>1.1499999999999999</v>
      </c>
      <c r="L662" s="21" t="s">
        <v>28</v>
      </c>
      <c r="M662" s="22">
        <v>0.13649999999999998</v>
      </c>
      <c r="N662" s="22">
        <v>1.8599999999999998E-2</v>
      </c>
      <c r="O662" s="22">
        <v>1007.6071541501975</v>
      </c>
      <c r="P662" s="22">
        <f t="shared" si="94"/>
        <v>158.16913302272724</v>
      </c>
      <c r="Q662" s="22">
        <v>2922.65</v>
      </c>
      <c r="R662" s="22">
        <f t="shared" si="95"/>
        <v>62.515483499999995</v>
      </c>
      <c r="S662" s="22">
        <f t="shared" si="96"/>
        <v>220.68461652272723</v>
      </c>
      <c r="T662" s="23">
        <v>0.55859868298040061</v>
      </c>
      <c r="U662" s="24">
        <v>0.1</v>
      </c>
      <c r="V662" s="25">
        <f t="shared" si="102"/>
        <v>378.3546279329932</v>
      </c>
      <c r="W662" s="26" t="s">
        <v>29</v>
      </c>
    </row>
    <row r="663" spans="1:23" ht="89.25" x14ac:dyDescent="0.25">
      <c r="A663" s="17">
        <f t="shared" ca="1" si="97"/>
        <v>659</v>
      </c>
      <c r="B663" s="18" t="s">
        <v>1245</v>
      </c>
      <c r="C663" s="18" t="s">
        <v>1346</v>
      </c>
      <c r="D663" s="6" t="s">
        <v>3386</v>
      </c>
      <c r="E663" s="18" t="str">
        <f t="shared" si="101"/>
        <v>CS00-04_Установка труб для кабельных трасс</v>
      </c>
      <c r="F663" s="18"/>
      <c r="G663" s="18"/>
      <c r="H663" s="19" t="s">
        <v>1347</v>
      </c>
      <c r="I663" s="18" t="s">
        <v>104</v>
      </c>
      <c r="J663" s="20">
        <v>1</v>
      </c>
      <c r="K663" s="20">
        <v>1.1499999999999999</v>
      </c>
      <c r="L663" s="21" t="s">
        <v>28</v>
      </c>
      <c r="M663" s="22">
        <v>0.16659999999999997</v>
      </c>
      <c r="N663" s="22">
        <v>1.9199999999999998E-2</v>
      </c>
      <c r="O663" s="22">
        <v>1007.6071541501975</v>
      </c>
      <c r="P663" s="22">
        <f t="shared" si="94"/>
        <v>193.0474546636363</v>
      </c>
      <c r="Q663" s="22">
        <v>2922.65</v>
      </c>
      <c r="R663" s="22">
        <f t="shared" si="95"/>
        <v>64.532111999999998</v>
      </c>
      <c r="S663" s="22">
        <f t="shared" si="96"/>
        <v>257.57956666363629</v>
      </c>
      <c r="T663" s="23">
        <v>0.55859868298040061</v>
      </c>
      <c r="U663" s="24">
        <v>0.1</v>
      </c>
      <c r="V663" s="25">
        <f t="shared" si="102"/>
        <v>441.60949070106642</v>
      </c>
      <c r="W663" s="26" t="s">
        <v>29</v>
      </c>
    </row>
    <row r="664" spans="1:23" ht="89.25" x14ac:dyDescent="0.25">
      <c r="A664" s="17">
        <f t="shared" ca="1" si="97"/>
        <v>660</v>
      </c>
      <c r="B664" s="18" t="s">
        <v>1245</v>
      </c>
      <c r="C664" s="18" t="s">
        <v>1348</v>
      </c>
      <c r="D664" s="6" t="s">
        <v>3386</v>
      </c>
      <c r="E664" s="18" t="str">
        <f t="shared" si="101"/>
        <v>CS00-04_Установка труб для кабельных трасс</v>
      </c>
      <c r="F664" s="18"/>
      <c r="G664" s="18"/>
      <c r="H664" s="19" t="s">
        <v>1349</v>
      </c>
      <c r="I664" s="18" t="s">
        <v>104</v>
      </c>
      <c r="J664" s="20">
        <v>1</v>
      </c>
      <c r="K664" s="20">
        <v>1.1499999999999999</v>
      </c>
      <c r="L664" s="21" t="s">
        <v>28</v>
      </c>
      <c r="M664" s="22">
        <v>0.1169</v>
      </c>
      <c r="N664" s="22">
        <v>1.7999999999999999E-2</v>
      </c>
      <c r="O664" s="22">
        <v>1007.6071541501975</v>
      </c>
      <c r="P664" s="22">
        <f t="shared" si="94"/>
        <v>135.45766776818181</v>
      </c>
      <c r="Q664" s="22">
        <v>2922.65</v>
      </c>
      <c r="R664" s="22">
        <f t="shared" si="95"/>
        <v>60.498854999999992</v>
      </c>
      <c r="S664" s="22">
        <f t="shared" si="96"/>
        <v>195.9565227681818</v>
      </c>
      <c r="T664" s="23">
        <v>0.55859868298040061</v>
      </c>
      <c r="U664" s="24">
        <v>0.1</v>
      </c>
      <c r="V664" s="25">
        <f t="shared" si="102"/>
        <v>335.95933613869772</v>
      </c>
      <c r="W664" s="26" t="s">
        <v>29</v>
      </c>
    </row>
    <row r="665" spans="1:23" ht="89.25" x14ac:dyDescent="0.25">
      <c r="A665" s="17">
        <f t="shared" ca="1" si="97"/>
        <v>661</v>
      </c>
      <c r="B665" s="18" t="s">
        <v>1245</v>
      </c>
      <c r="C665" s="18" t="s">
        <v>1350</v>
      </c>
      <c r="D665" s="6" t="s">
        <v>3386</v>
      </c>
      <c r="E665" s="18" t="str">
        <f>CONCATENATE($C$653,"_",$H$653)</f>
        <v>CS00-04_Установка труб для кабельных трасс</v>
      </c>
      <c r="F665" s="18"/>
      <c r="G665" s="18"/>
      <c r="H665" s="19" t="s">
        <v>1351</v>
      </c>
      <c r="I665" s="18" t="s">
        <v>104</v>
      </c>
      <c r="J665" s="20">
        <v>1</v>
      </c>
      <c r="K665" s="20">
        <v>1.1499999999999999</v>
      </c>
      <c r="L665" s="21" t="s">
        <v>28</v>
      </c>
      <c r="M665" s="22">
        <v>0.13649999999999998</v>
      </c>
      <c r="N665" s="22">
        <v>1.8599999999999998E-2</v>
      </c>
      <c r="O665" s="22">
        <v>1007.6071541501975</v>
      </c>
      <c r="P665" s="22">
        <f t="shared" si="94"/>
        <v>158.16913302272724</v>
      </c>
      <c r="Q665" s="22">
        <v>2922.65</v>
      </c>
      <c r="R665" s="22">
        <f t="shared" si="95"/>
        <v>62.515483499999995</v>
      </c>
      <c r="S665" s="22">
        <f t="shared" si="96"/>
        <v>220.68461652272723</v>
      </c>
      <c r="T665" s="23">
        <v>0.55859868298040061</v>
      </c>
      <c r="U665" s="24">
        <v>0.1</v>
      </c>
      <c r="V665" s="25">
        <f t="shared" si="102"/>
        <v>378.3546279329932</v>
      </c>
      <c r="W665" s="26" t="s">
        <v>29</v>
      </c>
    </row>
    <row r="666" spans="1:23" ht="89.25" x14ac:dyDescent="0.25">
      <c r="A666" s="17">
        <f t="shared" ca="1" si="97"/>
        <v>662</v>
      </c>
      <c r="B666" s="18" t="s">
        <v>1245</v>
      </c>
      <c r="C666" s="18" t="s">
        <v>1352</v>
      </c>
      <c r="D666" s="6" t="s">
        <v>3386</v>
      </c>
      <c r="E666" s="18" t="str">
        <f t="shared" si="101"/>
        <v>CS00-04_Установка труб для кабельных трасс</v>
      </c>
      <c r="F666" s="18"/>
      <c r="G666" s="18"/>
      <c r="H666" s="19" t="s">
        <v>1353</v>
      </c>
      <c r="I666" s="18" t="s">
        <v>104</v>
      </c>
      <c r="J666" s="20">
        <v>1</v>
      </c>
      <c r="K666" s="20">
        <v>1.1499999999999999</v>
      </c>
      <c r="L666" s="21" t="s">
        <v>28</v>
      </c>
      <c r="M666" s="22">
        <v>0.17079999999999998</v>
      </c>
      <c r="N666" s="22">
        <v>1.9199999999999998E-2</v>
      </c>
      <c r="O666" s="22">
        <v>1007.6071541501975</v>
      </c>
      <c r="P666" s="22">
        <f t="shared" si="94"/>
        <v>197.91419721818176</v>
      </c>
      <c r="Q666" s="22">
        <v>2922.65</v>
      </c>
      <c r="R666" s="22">
        <f t="shared" si="95"/>
        <v>64.532111999999998</v>
      </c>
      <c r="S666" s="22">
        <f t="shared" si="96"/>
        <v>262.44630921818174</v>
      </c>
      <c r="T666" s="23">
        <v>0.55859868298040061</v>
      </c>
      <c r="U666" s="24">
        <v>0.1</v>
      </c>
      <c r="V666" s="25">
        <f t="shared" si="102"/>
        <v>449.95331909057751</v>
      </c>
      <c r="W666" s="26" t="s">
        <v>29</v>
      </c>
    </row>
    <row r="667" spans="1:23" ht="89.25" x14ac:dyDescent="0.25">
      <c r="A667" s="17">
        <f t="shared" ca="1" si="97"/>
        <v>663</v>
      </c>
      <c r="B667" s="18" t="s">
        <v>1245</v>
      </c>
      <c r="C667" s="18" t="s">
        <v>1354</v>
      </c>
      <c r="D667" s="6" t="s">
        <v>3386</v>
      </c>
      <c r="E667" s="18" t="str">
        <f t="shared" si="101"/>
        <v>CS00-04_Установка труб для кабельных трасс</v>
      </c>
      <c r="F667" s="18"/>
      <c r="G667" s="18"/>
      <c r="H667" s="19" t="s">
        <v>1355</v>
      </c>
      <c r="I667" s="18" t="s">
        <v>104</v>
      </c>
      <c r="J667" s="20">
        <v>1</v>
      </c>
      <c r="K667" s="20">
        <v>1.1499999999999999</v>
      </c>
      <c r="L667" s="21" t="s">
        <v>28</v>
      </c>
      <c r="M667" s="22">
        <v>0.14069999999999999</v>
      </c>
      <c r="N667" s="22">
        <v>1.1400000000000002E-2</v>
      </c>
      <c r="O667" s="22">
        <v>1007.6071541501975</v>
      </c>
      <c r="P667" s="22">
        <f t="shared" si="94"/>
        <v>163.03587557727269</v>
      </c>
      <c r="Q667" s="22">
        <v>2922.65</v>
      </c>
      <c r="R667" s="22">
        <f t="shared" si="95"/>
        <v>38.315941500000008</v>
      </c>
      <c r="S667" s="22">
        <f t="shared" si="96"/>
        <v>201.3518170772727</v>
      </c>
      <c r="T667" s="23">
        <v>0.55859868298040061</v>
      </c>
      <c r="U667" s="24">
        <v>0.1</v>
      </c>
      <c r="V667" s="25">
        <f t="shared" si="102"/>
        <v>345.20934460358251</v>
      </c>
      <c r="W667" s="26" t="s">
        <v>29</v>
      </c>
    </row>
    <row r="668" spans="1:23" ht="89.25" x14ac:dyDescent="0.25">
      <c r="A668" s="17">
        <f t="shared" ca="1" si="97"/>
        <v>664</v>
      </c>
      <c r="B668" s="18" t="s">
        <v>1245</v>
      </c>
      <c r="C668" s="18" t="s">
        <v>1356</v>
      </c>
      <c r="D668" s="6" t="s">
        <v>3386</v>
      </c>
      <c r="E668" s="18" t="str">
        <f t="shared" si="101"/>
        <v>CS00-04_Установка труб для кабельных трасс</v>
      </c>
      <c r="F668" s="18"/>
      <c r="G668" s="18"/>
      <c r="H668" s="19" t="s">
        <v>1357</v>
      </c>
      <c r="I668" s="18" t="s">
        <v>104</v>
      </c>
      <c r="J668" s="20">
        <v>1</v>
      </c>
      <c r="K668" s="20">
        <v>1.1499999999999999</v>
      </c>
      <c r="L668" s="21" t="s">
        <v>28</v>
      </c>
      <c r="M668" s="22">
        <v>0.16309999999999999</v>
      </c>
      <c r="N668" s="22">
        <v>1.1400000000000002E-2</v>
      </c>
      <c r="O668" s="22">
        <v>1007.6071541501975</v>
      </c>
      <c r="P668" s="22">
        <f t="shared" si="94"/>
        <v>188.99183586818177</v>
      </c>
      <c r="Q668" s="22">
        <v>2922.65</v>
      </c>
      <c r="R668" s="22">
        <f t="shared" si="95"/>
        <v>38.315941500000008</v>
      </c>
      <c r="S668" s="22">
        <f t="shared" si="96"/>
        <v>227.30777736818177</v>
      </c>
      <c r="T668" s="23">
        <v>0.55859868298040061</v>
      </c>
      <c r="U668" s="24">
        <v>0.1</v>
      </c>
      <c r="V668" s="25">
        <f t="shared" si="102"/>
        <v>389.70976268097525</v>
      </c>
      <c r="W668" s="26" t="s">
        <v>29</v>
      </c>
    </row>
    <row r="669" spans="1:23" ht="89.25" x14ac:dyDescent="0.25">
      <c r="A669" s="17">
        <f t="shared" ca="1" si="97"/>
        <v>665</v>
      </c>
      <c r="B669" s="18" t="s">
        <v>1245</v>
      </c>
      <c r="C669" s="18" t="s">
        <v>1358</v>
      </c>
      <c r="D669" s="6" t="s">
        <v>3386</v>
      </c>
      <c r="E669" s="18" t="str">
        <f t="shared" si="101"/>
        <v>CS00-04_Установка труб для кабельных трасс</v>
      </c>
      <c r="F669" s="18"/>
      <c r="G669" s="18"/>
      <c r="H669" s="19" t="s">
        <v>1359</v>
      </c>
      <c r="I669" s="18" t="s">
        <v>104</v>
      </c>
      <c r="J669" s="20">
        <v>1</v>
      </c>
      <c r="K669" s="20">
        <v>1.1499999999999999</v>
      </c>
      <c r="L669" s="21" t="s">
        <v>28</v>
      </c>
      <c r="M669" s="22">
        <v>0.19390000000000002</v>
      </c>
      <c r="N669" s="22">
        <v>1.1400000000000002E-2</v>
      </c>
      <c r="O669" s="22">
        <v>1007.6071541501975</v>
      </c>
      <c r="P669" s="22">
        <f t="shared" si="94"/>
        <v>224.68128126818178</v>
      </c>
      <c r="Q669" s="22">
        <v>2922.65</v>
      </c>
      <c r="R669" s="22">
        <f t="shared" si="95"/>
        <v>38.315941500000008</v>
      </c>
      <c r="S669" s="22">
        <f t="shared" si="96"/>
        <v>262.99722276818181</v>
      </c>
      <c r="T669" s="23">
        <v>0.55859868298040061</v>
      </c>
      <c r="U669" s="24">
        <v>0.1</v>
      </c>
      <c r="V669" s="25">
        <f t="shared" si="102"/>
        <v>450.89783753739027</v>
      </c>
      <c r="W669" s="26" t="s">
        <v>29</v>
      </c>
    </row>
    <row r="670" spans="1:23" ht="89.25" x14ac:dyDescent="0.25">
      <c r="A670" s="17">
        <f t="shared" ca="1" si="97"/>
        <v>666</v>
      </c>
      <c r="B670" s="18" t="s">
        <v>1245</v>
      </c>
      <c r="C670" s="18" t="s">
        <v>1360</v>
      </c>
      <c r="D670" s="6" t="s">
        <v>3386</v>
      </c>
      <c r="E670" s="18" t="str">
        <f>CONCATENATE($C$653,"_",$H$653)</f>
        <v>CS00-04_Установка труб для кабельных трасс</v>
      </c>
      <c r="F670" s="18"/>
      <c r="G670" s="18"/>
      <c r="H670" s="19" t="s">
        <v>1361</v>
      </c>
      <c r="I670" s="18" t="s">
        <v>104</v>
      </c>
      <c r="J670" s="20">
        <v>1</v>
      </c>
      <c r="K670" s="20">
        <v>1.1499999999999999</v>
      </c>
      <c r="L670" s="21" t="s">
        <v>28</v>
      </c>
      <c r="M670" s="22">
        <v>0.15189999999999998</v>
      </c>
      <c r="N670" s="22">
        <v>1.1400000000000002E-2</v>
      </c>
      <c r="O670" s="22">
        <v>1007.6071541501975</v>
      </c>
      <c r="P670" s="22">
        <f t="shared" si="94"/>
        <v>176.01385572272721</v>
      </c>
      <c r="Q670" s="22">
        <v>2922.65</v>
      </c>
      <c r="R670" s="22">
        <f t="shared" si="95"/>
        <v>38.315941500000008</v>
      </c>
      <c r="S670" s="22">
        <f t="shared" si="96"/>
        <v>214.32979722272722</v>
      </c>
      <c r="T670" s="23">
        <v>0.55859868298040061</v>
      </c>
      <c r="U670" s="24">
        <v>0.1</v>
      </c>
      <c r="V670" s="25">
        <f t="shared" si="102"/>
        <v>367.45955364227888</v>
      </c>
      <c r="W670" s="26" t="s">
        <v>29</v>
      </c>
    </row>
    <row r="671" spans="1:23" ht="89.25" x14ac:dyDescent="0.25">
      <c r="A671" s="17">
        <f t="shared" ca="1" si="97"/>
        <v>667</v>
      </c>
      <c r="B671" s="18" t="s">
        <v>1245</v>
      </c>
      <c r="C671" s="18" t="s">
        <v>1362</v>
      </c>
      <c r="D671" s="6" t="s">
        <v>3386</v>
      </c>
      <c r="E671" s="18" t="str">
        <f t="shared" si="101"/>
        <v>CS00-04_Установка труб для кабельных трасс</v>
      </c>
      <c r="F671" s="18"/>
      <c r="G671" s="18"/>
      <c r="H671" s="19" t="s">
        <v>1363</v>
      </c>
      <c r="I671" s="18" t="s">
        <v>104</v>
      </c>
      <c r="J671" s="20">
        <v>1</v>
      </c>
      <c r="K671" s="20">
        <v>1.1499999999999999</v>
      </c>
      <c r="L671" s="21" t="s">
        <v>28</v>
      </c>
      <c r="M671" s="22">
        <v>0.1792</v>
      </c>
      <c r="N671" s="22">
        <v>1.1400000000000002E-2</v>
      </c>
      <c r="O671" s="22">
        <v>1007.6071541501975</v>
      </c>
      <c r="P671" s="22">
        <f t="shared" si="94"/>
        <v>207.64768232727269</v>
      </c>
      <c r="Q671" s="22">
        <v>2922.65</v>
      </c>
      <c r="R671" s="22">
        <f t="shared" si="95"/>
        <v>38.315941500000008</v>
      </c>
      <c r="S671" s="22">
        <f t="shared" si="96"/>
        <v>245.9636238272727</v>
      </c>
      <c r="T671" s="23">
        <v>0.55859868298040061</v>
      </c>
      <c r="U671" s="24">
        <v>0.1</v>
      </c>
      <c r="V671" s="25">
        <f t="shared" si="102"/>
        <v>421.69443817410132</v>
      </c>
      <c r="W671" s="26" t="s">
        <v>29</v>
      </c>
    </row>
    <row r="672" spans="1:23" ht="89.25" x14ac:dyDescent="0.25">
      <c r="A672" s="17">
        <f t="shared" ca="1" si="97"/>
        <v>668</v>
      </c>
      <c r="B672" s="18" t="s">
        <v>1245</v>
      </c>
      <c r="C672" s="18" t="s">
        <v>1364</v>
      </c>
      <c r="D672" s="6" t="s">
        <v>3386</v>
      </c>
      <c r="E672" s="18" t="str">
        <f t="shared" si="101"/>
        <v>CS00-04_Установка труб для кабельных трасс</v>
      </c>
      <c r="F672" s="18"/>
      <c r="G672" s="18"/>
      <c r="H672" s="19" t="s">
        <v>1365</v>
      </c>
      <c r="I672" s="18" t="s">
        <v>104</v>
      </c>
      <c r="J672" s="20">
        <v>1</v>
      </c>
      <c r="K672" s="20">
        <v>1.1499999999999999</v>
      </c>
      <c r="L672" s="21" t="s">
        <v>28</v>
      </c>
      <c r="M672" s="22">
        <v>0.20370000000000002</v>
      </c>
      <c r="N672" s="22">
        <v>1.1400000000000002E-2</v>
      </c>
      <c r="O672" s="22">
        <v>1007.6071541501975</v>
      </c>
      <c r="P672" s="22">
        <f t="shared" si="94"/>
        <v>236.03701389545452</v>
      </c>
      <c r="Q672" s="22">
        <v>2922.65</v>
      </c>
      <c r="R672" s="22">
        <f t="shared" si="95"/>
        <v>38.315941500000008</v>
      </c>
      <c r="S672" s="22">
        <f t="shared" si="96"/>
        <v>274.3529553954545</v>
      </c>
      <c r="T672" s="23">
        <v>0.55859868298040061</v>
      </c>
      <c r="U672" s="24">
        <v>0.1</v>
      </c>
      <c r="V672" s="25">
        <f t="shared" si="102"/>
        <v>470.36677044624957</v>
      </c>
      <c r="W672" s="26" t="s">
        <v>29</v>
      </c>
    </row>
    <row r="673" spans="1:23" ht="89.25" x14ac:dyDescent="0.25">
      <c r="A673" s="17">
        <f t="shared" ca="1" si="97"/>
        <v>669</v>
      </c>
      <c r="B673" s="18" t="s">
        <v>1245</v>
      </c>
      <c r="C673" s="18" t="s">
        <v>1366</v>
      </c>
      <c r="D673" s="6" t="s">
        <v>3386</v>
      </c>
      <c r="E673" s="18" t="str">
        <f t="shared" si="101"/>
        <v>CS00-04_Установка труб для кабельных трасс</v>
      </c>
      <c r="F673" s="18"/>
      <c r="G673" s="18"/>
      <c r="H673" s="19" t="s">
        <v>1367</v>
      </c>
      <c r="I673" s="18" t="s">
        <v>104</v>
      </c>
      <c r="J673" s="20">
        <v>1</v>
      </c>
      <c r="K673" s="20">
        <v>1.1499999999999999</v>
      </c>
      <c r="L673" s="21" t="s">
        <v>28</v>
      </c>
      <c r="M673" s="22">
        <v>0.22049999999999997</v>
      </c>
      <c r="N673" s="22">
        <v>1.1400000000000002E-2</v>
      </c>
      <c r="O673" s="22">
        <v>1007.6071541501975</v>
      </c>
      <c r="P673" s="22">
        <f t="shared" si="94"/>
        <v>255.50398411363628</v>
      </c>
      <c r="Q673" s="22">
        <v>2922.65</v>
      </c>
      <c r="R673" s="22">
        <f t="shared" si="95"/>
        <v>38.315941500000008</v>
      </c>
      <c r="S673" s="22">
        <f t="shared" si="96"/>
        <v>293.81992561363631</v>
      </c>
      <c r="T673" s="23">
        <v>0.55859868298040061</v>
      </c>
      <c r="U673" s="24">
        <v>0.1</v>
      </c>
      <c r="V673" s="25">
        <f t="shared" si="102"/>
        <v>503.7420840042941</v>
      </c>
      <c r="W673" s="26" t="s">
        <v>29</v>
      </c>
    </row>
    <row r="674" spans="1:23" x14ac:dyDescent="0.25">
      <c r="A674" s="12">
        <f t="shared" ca="1" si="97"/>
        <v>670</v>
      </c>
      <c r="B674" s="13" t="s">
        <v>1245</v>
      </c>
      <c r="C674" s="13" t="s">
        <v>1368</v>
      </c>
      <c r="D674" s="6" t="s">
        <v>3386</v>
      </c>
      <c r="E674" s="13"/>
      <c r="F674" s="13"/>
      <c r="G674" s="13"/>
      <c r="H674" s="15" t="s">
        <v>1369</v>
      </c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27"/>
      <c r="U674" s="16"/>
      <c r="V674" s="13"/>
      <c r="W674" s="13"/>
    </row>
    <row r="675" spans="1:23" ht="89.25" x14ac:dyDescent="0.25">
      <c r="A675" s="17">
        <f t="shared" ca="1" si="97"/>
        <v>671</v>
      </c>
      <c r="B675" s="18" t="s">
        <v>1245</v>
      </c>
      <c r="C675" s="18" t="s">
        <v>1370</v>
      </c>
      <c r="D675" s="6" t="s">
        <v>3386</v>
      </c>
      <c r="E675" s="18"/>
      <c r="F675" s="18"/>
      <c r="G675" s="18"/>
      <c r="H675" s="19" t="s">
        <v>1371</v>
      </c>
      <c r="I675" s="18" t="s">
        <v>104</v>
      </c>
      <c r="J675" s="20">
        <v>1</v>
      </c>
      <c r="K675" s="20">
        <v>1.1499999999999999</v>
      </c>
      <c r="L675" s="21" t="s">
        <v>28</v>
      </c>
      <c r="M675" s="22">
        <v>0.10569999999999999</v>
      </c>
      <c r="N675" s="22">
        <v>1.38E-2</v>
      </c>
      <c r="O675" s="22">
        <v>1007.6071541501975</v>
      </c>
      <c r="P675" s="22">
        <f t="shared" si="94"/>
        <v>122.47968762272724</v>
      </c>
      <c r="Q675" s="22">
        <v>2922.65</v>
      </c>
      <c r="R675" s="22">
        <f t="shared" si="95"/>
        <v>46.382455499999999</v>
      </c>
      <c r="S675" s="22">
        <f t="shared" si="96"/>
        <v>168.86214312272725</v>
      </c>
      <c r="T675" s="23">
        <v>0.55859868298040061</v>
      </c>
      <c r="U675" s="24">
        <v>0.1</v>
      </c>
      <c r="V675" s="25">
        <f t="shared" ref="V675:V679" si="103">S675+S675*T675+(S675+S675*T675)*U675</f>
        <v>289.50714526396365</v>
      </c>
      <c r="W675" s="26" t="s">
        <v>29</v>
      </c>
    </row>
    <row r="676" spans="1:23" ht="89.25" x14ac:dyDescent="0.25">
      <c r="A676" s="17">
        <f t="shared" ca="1" si="97"/>
        <v>672</v>
      </c>
      <c r="B676" s="18" t="s">
        <v>1245</v>
      </c>
      <c r="C676" s="18" t="s">
        <v>1372</v>
      </c>
      <c r="D676" s="6" t="s">
        <v>3386</v>
      </c>
      <c r="E676" s="18"/>
      <c r="F676" s="18"/>
      <c r="G676" s="18"/>
      <c r="H676" s="19" t="s">
        <v>1373</v>
      </c>
      <c r="I676" s="18" t="s">
        <v>104</v>
      </c>
      <c r="J676" s="20">
        <v>1</v>
      </c>
      <c r="K676" s="20">
        <v>1.1499999999999999</v>
      </c>
      <c r="L676" s="21" t="s">
        <v>28</v>
      </c>
      <c r="M676" s="22">
        <v>0.1162</v>
      </c>
      <c r="N676" s="22">
        <v>1.4999999999999998E-2</v>
      </c>
      <c r="O676" s="22">
        <v>1007.6071541501975</v>
      </c>
      <c r="P676" s="22">
        <f t="shared" si="94"/>
        <v>134.64654400909089</v>
      </c>
      <c r="Q676" s="22">
        <v>2922.65</v>
      </c>
      <c r="R676" s="22">
        <f t="shared" si="95"/>
        <v>50.415712499999991</v>
      </c>
      <c r="S676" s="22">
        <f t="shared" si="96"/>
        <v>185.06225650909087</v>
      </c>
      <c r="T676" s="23">
        <v>0.55859868298040061</v>
      </c>
      <c r="U676" s="24">
        <v>0.1</v>
      </c>
      <c r="V676" s="25">
        <f t="shared" si="103"/>
        <v>317.28156819089509</v>
      </c>
      <c r="W676" s="26" t="s">
        <v>29</v>
      </c>
    </row>
    <row r="677" spans="1:23" ht="89.25" x14ac:dyDescent="0.25">
      <c r="A677" s="17">
        <f t="shared" ca="1" si="97"/>
        <v>673</v>
      </c>
      <c r="B677" s="18" t="s">
        <v>1245</v>
      </c>
      <c r="C677" s="18" t="s">
        <v>1374</v>
      </c>
      <c r="D677" s="6" t="s">
        <v>3386</v>
      </c>
      <c r="E677" s="18"/>
      <c r="F677" s="18"/>
      <c r="G677" s="18"/>
      <c r="H677" s="19" t="s">
        <v>1375</v>
      </c>
      <c r="I677" s="18" t="s">
        <v>104</v>
      </c>
      <c r="J677" s="20">
        <v>1</v>
      </c>
      <c r="K677" s="20">
        <v>1.1499999999999999</v>
      </c>
      <c r="L677" s="21" t="s">
        <v>28</v>
      </c>
      <c r="M677" s="22">
        <v>0.12179999999999998</v>
      </c>
      <c r="N677" s="22">
        <v>1.4999999999999998E-2</v>
      </c>
      <c r="O677" s="22">
        <v>1007.6071541501975</v>
      </c>
      <c r="P677" s="22">
        <f t="shared" si="94"/>
        <v>141.13553408181812</v>
      </c>
      <c r="Q677" s="22">
        <v>2922.65</v>
      </c>
      <c r="R677" s="22">
        <f t="shared" si="95"/>
        <v>50.415712499999991</v>
      </c>
      <c r="S677" s="22">
        <f t="shared" si="96"/>
        <v>191.55124658181811</v>
      </c>
      <c r="T677" s="23">
        <v>0.55859868298040061</v>
      </c>
      <c r="U677" s="24">
        <v>0.1</v>
      </c>
      <c r="V677" s="25">
        <f t="shared" si="103"/>
        <v>328.40667271024324</v>
      </c>
      <c r="W677" s="26" t="s">
        <v>29</v>
      </c>
    </row>
    <row r="678" spans="1:23" ht="89.25" x14ac:dyDescent="0.25">
      <c r="A678" s="17">
        <f t="shared" ca="1" si="97"/>
        <v>674</v>
      </c>
      <c r="B678" s="18" t="s">
        <v>1245</v>
      </c>
      <c r="C678" s="18" t="s">
        <v>1376</v>
      </c>
      <c r="D678" s="6" t="s">
        <v>3386</v>
      </c>
      <c r="E678" s="18"/>
      <c r="F678" s="18"/>
      <c r="G678" s="18"/>
      <c r="H678" s="19" t="s">
        <v>1377</v>
      </c>
      <c r="I678" s="18" t="s">
        <v>104</v>
      </c>
      <c r="J678" s="20">
        <v>1</v>
      </c>
      <c r="K678" s="20">
        <v>1.1499999999999999</v>
      </c>
      <c r="L678" s="21" t="s">
        <v>28</v>
      </c>
      <c r="M678" s="22">
        <v>0.13369999999999999</v>
      </c>
      <c r="N678" s="22">
        <v>1.8599999999999998E-2</v>
      </c>
      <c r="O678" s="22">
        <v>1007.6071541501975</v>
      </c>
      <c r="P678" s="22">
        <f t="shared" si="94"/>
        <v>154.92463798636359</v>
      </c>
      <c r="Q678" s="22">
        <v>2922.65</v>
      </c>
      <c r="R678" s="22">
        <f t="shared" si="95"/>
        <v>62.515483499999995</v>
      </c>
      <c r="S678" s="22">
        <f t="shared" si="96"/>
        <v>217.44012148636358</v>
      </c>
      <c r="T678" s="23">
        <v>0.55859868298040061</v>
      </c>
      <c r="U678" s="24">
        <v>0.1</v>
      </c>
      <c r="V678" s="25">
        <f t="shared" si="103"/>
        <v>372.792075673319</v>
      </c>
      <c r="W678" s="26" t="s">
        <v>29</v>
      </c>
    </row>
    <row r="679" spans="1:23" ht="89.25" x14ac:dyDescent="0.25">
      <c r="A679" s="17">
        <f t="shared" ca="1" si="97"/>
        <v>675</v>
      </c>
      <c r="B679" s="18" t="s">
        <v>1245</v>
      </c>
      <c r="C679" s="18" t="s">
        <v>1378</v>
      </c>
      <c r="D679" s="6" t="s">
        <v>3386</v>
      </c>
      <c r="E679" s="18"/>
      <c r="F679" s="18"/>
      <c r="G679" s="18"/>
      <c r="H679" s="19" t="s">
        <v>1379</v>
      </c>
      <c r="I679" s="18" t="s">
        <v>104</v>
      </c>
      <c r="J679" s="20">
        <v>1</v>
      </c>
      <c r="K679" s="20">
        <v>1.1499999999999999</v>
      </c>
      <c r="L679" s="21" t="s">
        <v>28</v>
      </c>
      <c r="M679" s="22">
        <v>0.15609999999999999</v>
      </c>
      <c r="N679" s="22">
        <v>2.9399999999999999E-2</v>
      </c>
      <c r="O679" s="22">
        <v>1007.6071541501975</v>
      </c>
      <c r="P679" s="22">
        <f t="shared" si="94"/>
        <v>180.88059827727267</v>
      </c>
      <c r="Q679" s="22">
        <v>2922.65</v>
      </c>
      <c r="R679" s="22">
        <f t="shared" si="95"/>
        <v>98.8147965</v>
      </c>
      <c r="S679" s="22">
        <f t="shared" si="96"/>
        <v>279.69539477727267</v>
      </c>
      <c r="T679" s="23">
        <v>0.55859868298040061</v>
      </c>
      <c r="U679" s="24">
        <v>0.1</v>
      </c>
      <c r="V679" s="25">
        <f t="shared" si="103"/>
        <v>479.52616132909441</v>
      </c>
      <c r="W679" s="26" t="s">
        <v>29</v>
      </c>
    </row>
    <row r="680" spans="1:23" x14ac:dyDescent="0.25">
      <c r="A680" s="28">
        <f t="shared" ca="1" si="97"/>
        <v>676</v>
      </c>
      <c r="B680" s="9" t="s">
        <v>1245</v>
      </c>
      <c r="C680" s="9" t="s">
        <v>1380</v>
      </c>
      <c r="D680" s="6" t="s">
        <v>3386</v>
      </c>
      <c r="E680" s="9"/>
      <c r="F680" s="9"/>
      <c r="G680" s="9"/>
      <c r="H680" s="10" t="s">
        <v>1381</v>
      </c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29"/>
      <c r="U680" s="11"/>
      <c r="V680" s="9"/>
      <c r="W680" s="9"/>
    </row>
    <row r="681" spans="1:23" x14ac:dyDescent="0.25">
      <c r="A681" s="12">
        <f t="shared" ca="1" si="97"/>
        <v>677</v>
      </c>
      <c r="B681" s="13" t="s">
        <v>1245</v>
      </c>
      <c r="C681" s="13" t="s">
        <v>1382</v>
      </c>
      <c r="D681" s="6" t="s">
        <v>3386</v>
      </c>
      <c r="E681" s="13"/>
      <c r="F681" s="13"/>
      <c r="G681" s="13"/>
      <c r="H681" s="15" t="s">
        <v>1383</v>
      </c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27"/>
      <c r="U681" s="16"/>
      <c r="V681" s="13"/>
      <c r="W681" s="13"/>
    </row>
    <row r="682" spans="1:23" x14ac:dyDescent="0.25">
      <c r="A682" s="12">
        <f t="shared" ca="1" si="97"/>
        <v>678</v>
      </c>
      <c r="B682" s="13" t="s">
        <v>1245</v>
      </c>
      <c r="C682" s="13" t="s">
        <v>1384</v>
      </c>
      <c r="D682" s="6" t="s">
        <v>3386</v>
      </c>
      <c r="E682" s="13"/>
      <c r="F682" s="13"/>
      <c r="G682" s="13"/>
      <c r="H682" s="15" t="s">
        <v>1385</v>
      </c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27"/>
      <c r="U682" s="16"/>
      <c r="V682" s="13"/>
      <c r="W682" s="13"/>
    </row>
    <row r="683" spans="1:23" ht="89.25" x14ac:dyDescent="0.25">
      <c r="A683" s="17">
        <f t="shared" ca="1" si="97"/>
        <v>679</v>
      </c>
      <c r="B683" s="18" t="s">
        <v>1245</v>
      </c>
      <c r="C683" s="18" t="s">
        <v>1386</v>
      </c>
      <c r="D683" s="6" t="s">
        <v>3386</v>
      </c>
      <c r="E683" s="18"/>
      <c r="F683" s="18"/>
      <c r="G683" s="18"/>
      <c r="H683" s="19" t="s">
        <v>1387</v>
      </c>
      <c r="I683" s="18" t="s">
        <v>161</v>
      </c>
      <c r="J683" s="20">
        <v>1</v>
      </c>
      <c r="K683" s="20">
        <v>1.1499999999999999</v>
      </c>
      <c r="L683" s="21" t="s">
        <v>28</v>
      </c>
      <c r="M683" s="22">
        <v>0.40179999999999993</v>
      </c>
      <c r="N683" s="22">
        <v>1.6199999999999999E-2</v>
      </c>
      <c r="O683" s="22">
        <v>1007.6071541501975</v>
      </c>
      <c r="P683" s="22">
        <f t="shared" si="94"/>
        <v>465.58503771818164</v>
      </c>
      <c r="Q683" s="22">
        <v>2922.65</v>
      </c>
      <c r="R683" s="22">
        <f t="shared" si="95"/>
        <v>54.448969499999997</v>
      </c>
      <c r="S683" s="22">
        <f t="shared" si="96"/>
        <v>520.03400721818161</v>
      </c>
      <c r="T683" s="23">
        <v>0.55859868298040061</v>
      </c>
      <c r="U683" s="24">
        <v>0.1</v>
      </c>
      <c r="V683" s="25">
        <f t="shared" ref="V683:V686" si="104">S683+S683*T683+(S683+S683*T683)*U683</f>
        <v>891.57675063080592</v>
      </c>
      <c r="W683" s="26" t="s">
        <v>29</v>
      </c>
    </row>
    <row r="684" spans="1:23" ht="89.25" x14ac:dyDescent="0.25">
      <c r="A684" s="17">
        <f t="shared" ca="1" si="97"/>
        <v>680</v>
      </c>
      <c r="B684" s="18" t="s">
        <v>1245</v>
      </c>
      <c r="C684" s="18" t="s">
        <v>1388</v>
      </c>
      <c r="D684" s="6" t="s">
        <v>3386</v>
      </c>
      <c r="E684" s="18"/>
      <c r="F684" s="18"/>
      <c r="G684" s="18"/>
      <c r="H684" s="19" t="s">
        <v>1389</v>
      </c>
      <c r="I684" s="18" t="s">
        <v>161</v>
      </c>
      <c r="J684" s="20">
        <v>1</v>
      </c>
      <c r="K684" s="20">
        <v>1.1499999999999999</v>
      </c>
      <c r="L684" s="21" t="s">
        <v>28</v>
      </c>
      <c r="M684" s="22">
        <v>0.44029999999999997</v>
      </c>
      <c r="N684" s="22">
        <v>1.6199999999999999E-2</v>
      </c>
      <c r="O684" s="22">
        <v>1007.6071541501975</v>
      </c>
      <c r="P684" s="22">
        <f t="shared" si="94"/>
        <v>510.19684446818167</v>
      </c>
      <c r="Q684" s="22">
        <v>2922.65</v>
      </c>
      <c r="R684" s="22">
        <f t="shared" si="95"/>
        <v>54.448969499999997</v>
      </c>
      <c r="S684" s="22">
        <f t="shared" si="96"/>
        <v>564.64581396818164</v>
      </c>
      <c r="T684" s="23">
        <v>0.55859868298040061</v>
      </c>
      <c r="U684" s="24">
        <v>0.1</v>
      </c>
      <c r="V684" s="25">
        <f t="shared" si="104"/>
        <v>968.06184420132467</v>
      </c>
      <c r="W684" s="26" t="s">
        <v>29</v>
      </c>
    </row>
    <row r="685" spans="1:23" ht="89.25" x14ac:dyDescent="0.25">
      <c r="A685" s="17">
        <f t="shared" ca="1" si="97"/>
        <v>681</v>
      </c>
      <c r="B685" s="18" t="s">
        <v>1245</v>
      </c>
      <c r="C685" s="18" t="s">
        <v>1390</v>
      </c>
      <c r="D685" s="6" t="s">
        <v>3386</v>
      </c>
      <c r="E685" s="18"/>
      <c r="F685" s="18"/>
      <c r="G685" s="18"/>
      <c r="H685" s="19" t="s">
        <v>1391</v>
      </c>
      <c r="I685" s="18" t="s">
        <v>161</v>
      </c>
      <c r="J685" s="20">
        <v>1</v>
      </c>
      <c r="K685" s="20">
        <v>1.1499999999999999</v>
      </c>
      <c r="L685" s="21" t="s">
        <v>28</v>
      </c>
      <c r="M685" s="22">
        <v>0.46829999999999994</v>
      </c>
      <c r="N685" s="22">
        <v>1.6199999999999999E-2</v>
      </c>
      <c r="O685" s="22">
        <v>1007.6071541501975</v>
      </c>
      <c r="P685" s="22">
        <f t="shared" si="94"/>
        <v>542.64179483181806</v>
      </c>
      <c r="Q685" s="22">
        <v>2922.65</v>
      </c>
      <c r="R685" s="22">
        <f t="shared" si="95"/>
        <v>54.448969499999997</v>
      </c>
      <c r="S685" s="22">
        <f t="shared" si="96"/>
        <v>597.09076433181804</v>
      </c>
      <c r="T685" s="23">
        <v>0.55859868298040061</v>
      </c>
      <c r="U685" s="24">
        <v>0.1</v>
      </c>
      <c r="V685" s="25">
        <f t="shared" si="104"/>
        <v>1023.6873667980656</v>
      </c>
      <c r="W685" s="26" t="s">
        <v>29</v>
      </c>
    </row>
    <row r="686" spans="1:23" ht="89.25" x14ac:dyDescent="0.25">
      <c r="A686" s="17">
        <f t="shared" ca="1" si="97"/>
        <v>682</v>
      </c>
      <c r="B686" s="18" t="s">
        <v>1245</v>
      </c>
      <c r="C686" s="18" t="s">
        <v>1392</v>
      </c>
      <c r="D686" s="6" t="s">
        <v>3386</v>
      </c>
      <c r="E686" s="18"/>
      <c r="F686" s="18"/>
      <c r="G686" s="18"/>
      <c r="H686" s="19" t="s">
        <v>1393</v>
      </c>
      <c r="I686" s="18" t="s">
        <v>161</v>
      </c>
      <c r="J686" s="20">
        <v>1</v>
      </c>
      <c r="K686" s="20">
        <v>1.1499999999999999</v>
      </c>
      <c r="L686" s="21" t="s">
        <v>28</v>
      </c>
      <c r="M686" s="22">
        <v>0.49279999999999996</v>
      </c>
      <c r="N686" s="22">
        <v>1.6199999999999999E-2</v>
      </c>
      <c r="O686" s="22">
        <v>1007.6071541501975</v>
      </c>
      <c r="P686" s="22">
        <f t="shared" si="94"/>
        <v>571.03112639999983</v>
      </c>
      <c r="Q686" s="22">
        <v>2922.65</v>
      </c>
      <c r="R686" s="22">
        <f t="shared" si="95"/>
        <v>54.448969499999997</v>
      </c>
      <c r="S686" s="22">
        <f t="shared" si="96"/>
        <v>625.48009589999981</v>
      </c>
      <c r="T686" s="23">
        <v>0.55859868298040061</v>
      </c>
      <c r="U686" s="24">
        <v>0.1</v>
      </c>
      <c r="V686" s="25">
        <f t="shared" si="104"/>
        <v>1072.359699070214</v>
      </c>
      <c r="W686" s="26" t="s">
        <v>29</v>
      </c>
    </row>
    <row r="687" spans="1:23" x14ac:dyDescent="0.25">
      <c r="A687" s="12">
        <f t="shared" ca="1" si="97"/>
        <v>683</v>
      </c>
      <c r="B687" s="13" t="s">
        <v>1245</v>
      </c>
      <c r="C687" s="13" t="s">
        <v>1394</v>
      </c>
      <c r="D687" s="6" t="s">
        <v>3386</v>
      </c>
      <c r="E687" s="13"/>
      <c r="F687" s="13"/>
      <c r="G687" s="13"/>
      <c r="H687" s="15" t="s">
        <v>1395</v>
      </c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27"/>
      <c r="U687" s="16"/>
      <c r="V687" s="13"/>
      <c r="W687" s="13"/>
    </row>
    <row r="688" spans="1:23" ht="89.25" x14ac:dyDescent="0.25">
      <c r="A688" s="17">
        <f t="shared" ca="1" si="97"/>
        <v>684</v>
      </c>
      <c r="B688" s="18" t="s">
        <v>1245</v>
      </c>
      <c r="C688" s="18" t="s">
        <v>1396</v>
      </c>
      <c r="D688" s="6" t="s">
        <v>3386</v>
      </c>
      <c r="E688" s="18"/>
      <c r="F688" s="18"/>
      <c r="G688" s="18"/>
      <c r="H688" s="19" t="s">
        <v>1397</v>
      </c>
      <c r="I688" s="18" t="s">
        <v>161</v>
      </c>
      <c r="J688" s="20">
        <v>1</v>
      </c>
      <c r="K688" s="20">
        <v>1.1499999999999999</v>
      </c>
      <c r="L688" s="21" t="s">
        <v>28</v>
      </c>
      <c r="M688" s="22">
        <v>1.6043999999999998</v>
      </c>
      <c r="N688" s="22">
        <v>8.3400000000000002E-2</v>
      </c>
      <c r="O688" s="22">
        <v>1007.6071541501975</v>
      </c>
      <c r="P688" s="22">
        <f t="shared" si="94"/>
        <v>1859.095655836363</v>
      </c>
      <c r="Q688" s="22">
        <v>2922.65</v>
      </c>
      <c r="R688" s="22">
        <f t="shared" si="95"/>
        <v>280.31136150000003</v>
      </c>
      <c r="S688" s="22">
        <f t="shared" si="96"/>
        <v>2139.407017336363</v>
      </c>
      <c r="T688" s="23">
        <v>0.55859868298040061</v>
      </c>
      <c r="U688" s="24">
        <v>0.1</v>
      </c>
      <c r="V688" s="25">
        <f t="shared" ref="V688:V693" si="105">S688+S688*T688+(S688+S688*T688)*U688</f>
        <v>3667.9246555374307</v>
      </c>
      <c r="W688" s="26" t="s">
        <v>29</v>
      </c>
    </row>
    <row r="689" spans="1:23" ht="89.25" x14ac:dyDescent="0.25">
      <c r="A689" s="17">
        <f t="shared" ca="1" si="97"/>
        <v>685</v>
      </c>
      <c r="B689" s="18" t="s">
        <v>1245</v>
      </c>
      <c r="C689" s="18" t="s">
        <v>1398</v>
      </c>
      <c r="D689" s="6" t="s">
        <v>3386</v>
      </c>
      <c r="E689" s="18"/>
      <c r="F689" s="18"/>
      <c r="G689" s="18"/>
      <c r="H689" s="19" t="s">
        <v>1399</v>
      </c>
      <c r="I689" s="18" t="s">
        <v>161</v>
      </c>
      <c r="J689" s="20">
        <v>1</v>
      </c>
      <c r="K689" s="20">
        <v>1.1499999999999999</v>
      </c>
      <c r="L689" s="21" t="s">
        <v>28</v>
      </c>
      <c r="M689" s="22">
        <v>1.9613999999999998</v>
      </c>
      <c r="N689" s="22">
        <v>8.5199999999999984E-2</v>
      </c>
      <c r="O689" s="22">
        <v>1007.6071541501975</v>
      </c>
      <c r="P689" s="22">
        <f t="shared" si="94"/>
        <v>2272.7687729727268</v>
      </c>
      <c r="Q689" s="22">
        <v>2922.65</v>
      </c>
      <c r="R689" s="22">
        <f t="shared" si="95"/>
        <v>286.36124699999993</v>
      </c>
      <c r="S689" s="22">
        <f t="shared" si="96"/>
        <v>2559.1300199727266</v>
      </c>
      <c r="T689" s="23">
        <v>0.55859868298040061</v>
      </c>
      <c r="U689" s="24">
        <v>0.1</v>
      </c>
      <c r="V689" s="25">
        <f t="shared" si="105"/>
        <v>4387.522346575608</v>
      </c>
      <c r="W689" s="26" t="s">
        <v>29</v>
      </c>
    </row>
    <row r="690" spans="1:23" ht="89.25" x14ac:dyDescent="0.25">
      <c r="A690" s="17">
        <f t="shared" ca="1" si="97"/>
        <v>686</v>
      </c>
      <c r="B690" s="18" t="s">
        <v>1245</v>
      </c>
      <c r="C690" s="18" t="s">
        <v>1400</v>
      </c>
      <c r="D690" s="6" t="s">
        <v>3386</v>
      </c>
      <c r="E690" s="18"/>
      <c r="F690" s="18"/>
      <c r="G690" s="18"/>
      <c r="H690" s="19" t="s">
        <v>1401</v>
      </c>
      <c r="I690" s="18" t="s">
        <v>161</v>
      </c>
      <c r="J690" s="20">
        <v>1</v>
      </c>
      <c r="K690" s="20">
        <v>1.1499999999999999</v>
      </c>
      <c r="L690" s="21" t="s">
        <v>28</v>
      </c>
      <c r="M690" s="22">
        <v>2.3765000000000001</v>
      </c>
      <c r="N690" s="22">
        <v>8.7599999999999997E-2</v>
      </c>
      <c r="O690" s="22">
        <v>1007.6071541501975</v>
      </c>
      <c r="P690" s="22">
        <f t="shared" si="94"/>
        <v>2753.7651621136361</v>
      </c>
      <c r="Q690" s="22">
        <v>2922.65</v>
      </c>
      <c r="R690" s="22">
        <f t="shared" si="95"/>
        <v>294.42776099999998</v>
      </c>
      <c r="S690" s="22">
        <f t="shared" si="96"/>
        <v>3048.192923113636</v>
      </c>
      <c r="T690" s="23">
        <v>0.55859868298040061</v>
      </c>
      <c r="U690" s="24">
        <v>0.1</v>
      </c>
      <c r="V690" s="25">
        <f t="shared" si="105"/>
        <v>5226.0004229786</v>
      </c>
      <c r="W690" s="26" t="s">
        <v>29</v>
      </c>
    </row>
    <row r="691" spans="1:23" ht="89.25" x14ac:dyDescent="0.25">
      <c r="A691" s="17">
        <f t="shared" ca="1" si="97"/>
        <v>687</v>
      </c>
      <c r="B691" s="18" t="s">
        <v>1245</v>
      </c>
      <c r="C691" s="18" t="s">
        <v>1402</v>
      </c>
      <c r="D691" s="6" t="s">
        <v>3386</v>
      </c>
      <c r="E691" s="18"/>
      <c r="F691" s="18"/>
      <c r="G691" s="18"/>
      <c r="H691" s="19" t="s">
        <v>1403</v>
      </c>
      <c r="I691" s="18" t="s">
        <v>161</v>
      </c>
      <c r="J691" s="20">
        <v>1</v>
      </c>
      <c r="K691" s="20">
        <v>1.1499999999999999</v>
      </c>
      <c r="L691" s="21" t="s">
        <v>28</v>
      </c>
      <c r="M691" s="22">
        <v>2.6788999999999996</v>
      </c>
      <c r="N691" s="22">
        <v>8.9399999999999993E-2</v>
      </c>
      <c r="O691" s="22">
        <v>1007.6071541501975</v>
      </c>
      <c r="P691" s="22">
        <f t="shared" si="94"/>
        <v>3104.1706260409078</v>
      </c>
      <c r="Q691" s="22">
        <v>2922.65</v>
      </c>
      <c r="R691" s="22">
        <f t="shared" si="95"/>
        <v>300.47764649999993</v>
      </c>
      <c r="S691" s="22">
        <f t="shared" si="96"/>
        <v>3404.6482725409078</v>
      </c>
      <c r="T691" s="23">
        <v>0.55859868298040061</v>
      </c>
      <c r="U691" s="24">
        <v>0.1</v>
      </c>
      <c r="V691" s="25">
        <f t="shared" si="105"/>
        <v>5837.1283449531302</v>
      </c>
      <c r="W691" s="26" t="s">
        <v>29</v>
      </c>
    </row>
    <row r="692" spans="1:23" ht="89.25" x14ac:dyDescent="0.25">
      <c r="A692" s="17">
        <f t="shared" ca="1" si="97"/>
        <v>688</v>
      </c>
      <c r="B692" s="18" t="s">
        <v>1245</v>
      </c>
      <c r="C692" s="18" t="s">
        <v>1404</v>
      </c>
      <c r="D692" s="6" t="s">
        <v>3386</v>
      </c>
      <c r="E692" s="18"/>
      <c r="F692" s="18"/>
      <c r="G692" s="18"/>
      <c r="H692" s="19" t="s">
        <v>1405</v>
      </c>
      <c r="I692" s="18" t="s">
        <v>161</v>
      </c>
      <c r="J692" s="20">
        <v>1</v>
      </c>
      <c r="K692" s="20">
        <v>1.1499999999999999</v>
      </c>
      <c r="L692" s="21" t="s">
        <v>28</v>
      </c>
      <c r="M692" s="22">
        <v>3.1696</v>
      </c>
      <c r="N692" s="22">
        <v>9.4799999999999995E-2</v>
      </c>
      <c r="O692" s="22">
        <v>1007.6071541501975</v>
      </c>
      <c r="P692" s="22">
        <f t="shared" si="94"/>
        <v>3672.7683811636357</v>
      </c>
      <c r="Q692" s="22">
        <v>2922.65</v>
      </c>
      <c r="R692" s="22">
        <f t="shared" si="95"/>
        <v>318.62730299999998</v>
      </c>
      <c r="S692" s="22">
        <f t="shared" si="96"/>
        <v>3991.3956841636355</v>
      </c>
      <c r="T692" s="23">
        <v>0.55859868298040061</v>
      </c>
      <c r="U692" s="24">
        <v>0.1</v>
      </c>
      <c r="V692" s="25">
        <f t="shared" si="105"/>
        <v>6843.0824622502068</v>
      </c>
      <c r="W692" s="26" t="s">
        <v>29</v>
      </c>
    </row>
    <row r="693" spans="1:23" ht="89.25" x14ac:dyDescent="0.25">
      <c r="A693" s="17">
        <f t="shared" ca="1" si="97"/>
        <v>689</v>
      </c>
      <c r="B693" s="18" t="s">
        <v>1245</v>
      </c>
      <c r="C693" s="18" t="s">
        <v>1406</v>
      </c>
      <c r="D693" s="6" t="s">
        <v>3386</v>
      </c>
      <c r="E693" s="18"/>
      <c r="F693" s="18"/>
      <c r="G693" s="18"/>
      <c r="H693" s="19" t="s">
        <v>1407</v>
      </c>
      <c r="I693" s="18" t="s">
        <v>161</v>
      </c>
      <c r="J693" s="20">
        <v>1</v>
      </c>
      <c r="K693" s="20">
        <v>1.1499999999999999</v>
      </c>
      <c r="L693" s="21" t="s">
        <v>28</v>
      </c>
      <c r="M693" s="22">
        <v>3.5510999999999999</v>
      </c>
      <c r="N693" s="22">
        <v>0.10260000000000001</v>
      </c>
      <c r="O693" s="22">
        <v>1007.6071541501975</v>
      </c>
      <c r="P693" s="22">
        <f t="shared" si="94"/>
        <v>4114.8308298681804</v>
      </c>
      <c r="Q693" s="22">
        <v>2922.65</v>
      </c>
      <c r="R693" s="22">
        <f t="shared" si="95"/>
        <v>344.84347350000002</v>
      </c>
      <c r="S693" s="22">
        <f t="shared" si="96"/>
        <v>4459.6743033681805</v>
      </c>
      <c r="T693" s="23">
        <v>0.55859868298040061</v>
      </c>
      <c r="U693" s="24">
        <v>0.1</v>
      </c>
      <c r="V693" s="25">
        <f t="shared" si="105"/>
        <v>7645.9267453263001</v>
      </c>
      <c r="W693" s="26" t="s">
        <v>29</v>
      </c>
    </row>
    <row r="694" spans="1:23" x14ac:dyDescent="0.25">
      <c r="A694" s="12">
        <f t="shared" ca="1" si="97"/>
        <v>690</v>
      </c>
      <c r="B694" s="13" t="s">
        <v>1245</v>
      </c>
      <c r="C694" s="13" t="s">
        <v>1408</v>
      </c>
      <c r="D694" s="6" t="s">
        <v>3386</v>
      </c>
      <c r="E694" s="13"/>
      <c r="F694" s="13"/>
      <c r="G694" s="13"/>
      <c r="H694" s="15" t="s">
        <v>1409</v>
      </c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27"/>
      <c r="U694" s="16"/>
      <c r="V694" s="13"/>
      <c r="W694" s="13"/>
    </row>
    <row r="695" spans="1:23" ht="89.25" x14ac:dyDescent="0.25">
      <c r="A695" s="17">
        <f t="shared" ca="1" si="97"/>
        <v>691</v>
      </c>
      <c r="B695" s="18" t="s">
        <v>1245</v>
      </c>
      <c r="C695" s="18" t="s">
        <v>1410</v>
      </c>
      <c r="D695" s="6" t="s">
        <v>3386</v>
      </c>
      <c r="E695" s="18"/>
      <c r="F695" s="18"/>
      <c r="G695" s="18"/>
      <c r="H695" s="19" t="s">
        <v>1411</v>
      </c>
      <c r="I695" s="18" t="s">
        <v>161</v>
      </c>
      <c r="J695" s="20">
        <v>1</v>
      </c>
      <c r="K695" s="20">
        <v>1.1499999999999999</v>
      </c>
      <c r="L695" s="21" t="s">
        <v>28</v>
      </c>
      <c r="M695" s="22">
        <v>0.91139999999999999</v>
      </c>
      <c r="N695" s="22">
        <v>8.3400000000000002E-2</v>
      </c>
      <c r="O695" s="22">
        <v>1007.6071541501975</v>
      </c>
      <c r="P695" s="22">
        <f t="shared" si="94"/>
        <v>1056.0831343363634</v>
      </c>
      <c r="Q695" s="22">
        <v>2922.65</v>
      </c>
      <c r="R695" s="22">
        <f t="shared" si="95"/>
        <v>280.31136150000003</v>
      </c>
      <c r="S695" s="22">
        <f t="shared" si="96"/>
        <v>1336.3944958363634</v>
      </c>
      <c r="T695" s="23">
        <v>0.55859868298040061</v>
      </c>
      <c r="U695" s="24">
        <v>0.1</v>
      </c>
      <c r="V695" s="25">
        <f t="shared" ref="V695:V700" si="106">S695+S695*T695+(S695+S695*T695)*U695</f>
        <v>2291.1929712680935</v>
      </c>
      <c r="W695" s="26" t="s">
        <v>29</v>
      </c>
    </row>
    <row r="696" spans="1:23" ht="89.25" x14ac:dyDescent="0.25">
      <c r="A696" s="17">
        <f t="shared" ca="1" si="97"/>
        <v>692</v>
      </c>
      <c r="B696" s="18" t="s">
        <v>1245</v>
      </c>
      <c r="C696" s="18" t="s">
        <v>1412</v>
      </c>
      <c r="D696" s="6" t="s">
        <v>3386</v>
      </c>
      <c r="E696" s="18"/>
      <c r="F696" s="18"/>
      <c r="G696" s="18"/>
      <c r="H696" s="19" t="s">
        <v>1413</v>
      </c>
      <c r="I696" s="18" t="s">
        <v>161</v>
      </c>
      <c r="J696" s="20">
        <v>1</v>
      </c>
      <c r="K696" s="20">
        <v>1.1499999999999999</v>
      </c>
      <c r="L696" s="21" t="s">
        <v>28</v>
      </c>
      <c r="M696" s="22">
        <v>1.1913999999999998</v>
      </c>
      <c r="N696" s="22">
        <v>8.5199999999999984E-2</v>
      </c>
      <c r="O696" s="22">
        <v>1007.6071541501975</v>
      </c>
      <c r="P696" s="22">
        <f t="shared" si="94"/>
        <v>1380.5326379727267</v>
      </c>
      <c r="Q696" s="22">
        <v>2922.65</v>
      </c>
      <c r="R696" s="22">
        <f t="shared" si="95"/>
        <v>286.36124699999993</v>
      </c>
      <c r="S696" s="22">
        <f t="shared" si="96"/>
        <v>1666.8938849727265</v>
      </c>
      <c r="T696" s="23">
        <v>0.55859868298040061</v>
      </c>
      <c r="U696" s="24">
        <v>0.1</v>
      </c>
      <c r="V696" s="25">
        <f t="shared" si="106"/>
        <v>2857.8204751652324</v>
      </c>
      <c r="W696" s="26" t="s">
        <v>29</v>
      </c>
    </row>
    <row r="697" spans="1:23" ht="89.25" x14ac:dyDescent="0.25">
      <c r="A697" s="17">
        <f t="shared" ca="1" si="97"/>
        <v>693</v>
      </c>
      <c r="B697" s="18" t="s">
        <v>1245</v>
      </c>
      <c r="C697" s="18" t="s">
        <v>1414</v>
      </c>
      <c r="D697" s="6" t="s">
        <v>3386</v>
      </c>
      <c r="E697" s="18"/>
      <c r="F697" s="18"/>
      <c r="G697" s="18"/>
      <c r="H697" s="19" t="s">
        <v>1415</v>
      </c>
      <c r="I697" s="18" t="s">
        <v>161</v>
      </c>
      <c r="J697" s="20">
        <v>1</v>
      </c>
      <c r="K697" s="20">
        <v>1.1499999999999999</v>
      </c>
      <c r="L697" s="21" t="s">
        <v>28</v>
      </c>
      <c r="M697" s="22">
        <v>1.5140999999999998</v>
      </c>
      <c r="N697" s="22">
        <v>8.7599999999999997E-2</v>
      </c>
      <c r="O697" s="22">
        <v>1007.6071541501975</v>
      </c>
      <c r="P697" s="22">
        <f t="shared" si="94"/>
        <v>1754.4606909136357</v>
      </c>
      <c r="Q697" s="22">
        <v>2922.65</v>
      </c>
      <c r="R697" s="22">
        <f t="shared" si="95"/>
        <v>294.42776099999998</v>
      </c>
      <c r="S697" s="22">
        <f t="shared" si="96"/>
        <v>2048.8884519136359</v>
      </c>
      <c r="T697" s="23">
        <v>0.55859868298040061</v>
      </c>
      <c r="U697" s="24">
        <v>0.1</v>
      </c>
      <c r="V697" s="25">
        <f t="shared" si="106"/>
        <v>3512.7343269989797</v>
      </c>
      <c r="W697" s="26" t="s">
        <v>29</v>
      </c>
    </row>
    <row r="698" spans="1:23" ht="89.25" x14ac:dyDescent="0.25">
      <c r="A698" s="17">
        <f t="shared" ca="1" si="97"/>
        <v>694</v>
      </c>
      <c r="B698" s="18" t="s">
        <v>1245</v>
      </c>
      <c r="C698" s="18" t="s">
        <v>1416</v>
      </c>
      <c r="D698" s="6" t="s">
        <v>3386</v>
      </c>
      <c r="E698" s="18"/>
      <c r="F698" s="18"/>
      <c r="G698" s="18"/>
      <c r="H698" s="19" t="s">
        <v>1417</v>
      </c>
      <c r="I698" s="18" t="s">
        <v>161</v>
      </c>
      <c r="J698" s="20">
        <v>1</v>
      </c>
      <c r="K698" s="20">
        <v>1.1499999999999999</v>
      </c>
      <c r="L698" s="21" t="s">
        <v>28</v>
      </c>
      <c r="M698" s="22">
        <v>1.7241</v>
      </c>
      <c r="N698" s="22">
        <v>8.9399999999999993E-2</v>
      </c>
      <c r="O698" s="22">
        <v>1007.6071541501975</v>
      </c>
      <c r="P698" s="22">
        <f t="shared" si="94"/>
        <v>1997.7978186409086</v>
      </c>
      <c r="Q698" s="22">
        <v>2922.65</v>
      </c>
      <c r="R698" s="22">
        <f t="shared" si="95"/>
        <v>300.47764649999993</v>
      </c>
      <c r="S698" s="22">
        <f t="shared" si="96"/>
        <v>2298.2754651409086</v>
      </c>
      <c r="T698" s="23">
        <v>0.55859868298040061</v>
      </c>
      <c r="U698" s="24">
        <v>0.1</v>
      </c>
      <c r="V698" s="25">
        <f t="shared" si="106"/>
        <v>3940.2980244042665</v>
      </c>
      <c r="W698" s="26" t="s">
        <v>29</v>
      </c>
    </row>
    <row r="699" spans="1:23" ht="89.25" x14ac:dyDescent="0.25">
      <c r="A699" s="17">
        <f t="shared" ca="1" si="97"/>
        <v>695</v>
      </c>
      <c r="B699" s="18" t="s">
        <v>1245</v>
      </c>
      <c r="C699" s="18" t="s">
        <v>1418</v>
      </c>
      <c r="D699" s="6" t="s">
        <v>3386</v>
      </c>
      <c r="E699" s="18"/>
      <c r="F699" s="18"/>
      <c r="G699" s="18"/>
      <c r="H699" s="19" t="s">
        <v>1419</v>
      </c>
      <c r="I699" s="18" t="s">
        <v>161</v>
      </c>
      <c r="J699" s="20">
        <v>1</v>
      </c>
      <c r="K699" s="20">
        <v>1.1499999999999999</v>
      </c>
      <c r="L699" s="21" t="s">
        <v>28</v>
      </c>
      <c r="M699" s="22">
        <v>2.1097999999999999</v>
      </c>
      <c r="N699" s="22">
        <v>9.4799999999999995E-2</v>
      </c>
      <c r="O699" s="22">
        <v>1007.6071541501975</v>
      </c>
      <c r="P699" s="22">
        <f t="shared" si="94"/>
        <v>2444.7270098999998</v>
      </c>
      <c r="Q699" s="22">
        <v>2922.65</v>
      </c>
      <c r="R699" s="22">
        <f t="shared" si="95"/>
        <v>318.62730299999998</v>
      </c>
      <c r="S699" s="22">
        <f t="shared" si="96"/>
        <v>2763.3543129</v>
      </c>
      <c r="T699" s="23">
        <v>0.55859868298040061</v>
      </c>
      <c r="U699" s="24">
        <v>0.1</v>
      </c>
      <c r="V699" s="25">
        <f t="shared" si="106"/>
        <v>4737.6564319635654</v>
      </c>
      <c r="W699" s="26" t="s">
        <v>29</v>
      </c>
    </row>
    <row r="700" spans="1:23" ht="89.25" x14ac:dyDescent="0.25">
      <c r="A700" s="17">
        <f t="shared" ca="1" si="97"/>
        <v>696</v>
      </c>
      <c r="B700" s="18" t="s">
        <v>1245</v>
      </c>
      <c r="C700" s="18" t="s">
        <v>1420</v>
      </c>
      <c r="D700" s="6" t="s">
        <v>3386</v>
      </c>
      <c r="E700" s="18"/>
      <c r="F700" s="18"/>
      <c r="G700" s="18"/>
      <c r="H700" s="19" t="s">
        <v>1421</v>
      </c>
      <c r="I700" s="18" t="s">
        <v>161</v>
      </c>
      <c r="J700" s="20">
        <v>1</v>
      </c>
      <c r="K700" s="20">
        <v>1.1499999999999999</v>
      </c>
      <c r="L700" s="21" t="s">
        <v>28</v>
      </c>
      <c r="M700" s="22">
        <v>2.3540999999999999</v>
      </c>
      <c r="N700" s="22">
        <v>0.10260000000000001</v>
      </c>
      <c r="O700" s="22">
        <v>1007.6071541501975</v>
      </c>
      <c r="P700" s="22">
        <f t="shared" si="94"/>
        <v>2727.8092018227267</v>
      </c>
      <c r="Q700" s="22">
        <v>2922.65</v>
      </c>
      <c r="R700" s="22">
        <f t="shared" si="95"/>
        <v>344.84347350000002</v>
      </c>
      <c r="S700" s="22">
        <f t="shared" si="96"/>
        <v>3072.6526753227267</v>
      </c>
      <c r="T700" s="23">
        <v>0.55859868298040061</v>
      </c>
      <c r="U700" s="24">
        <v>0.1</v>
      </c>
      <c r="V700" s="25">
        <f t="shared" si="106"/>
        <v>5267.9356543156264</v>
      </c>
      <c r="W700" s="26" t="s">
        <v>29</v>
      </c>
    </row>
    <row r="701" spans="1:23" x14ac:dyDescent="0.25">
      <c r="A701" s="28">
        <f t="shared" ca="1" si="97"/>
        <v>697</v>
      </c>
      <c r="B701" s="9" t="s">
        <v>1245</v>
      </c>
      <c r="C701" s="9" t="s">
        <v>1422</v>
      </c>
      <c r="D701" s="6" t="s">
        <v>3386</v>
      </c>
      <c r="E701" s="9"/>
      <c r="F701" s="9"/>
      <c r="G701" s="9"/>
      <c r="H701" s="10" t="s">
        <v>1423</v>
      </c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29"/>
      <c r="U701" s="11"/>
      <c r="V701" s="9"/>
      <c r="W701" s="9"/>
    </row>
    <row r="702" spans="1:23" x14ac:dyDescent="0.25">
      <c r="A702" s="12">
        <f t="shared" ca="1" si="97"/>
        <v>698</v>
      </c>
      <c r="B702" s="13" t="s">
        <v>1245</v>
      </c>
      <c r="C702" s="13" t="s">
        <v>1424</v>
      </c>
      <c r="D702" s="6" t="s">
        <v>3386</v>
      </c>
      <c r="E702" s="13"/>
      <c r="F702" s="13"/>
      <c r="G702" s="13"/>
      <c r="H702" s="15" t="s">
        <v>1423</v>
      </c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27"/>
      <c r="U702" s="16"/>
      <c r="V702" s="13"/>
      <c r="W702" s="13"/>
    </row>
    <row r="703" spans="1:23" ht="89.25" x14ac:dyDescent="0.25">
      <c r="A703" s="17">
        <f t="shared" ca="1" si="97"/>
        <v>699</v>
      </c>
      <c r="B703" s="18" t="s">
        <v>1245</v>
      </c>
      <c r="C703" s="18" t="s">
        <v>1425</v>
      </c>
      <c r="D703" s="6" t="s">
        <v>3386</v>
      </c>
      <c r="E703" s="18"/>
      <c r="F703" s="18"/>
      <c r="G703" s="18"/>
      <c r="H703" s="19" t="s">
        <v>1426</v>
      </c>
      <c r="I703" s="18" t="s">
        <v>115</v>
      </c>
      <c r="J703" s="20">
        <v>1</v>
      </c>
      <c r="K703" s="20">
        <v>1.1499999999999999</v>
      </c>
      <c r="L703" s="21" t="s">
        <v>28</v>
      </c>
      <c r="M703" s="22">
        <v>74.332300000000004</v>
      </c>
      <c r="N703" s="22">
        <v>1.4376</v>
      </c>
      <c r="O703" s="22">
        <v>1007.6071541501975</v>
      </c>
      <c r="P703" s="22">
        <f t="shared" ref="P703:P766" si="107">O703*M703*K703</f>
        <v>86132.420854104523</v>
      </c>
      <c r="Q703" s="22">
        <v>2922.65</v>
      </c>
      <c r="R703" s="22">
        <f t="shared" ref="R703:R766" si="108">N703*Q703*K703</f>
        <v>4831.8418859999992</v>
      </c>
      <c r="S703" s="22">
        <f t="shared" ref="S703:S766" si="109">P703+R703</f>
        <v>90964.262740104517</v>
      </c>
      <c r="T703" s="23">
        <v>0.55859868298040061</v>
      </c>
      <c r="U703" s="24">
        <v>0.1</v>
      </c>
      <c r="V703" s="25">
        <f t="shared" ref="V703" si="110">S703+S703*T703+(S703+S703*T703)*U703</f>
        <v>155954.45811551102</v>
      </c>
      <c r="W703" s="26" t="s">
        <v>29</v>
      </c>
    </row>
    <row r="704" spans="1:23" x14ac:dyDescent="0.25">
      <c r="A704" s="12">
        <f t="shared" ca="1" si="97"/>
        <v>700</v>
      </c>
      <c r="B704" s="13" t="s">
        <v>1245</v>
      </c>
      <c r="C704" s="13" t="s">
        <v>1427</v>
      </c>
      <c r="D704" s="6" t="s">
        <v>3386</v>
      </c>
      <c r="E704" s="13"/>
      <c r="F704" s="13"/>
      <c r="G704" s="13"/>
      <c r="H704" s="15" t="s">
        <v>1428</v>
      </c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27"/>
      <c r="U704" s="16"/>
      <c r="V704" s="13"/>
      <c r="W704" s="13"/>
    </row>
    <row r="705" spans="1:23" ht="89.25" x14ac:dyDescent="0.25">
      <c r="A705" s="17">
        <f t="shared" ca="1" si="97"/>
        <v>701</v>
      </c>
      <c r="B705" s="18" t="s">
        <v>1245</v>
      </c>
      <c r="C705" s="18" t="s">
        <v>1429</v>
      </c>
      <c r="D705" s="6" t="s">
        <v>3386</v>
      </c>
      <c r="E705" s="18"/>
      <c r="F705" s="18"/>
      <c r="G705" s="18"/>
      <c r="H705" s="19" t="s">
        <v>1430</v>
      </c>
      <c r="I705" s="18" t="s">
        <v>115</v>
      </c>
      <c r="J705" s="20">
        <v>1</v>
      </c>
      <c r="K705" s="20">
        <v>1.1499999999999999</v>
      </c>
      <c r="L705" s="21" t="s">
        <v>28</v>
      </c>
      <c r="M705" s="22">
        <v>39.847500000000004</v>
      </c>
      <c r="N705" s="22">
        <v>1.6494</v>
      </c>
      <c r="O705" s="22">
        <v>1007.6071541501975</v>
      </c>
      <c r="P705" s="22">
        <f t="shared" si="107"/>
        <v>46173.219986249998</v>
      </c>
      <c r="Q705" s="22">
        <v>2922.65</v>
      </c>
      <c r="R705" s="22">
        <f t="shared" si="108"/>
        <v>5543.7117465000001</v>
      </c>
      <c r="S705" s="22">
        <f t="shared" si="109"/>
        <v>51716.931732749996</v>
      </c>
      <c r="T705" s="23">
        <v>0.55859868298040061</v>
      </c>
      <c r="U705" s="24">
        <v>0.1</v>
      </c>
      <c r="V705" s="25">
        <f t="shared" ref="V705:V706" si="111">S705+S705*T705+(S705+S705*T705)*U705</f>
        <v>88666.535855096576</v>
      </c>
      <c r="W705" s="26" t="s">
        <v>29</v>
      </c>
    </row>
    <row r="706" spans="1:23" ht="89.25" x14ac:dyDescent="0.25">
      <c r="A706" s="17">
        <f t="shared" ca="1" si="97"/>
        <v>702</v>
      </c>
      <c r="B706" s="18" t="s">
        <v>1245</v>
      </c>
      <c r="C706" s="18" t="s">
        <v>1431</v>
      </c>
      <c r="D706" s="6" t="s">
        <v>3386</v>
      </c>
      <c r="E706" s="18"/>
      <c r="F706" s="18"/>
      <c r="G706" s="18"/>
      <c r="H706" s="19" t="s">
        <v>1432</v>
      </c>
      <c r="I706" s="18" t="s">
        <v>115</v>
      </c>
      <c r="J706" s="20">
        <v>1</v>
      </c>
      <c r="K706" s="20">
        <v>1.1499999999999999</v>
      </c>
      <c r="L706" s="21" t="s">
        <v>28</v>
      </c>
      <c r="M706" s="22">
        <v>34.18869999999999</v>
      </c>
      <c r="N706" s="22">
        <v>1.1616</v>
      </c>
      <c r="O706" s="22">
        <v>1007.6071541501975</v>
      </c>
      <c r="P706" s="22">
        <f t="shared" si="107"/>
        <v>39616.095517759073</v>
      </c>
      <c r="Q706" s="22">
        <v>2922.65</v>
      </c>
      <c r="R706" s="22">
        <f t="shared" si="108"/>
        <v>3904.1927759999999</v>
      </c>
      <c r="S706" s="22">
        <f t="shared" si="109"/>
        <v>43520.288293759077</v>
      </c>
      <c r="T706" s="23">
        <v>0.55859868298040061</v>
      </c>
      <c r="U706" s="24">
        <v>0.1</v>
      </c>
      <c r="V706" s="25">
        <f t="shared" si="111"/>
        <v>74613.730419338273</v>
      </c>
      <c r="W706" s="26" t="s">
        <v>29</v>
      </c>
    </row>
    <row r="707" spans="1:23" x14ac:dyDescent="0.25">
      <c r="A707" s="28">
        <f t="shared" ref="A707:A770" ca="1" si="112">CELL("строка",A707)-4</f>
        <v>703</v>
      </c>
      <c r="B707" s="9" t="s">
        <v>1245</v>
      </c>
      <c r="C707" s="9" t="s">
        <v>1433</v>
      </c>
      <c r="D707" s="6" t="s">
        <v>3386</v>
      </c>
      <c r="E707" s="9"/>
      <c r="F707" s="9"/>
      <c r="G707" s="9"/>
      <c r="H707" s="10" t="s">
        <v>1434</v>
      </c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29"/>
      <c r="U707" s="11"/>
      <c r="V707" s="9"/>
      <c r="W707" s="9"/>
    </row>
    <row r="708" spans="1:23" x14ac:dyDescent="0.25">
      <c r="A708" s="12">
        <f t="shared" ca="1" si="112"/>
        <v>704</v>
      </c>
      <c r="B708" s="13" t="s">
        <v>1245</v>
      </c>
      <c r="C708" s="13" t="s">
        <v>1435</v>
      </c>
      <c r="D708" s="6" t="s">
        <v>3386</v>
      </c>
      <c r="E708" s="13"/>
      <c r="F708" s="13"/>
      <c r="G708" s="13"/>
      <c r="H708" s="15" t="s">
        <v>1436</v>
      </c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27"/>
      <c r="U708" s="16"/>
      <c r="V708" s="13"/>
      <c r="W708" s="13"/>
    </row>
    <row r="709" spans="1:23" ht="89.25" x14ac:dyDescent="0.25">
      <c r="A709" s="17">
        <f t="shared" ca="1" si="112"/>
        <v>705</v>
      </c>
      <c r="B709" s="18" t="s">
        <v>1245</v>
      </c>
      <c r="C709" s="18" t="s">
        <v>1437</v>
      </c>
      <c r="D709" s="6" t="s">
        <v>3386</v>
      </c>
      <c r="E709" s="18"/>
      <c r="F709" s="18"/>
      <c r="G709" s="18"/>
      <c r="H709" s="19" t="s">
        <v>1438</v>
      </c>
      <c r="I709" s="18" t="s">
        <v>161</v>
      </c>
      <c r="J709" s="20">
        <v>1</v>
      </c>
      <c r="K709" s="20">
        <v>1.1499999999999999</v>
      </c>
      <c r="L709" s="21" t="s">
        <v>28</v>
      </c>
      <c r="M709" s="22">
        <v>0.20650000000000002</v>
      </c>
      <c r="N709" s="22">
        <v>1.26E-2</v>
      </c>
      <c r="O709" s="22">
        <v>1007.6071541501975</v>
      </c>
      <c r="P709" s="22">
        <f t="shared" si="107"/>
        <v>239.28150893181817</v>
      </c>
      <c r="Q709" s="22">
        <v>2922.65</v>
      </c>
      <c r="R709" s="22">
        <f t="shared" si="108"/>
        <v>42.349198499999993</v>
      </c>
      <c r="S709" s="22">
        <f t="shared" si="109"/>
        <v>281.63070743181817</v>
      </c>
      <c r="T709" s="23">
        <v>0.55859868298040061</v>
      </c>
      <c r="U709" s="24">
        <v>0.1</v>
      </c>
      <c r="V709" s="25">
        <f t="shared" ref="V709:V712" si="113">S709+S709*T709+(S709+S709*T709)*U709</f>
        <v>482.84417465907734</v>
      </c>
      <c r="W709" s="26" t="s">
        <v>29</v>
      </c>
    </row>
    <row r="710" spans="1:23" ht="89.25" x14ac:dyDescent="0.25">
      <c r="A710" s="17">
        <f t="shared" ca="1" si="112"/>
        <v>706</v>
      </c>
      <c r="B710" s="18" t="s">
        <v>1245</v>
      </c>
      <c r="C710" s="18" t="s">
        <v>1439</v>
      </c>
      <c r="D710" s="6" t="s">
        <v>3386</v>
      </c>
      <c r="E710" s="18"/>
      <c r="F710" s="18"/>
      <c r="G710" s="18"/>
      <c r="H710" s="19" t="s">
        <v>1440</v>
      </c>
      <c r="I710" s="18" t="s">
        <v>161</v>
      </c>
      <c r="J710" s="20">
        <v>1</v>
      </c>
      <c r="K710" s="20">
        <v>1.1499999999999999</v>
      </c>
      <c r="L710" s="21" t="s">
        <v>28</v>
      </c>
      <c r="M710" s="22">
        <v>9.8000000000000004E-2</v>
      </c>
      <c r="N710" s="22">
        <v>1.2E-2</v>
      </c>
      <c r="O710" s="22">
        <v>1007.6071541501975</v>
      </c>
      <c r="P710" s="22">
        <f t="shared" si="107"/>
        <v>113.55732627272725</v>
      </c>
      <c r="Q710" s="22">
        <v>2922.65</v>
      </c>
      <c r="R710" s="22">
        <f t="shared" si="108"/>
        <v>40.332570000000004</v>
      </c>
      <c r="S710" s="22">
        <f t="shared" si="109"/>
        <v>153.88989627272724</v>
      </c>
      <c r="T710" s="23">
        <v>0.55859868298040061</v>
      </c>
      <c r="U710" s="24">
        <v>0.1</v>
      </c>
      <c r="V710" s="25">
        <f t="shared" si="113"/>
        <v>263.83784862012942</v>
      </c>
      <c r="W710" s="26" t="s">
        <v>29</v>
      </c>
    </row>
    <row r="711" spans="1:23" ht="89.25" x14ac:dyDescent="0.25">
      <c r="A711" s="17">
        <f t="shared" ca="1" si="112"/>
        <v>707</v>
      </c>
      <c r="B711" s="18" t="s">
        <v>1245</v>
      </c>
      <c r="C711" s="18" t="s">
        <v>1441</v>
      </c>
      <c r="D711" s="6" t="s">
        <v>3386</v>
      </c>
      <c r="E711" s="18"/>
      <c r="F711" s="18"/>
      <c r="G711" s="18"/>
      <c r="H711" s="19" t="s">
        <v>1442</v>
      </c>
      <c r="I711" s="18" t="s">
        <v>161</v>
      </c>
      <c r="J711" s="20">
        <v>1</v>
      </c>
      <c r="K711" s="20">
        <v>1.1499999999999999</v>
      </c>
      <c r="L711" s="21" t="s">
        <v>28</v>
      </c>
      <c r="M711" s="22">
        <v>0.35349999999999998</v>
      </c>
      <c r="N711" s="22">
        <v>1.26E-2</v>
      </c>
      <c r="O711" s="22">
        <v>1007.6071541501975</v>
      </c>
      <c r="P711" s="22">
        <f t="shared" si="107"/>
        <v>409.61749834090904</v>
      </c>
      <c r="Q711" s="22">
        <v>2922.65</v>
      </c>
      <c r="R711" s="22">
        <f t="shared" si="108"/>
        <v>42.349198499999993</v>
      </c>
      <c r="S711" s="22">
        <f t="shared" si="109"/>
        <v>451.96669684090904</v>
      </c>
      <c r="T711" s="23">
        <v>0.55859868298040061</v>
      </c>
      <c r="U711" s="24">
        <v>0.1</v>
      </c>
      <c r="V711" s="25">
        <f t="shared" si="113"/>
        <v>774.87816829196709</v>
      </c>
      <c r="W711" s="26" t="s">
        <v>29</v>
      </c>
    </row>
    <row r="712" spans="1:23" ht="89.25" x14ac:dyDescent="0.25">
      <c r="A712" s="17">
        <f t="shared" ca="1" si="112"/>
        <v>708</v>
      </c>
      <c r="B712" s="18" t="s">
        <v>1245</v>
      </c>
      <c r="C712" s="18" t="s">
        <v>1443</v>
      </c>
      <c r="D712" s="6" t="s">
        <v>3386</v>
      </c>
      <c r="E712" s="18"/>
      <c r="F712" s="18"/>
      <c r="G712" s="18"/>
      <c r="H712" s="19" t="s">
        <v>1444</v>
      </c>
      <c r="I712" s="18" t="s">
        <v>161</v>
      </c>
      <c r="J712" s="20">
        <v>1</v>
      </c>
      <c r="K712" s="20">
        <v>1.1499999999999999</v>
      </c>
      <c r="L712" s="21" t="s">
        <v>28</v>
      </c>
      <c r="M712" s="22">
        <v>0.21000000000000002</v>
      </c>
      <c r="N712" s="22">
        <v>1.2E-2</v>
      </c>
      <c r="O712" s="22">
        <v>1007.6071541501975</v>
      </c>
      <c r="P712" s="22">
        <f t="shared" si="107"/>
        <v>243.33712772727273</v>
      </c>
      <c r="Q712" s="22">
        <v>2922.65</v>
      </c>
      <c r="R712" s="22">
        <f t="shared" si="108"/>
        <v>40.332570000000004</v>
      </c>
      <c r="S712" s="22">
        <f t="shared" si="109"/>
        <v>283.66969772727271</v>
      </c>
      <c r="T712" s="23">
        <v>0.55859868298040061</v>
      </c>
      <c r="U712" s="24">
        <v>0.1</v>
      </c>
      <c r="V712" s="25">
        <f t="shared" si="113"/>
        <v>486.33993900709311</v>
      </c>
      <c r="W712" s="26" t="s">
        <v>29</v>
      </c>
    </row>
    <row r="713" spans="1:23" x14ac:dyDescent="0.25">
      <c r="A713" s="12">
        <f t="shared" ca="1" si="112"/>
        <v>709</v>
      </c>
      <c r="B713" s="13" t="s">
        <v>1245</v>
      </c>
      <c r="C713" s="13" t="s">
        <v>1445</v>
      </c>
      <c r="D713" s="6" t="s">
        <v>3386</v>
      </c>
      <c r="E713" s="13"/>
      <c r="F713" s="13"/>
      <c r="G713" s="13"/>
      <c r="H713" s="15" t="s">
        <v>1446</v>
      </c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27"/>
      <c r="U713" s="16"/>
      <c r="V713" s="13"/>
      <c r="W713" s="13"/>
    </row>
    <row r="714" spans="1:23" ht="89.25" x14ac:dyDescent="0.25">
      <c r="A714" s="17">
        <f t="shared" ca="1" si="112"/>
        <v>710</v>
      </c>
      <c r="B714" s="18" t="s">
        <v>1245</v>
      </c>
      <c r="C714" s="18" t="s">
        <v>1447</v>
      </c>
      <c r="D714" s="6" t="s">
        <v>3386</v>
      </c>
      <c r="E714" s="18"/>
      <c r="F714" s="18"/>
      <c r="G714" s="18"/>
      <c r="H714" s="19" t="s">
        <v>1448</v>
      </c>
      <c r="I714" s="18" t="s">
        <v>161</v>
      </c>
      <c r="J714" s="20">
        <v>1</v>
      </c>
      <c r="K714" s="20">
        <v>1.1499999999999999</v>
      </c>
      <c r="L714" s="21" t="s">
        <v>28</v>
      </c>
      <c r="M714" s="22">
        <v>0.67199999999999993</v>
      </c>
      <c r="N714" s="22">
        <v>2.4E-2</v>
      </c>
      <c r="O714" s="22">
        <v>1007.6071541501975</v>
      </c>
      <c r="P714" s="22">
        <f t="shared" si="107"/>
        <v>778.67880872727255</v>
      </c>
      <c r="Q714" s="22">
        <v>2922.65</v>
      </c>
      <c r="R714" s="22">
        <f t="shared" si="108"/>
        <v>80.665140000000008</v>
      </c>
      <c r="S714" s="22">
        <f t="shared" si="109"/>
        <v>859.34394872727262</v>
      </c>
      <c r="T714" s="23">
        <v>0.55859868298040061</v>
      </c>
      <c r="U714" s="24">
        <v>0.1</v>
      </c>
      <c r="V714" s="25">
        <f t="shared" ref="V714:V716" si="114">S714+S714*T714+(S714+S714*T714)*U714</f>
        <v>1473.3095813848543</v>
      </c>
      <c r="W714" s="26" t="s">
        <v>29</v>
      </c>
    </row>
    <row r="715" spans="1:23" ht="89.25" x14ac:dyDescent="0.25">
      <c r="A715" s="17">
        <f t="shared" ca="1" si="112"/>
        <v>711</v>
      </c>
      <c r="B715" s="18" t="s">
        <v>1245</v>
      </c>
      <c r="C715" s="18" t="s">
        <v>1449</v>
      </c>
      <c r="D715" s="6" t="s">
        <v>3386</v>
      </c>
      <c r="E715" s="18"/>
      <c r="F715" s="18"/>
      <c r="G715" s="18"/>
      <c r="H715" s="19" t="s">
        <v>1450</v>
      </c>
      <c r="I715" s="18" t="s">
        <v>161</v>
      </c>
      <c r="J715" s="20">
        <v>1</v>
      </c>
      <c r="K715" s="20">
        <v>1.1499999999999999</v>
      </c>
      <c r="L715" s="21" t="s">
        <v>28</v>
      </c>
      <c r="M715" s="22">
        <v>0.79799999999999993</v>
      </c>
      <c r="N715" s="22">
        <v>2.4E-2</v>
      </c>
      <c r="O715" s="22">
        <v>1007.6071541501975</v>
      </c>
      <c r="P715" s="22">
        <f t="shared" si="107"/>
        <v>924.68108536363616</v>
      </c>
      <c r="Q715" s="22">
        <v>2922.65</v>
      </c>
      <c r="R715" s="22">
        <f t="shared" si="108"/>
        <v>80.665140000000008</v>
      </c>
      <c r="S715" s="22">
        <f t="shared" si="109"/>
        <v>1005.3462253636362</v>
      </c>
      <c r="T715" s="23">
        <v>0.55859868298040061</v>
      </c>
      <c r="U715" s="24">
        <v>0.1</v>
      </c>
      <c r="V715" s="25">
        <f t="shared" si="114"/>
        <v>1723.6244330701884</v>
      </c>
      <c r="W715" s="26" t="s">
        <v>29</v>
      </c>
    </row>
    <row r="716" spans="1:23" ht="89.25" x14ac:dyDescent="0.25">
      <c r="A716" s="17">
        <f t="shared" ca="1" si="112"/>
        <v>712</v>
      </c>
      <c r="B716" s="18" t="s">
        <v>1245</v>
      </c>
      <c r="C716" s="18" t="s">
        <v>1451</v>
      </c>
      <c r="D716" s="6" t="s">
        <v>3386</v>
      </c>
      <c r="E716" s="18"/>
      <c r="F716" s="18"/>
      <c r="G716" s="18"/>
      <c r="H716" s="19" t="s">
        <v>1452</v>
      </c>
      <c r="I716" s="18" t="s">
        <v>161</v>
      </c>
      <c r="J716" s="20">
        <v>1</v>
      </c>
      <c r="K716" s="20">
        <v>1.1499999999999999</v>
      </c>
      <c r="L716" s="21" t="s">
        <v>28</v>
      </c>
      <c r="M716" s="22">
        <v>0.81199999999999994</v>
      </c>
      <c r="N716" s="22">
        <v>2.4E-2</v>
      </c>
      <c r="O716" s="22">
        <v>1007.6071541501975</v>
      </c>
      <c r="P716" s="22">
        <f t="shared" si="107"/>
        <v>940.9035605454543</v>
      </c>
      <c r="Q716" s="22">
        <v>2922.65</v>
      </c>
      <c r="R716" s="22">
        <f t="shared" si="108"/>
        <v>80.665140000000008</v>
      </c>
      <c r="S716" s="22">
        <f t="shared" si="109"/>
        <v>1021.5687005454542</v>
      </c>
      <c r="T716" s="23">
        <v>0.55859868298040061</v>
      </c>
      <c r="U716" s="24">
        <v>0.1</v>
      </c>
      <c r="V716" s="25">
        <f t="shared" si="114"/>
        <v>1751.4371943685587</v>
      </c>
      <c r="W716" s="26" t="s">
        <v>29</v>
      </c>
    </row>
    <row r="717" spans="1:23" x14ac:dyDescent="0.25">
      <c r="A717" s="5">
        <f t="shared" ca="1" si="112"/>
        <v>713</v>
      </c>
      <c r="B717" s="6" t="s">
        <v>1453</v>
      </c>
      <c r="C717" s="6" t="s">
        <v>1453</v>
      </c>
      <c r="D717" s="6"/>
      <c r="E717" s="6"/>
      <c r="F717" s="6"/>
      <c r="G717" s="6"/>
      <c r="H717" s="7" t="s">
        <v>1454</v>
      </c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30"/>
      <c r="U717" s="8"/>
      <c r="V717" s="6"/>
      <c r="W717" s="6"/>
    </row>
    <row r="718" spans="1:23" x14ac:dyDescent="0.25">
      <c r="A718" s="28">
        <f t="shared" ca="1" si="112"/>
        <v>714</v>
      </c>
      <c r="B718" s="9" t="s">
        <v>1453</v>
      </c>
      <c r="C718" s="9" t="s">
        <v>1455</v>
      </c>
      <c r="D718" s="9"/>
      <c r="E718" s="9"/>
      <c r="F718" s="9"/>
      <c r="G718" s="9"/>
      <c r="H718" s="10" t="s">
        <v>1456</v>
      </c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29"/>
      <c r="U718" s="11"/>
      <c r="V718" s="9"/>
      <c r="W718" s="9"/>
    </row>
    <row r="719" spans="1:23" x14ac:dyDescent="0.25">
      <c r="A719" s="12">
        <f t="shared" ca="1" si="112"/>
        <v>715</v>
      </c>
      <c r="B719" s="13" t="s">
        <v>1453</v>
      </c>
      <c r="C719" s="13" t="s">
        <v>1457</v>
      </c>
      <c r="D719" s="13"/>
      <c r="E719" s="13"/>
      <c r="F719" s="13"/>
      <c r="G719" s="13"/>
      <c r="H719" s="15" t="s">
        <v>1458</v>
      </c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27"/>
      <c r="U719" s="16"/>
      <c r="V719" s="13"/>
      <c r="W719" s="13"/>
    </row>
    <row r="720" spans="1:23" ht="89.25" x14ac:dyDescent="0.25">
      <c r="A720" s="17">
        <f t="shared" ca="1" si="112"/>
        <v>716</v>
      </c>
      <c r="B720" s="18" t="s">
        <v>1453</v>
      </c>
      <c r="C720" s="18" t="s">
        <v>1459</v>
      </c>
      <c r="D720" s="18"/>
      <c r="E720" s="18"/>
      <c r="F720" s="18"/>
      <c r="G720" s="18"/>
      <c r="H720" s="19" t="s">
        <v>1460</v>
      </c>
      <c r="I720" s="18" t="s">
        <v>104</v>
      </c>
      <c r="J720" s="20">
        <v>1</v>
      </c>
      <c r="K720" s="20">
        <v>1.1499999999999999</v>
      </c>
      <c r="L720" s="21" t="s">
        <v>28</v>
      </c>
      <c r="M720" s="22">
        <v>0.19359999999999999</v>
      </c>
      <c r="N720" s="22">
        <v>2.1000000000000001E-2</v>
      </c>
      <c r="O720" s="22">
        <v>1052.3689999999999</v>
      </c>
      <c r="P720" s="22">
        <f t="shared" si="107"/>
        <v>234.29943415999998</v>
      </c>
      <c r="Q720" s="22">
        <v>2757.7041798239825</v>
      </c>
      <c r="R720" s="22">
        <f t="shared" si="108"/>
        <v>66.598555942749172</v>
      </c>
      <c r="S720" s="22">
        <f t="shared" si="109"/>
        <v>300.89799010274913</v>
      </c>
      <c r="T720" s="23">
        <v>0.55859868298040061</v>
      </c>
      <c r="U720" s="24">
        <v>0.1</v>
      </c>
      <c r="V720" s="25">
        <f t="shared" ref="V720:V783" si="115">S720+S720*T720+(S720+S720*T720)*U720</f>
        <v>515.87713219415389</v>
      </c>
      <c r="W720" s="26" t="s">
        <v>29</v>
      </c>
    </row>
    <row r="721" spans="1:23" ht="89.25" x14ac:dyDescent="0.25">
      <c r="A721" s="17">
        <f t="shared" ca="1" si="112"/>
        <v>717</v>
      </c>
      <c r="B721" s="18" t="s">
        <v>1453</v>
      </c>
      <c r="C721" s="18" t="s">
        <v>1461</v>
      </c>
      <c r="D721" s="18"/>
      <c r="E721" s="18"/>
      <c r="F721" s="18"/>
      <c r="G721" s="18"/>
      <c r="H721" s="19" t="s">
        <v>1462</v>
      </c>
      <c r="I721" s="18" t="s">
        <v>104</v>
      </c>
      <c r="J721" s="20">
        <v>1</v>
      </c>
      <c r="K721" s="20">
        <v>1.1499999999999999</v>
      </c>
      <c r="L721" s="21" t="s">
        <v>28</v>
      </c>
      <c r="M721" s="22">
        <v>0.19359999999999999</v>
      </c>
      <c r="N721" s="22">
        <v>2.1000000000000001E-2</v>
      </c>
      <c r="O721" s="22">
        <v>1052.3689999999999</v>
      </c>
      <c r="P721" s="22">
        <f t="shared" si="107"/>
        <v>234.29943415999998</v>
      </c>
      <c r="Q721" s="22">
        <v>2757.7041798239825</v>
      </c>
      <c r="R721" s="22">
        <f t="shared" si="108"/>
        <v>66.598555942749172</v>
      </c>
      <c r="S721" s="22">
        <f t="shared" si="109"/>
        <v>300.89799010274913</v>
      </c>
      <c r="T721" s="23">
        <v>0.55859868298040061</v>
      </c>
      <c r="U721" s="24">
        <v>0.1</v>
      </c>
      <c r="V721" s="25">
        <f t="shared" si="115"/>
        <v>515.87713219415389</v>
      </c>
      <c r="W721" s="26" t="s">
        <v>29</v>
      </c>
    </row>
    <row r="722" spans="1:23" ht="89.25" x14ac:dyDescent="0.25">
      <c r="A722" s="17">
        <f t="shared" ca="1" si="112"/>
        <v>718</v>
      </c>
      <c r="B722" s="18" t="s">
        <v>1453</v>
      </c>
      <c r="C722" s="18" t="s">
        <v>1463</v>
      </c>
      <c r="D722" s="18"/>
      <c r="E722" s="18"/>
      <c r="F722" s="18"/>
      <c r="G722" s="18"/>
      <c r="H722" s="19" t="s">
        <v>1464</v>
      </c>
      <c r="I722" s="18" t="s">
        <v>104</v>
      </c>
      <c r="J722" s="20">
        <v>1</v>
      </c>
      <c r="K722" s="20">
        <v>1.1499999999999999</v>
      </c>
      <c r="L722" s="21" t="s">
        <v>28</v>
      </c>
      <c r="M722" s="22">
        <v>0.19359999999999999</v>
      </c>
      <c r="N722" s="22">
        <v>2.1000000000000001E-2</v>
      </c>
      <c r="O722" s="22">
        <v>1052.3689999999999</v>
      </c>
      <c r="P722" s="22">
        <f t="shared" si="107"/>
        <v>234.29943415999998</v>
      </c>
      <c r="Q722" s="22">
        <v>2757.7041798239825</v>
      </c>
      <c r="R722" s="22">
        <f t="shared" si="108"/>
        <v>66.598555942749172</v>
      </c>
      <c r="S722" s="22">
        <f t="shared" si="109"/>
        <v>300.89799010274913</v>
      </c>
      <c r="T722" s="23">
        <v>0.55859868298040061</v>
      </c>
      <c r="U722" s="24">
        <v>0.1</v>
      </c>
      <c r="V722" s="25">
        <f t="shared" si="115"/>
        <v>515.87713219415389</v>
      </c>
      <c r="W722" s="26" t="s">
        <v>29</v>
      </c>
    </row>
    <row r="723" spans="1:23" ht="89.25" x14ac:dyDescent="0.25">
      <c r="A723" s="17">
        <f t="shared" ca="1" si="112"/>
        <v>719</v>
      </c>
      <c r="B723" s="18" t="s">
        <v>1453</v>
      </c>
      <c r="C723" s="18" t="s">
        <v>1465</v>
      </c>
      <c r="D723" s="18"/>
      <c r="E723" s="18"/>
      <c r="F723" s="18"/>
      <c r="G723" s="18"/>
      <c r="H723" s="19" t="s">
        <v>1466</v>
      </c>
      <c r="I723" s="18" t="s">
        <v>104</v>
      </c>
      <c r="J723" s="20">
        <v>1</v>
      </c>
      <c r="K723" s="20">
        <v>1.1499999999999999</v>
      </c>
      <c r="L723" s="21" t="s">
        <v>28</v>
      </c>
      <c r="M723" s="22">
        <v>0.2</v>
      </c>
      <c r="N723" s="22">
        <v>2.1000000000000001E-2</v>
      </c>
      <c r="O723" s="22">
        <v>1052.3689999999999</v>
      </c>
      <c r="P723" s="22">
        <f t="shared" si="107"/>
        <v>242.04486999999997</v>
      </c>
      <c r="Q723" s="22">
        <v>2757.7041798239825</v>
      </c>
      <c r="R723" s="22">
        <f t="shared" si="108"/>
        <v>66.598555942749172</v>
      </c>
      <c r="S723" s="22">
        <f t="shared" si="109"/>
        <v>308.64342594274916</v>
      </c>
      <c r="T723" s="23">
        <v>0.55859868298040061</v>
      </c>
      <c r="U723" s="24">
        <v>0.1</v>
      </c>
      <c r="V723" s="25">
        <f t="shared" si="115"/>
        <v>529.15636090342048</v>
      </c>
      <c r="W723" s="26" t="s">
        <v>29</v>
      </c>
    </row>
    <row r="724" spans="1:23" ht="89.25" x14ac:dyDescent="0.25">
      <c r="A724" s="17">
        <f t="shared" ca="1" si="112"/>
        <v>720</v>
      </c>
      <c r="B724" s="18" t="s">
        <v>1453</v>
      </c>
      <c r="C724" s="18" t="s">
        <v>1467</v>
      </c>
      <c r="D724" s="18"/>
      <c r="E724" s="18"/>
      <c r="F724" s="18"/>
      <c r="G724" s="18"/>
      <c r="H724" s="19" t="s">
        <v>1468</v>
      </c>
      <c r="I724" s="18" t="s">
        <v>104</v>
      </c>
      <c r="J724" s="20">
        <v>1</v>
      </c>
      <c r="K724" s="20">
        <v>1.1499999999999999</v>
      </c>
      <c r="L724" s="21" t="s">
        <v>28</v>
      </c>
      <c r="M724" s="22">
        <v>0.19359999999999999</v>
      </c>
      <c r="N724" s="22">
        <v>2.1000000000000001E-2</v>
      </c>
      <c r="O724" s="22">
        <v>1052.3689999999999</v>
      </c>
      <c r="P724" s="22">
        <f t="shared" si="107"/>
        <v>234.29943415999998</v>
      </c>
      <c r="Q724" s="22">
        <v>2757.7041798239825</v>
      </c>
      <c r="R724" s="22">
        <f t="shared" si="108"/>
        <v>66.598555942749172</v>
      </c>
      <c r="S724" s="22">
        <f t="shared" si="109"/>
        <v>300.89799010274913</v>
      </c>
      <c r="T724" s="23">
        <v>0.55859868298040061</v>
      </c>
      <c r="U724" s="24">
        <v>0.1</v>
      </c>
      <c r="V724" s="25">
        <f t="shared" si="115"/>
        <v>515.87713219415389</v>
      </c>
      <c r="W724" s="26" t="s">
        <v>29</v>
      </c>
    </row>
    <row r="725" spans="1:23" ht="89.25" x14ac:dyDescent="0.25">
      <c r="A725" s="17">
        <f t="shared" ca="1" si="112"/>
        <v>721</v>
      </c>
      <c r="B725" s="18" t="s">
        <v>1453</v>
      </c>
      <c r="C725" s="18" t="s">
        <v>1469</v>
      </c>
      <c r="D725" s="18"/>
      <c r="E725" s="18"/>
      <c r="F725" s="18"/>
      <c r="G725" s="18"/>
      <c r="H725" s="19" t="s">
        <v>1470</v>
      </c>
      <c r="I725" s="18" t="s">
        <v>104</v>
      </c>
      <c r="J725" s="20">
        <v>1</v>
      </c>
      <c r="K725" s="20">
        <v>1.1499999999999999</v>
      </c>
      <c r="L725" s="21" t="s">
        <v>28</v>
      </c>
      <c r="M725" s="22">
        <v>0.2</v>
      </c>
      <c r="N725" s="22">
        <v>2.1000000000000001E-2</v>
      </c>
      <c r="O725" s="22">
        <v>1052.3689999999999</v>
      </c>
      <c r="P725" s="22">
        <f t="shared" si="107"/>
        <v>242.04486999999997</v>
      </c>
      <c r="Q725" s="22">
        <v>2757.7041798239825</v>
      </c>
      <c r="R725" s="22">
        <f t="shared" si="108"/>
        <v>66.598555942749172</v>
      </c>
      <c r="S725" s="22">
        <f t="shared" si="109"/>
        <v>308.64342594274916</v>
      </c>
      <c r="T725" s="23">
        <v>0.55859868298040061</v>
      </c>
      <c r="U725" s="24">
        <v>0.1</v>
      </c>
      <c r="V725" s="25">
        <f t="shared" si="115"/>
        <v>529.15636090342048</v>
      </c>
      <c r="W725" s="26" t="s">
        <v>29</v>
      </c>
    </row>
    <row r="726" spans="1:23" ht="89.25" x14ac:dyDescent="0.25">
      <c r="A726" s="17">
        <f t="shared" ca="1" si="112"/>
        <v>722</v>
      </c>
      <c r="B726" s="18" t="s">
        <v>1453</v>
      </c>
      <c r="C726" s="18" t="s">
        <v>1471</v>
      </c>
      <c r="D726" s="18"/>
      <c r="E726" s="18"/>
      <c r="F726" s="18"/>
      <c r="G726" s="18"/>
      <c r="H726" s="19" t="s">
        <v>1472</v>
      </c>
      <c r="I726" s="18" t="s">
        <v>104</v>
      </c>
      <c r="J726" s="20">
        <v>1</v>
      </c>
      <c r="K726" s="20">
        <v>1.1499999999999999</v>
      </c>
      <c r="L726" s="21" t="s">
        <v>28</v>
      </c>
      <c r="M726" s="22">
        <v>0.2</v>
      </c>
      <c r="N726" s="22">
        <v>2.1000000000000001E-2</v>
      </c>
      <c r="O726" s="22">
        <v>1052.3689999999999</v>
      </c>
      <c r="P726" s="22">
        <f t="shared" si="107"/>
        <v>242.04486999999997</v>
      </c>
      <c r="Q726" s="22">
        <v>2757.7041798239825</v>
      </c>
      <c r="R726" s="22">
        <f t="shared" si="108"/>
        <v>66.598555942749172</v>
      </c>
      <c r="S726" s="22">
        <f t="shared" si="109"/>
        <v>308.64342594274916</v>
      </c>
      <c r="T726" s="23">
        <v>0.55859868298040061</v>
      </c>
      <c r="U726" s="24">
        <v>0.1</v>
      </c>
      <c r="V726" s="25">
        <f t="shared" si="115"/>
        <v>529.15636090342048</v>
      </c>
      <c r="W726" s="26" t="s">
        <v>29</v>
      </c>
    </row>
    <row r="727" spans="1:23" ht="89.25" x14ac:dyDescent="0.25">
      <c r="A727" s="17">
        <f t="shared" ca="1" si="112"/>
        <v>723</v>
      </c>
      <c r="B727" s="18" t="s">
        <v>1453</v>
      </c>
      <c r="C727" s="18" t="s">
        <v>1473</v>
      </c>
      <c r="D727" s="18"/>
      <c r="E727" s="18"/>
      <c r="F727" s="18"/>
      <c r="G727" s="18"/>
      <c r="H727" s="19" t="s">
        <v>1474</v>
      </c>
      <c r="I727" s="18" t="s">
        <v>104</v>
      </c>
      <c r="J727" s="20">
        <v>1</v>
      </c>
      <c r="K727" s="20">
        <v>1.1499999999999999</v>
      </c>
      <c r="L727" s="21" t="s">
        <v>28</v>
      </c>
      <c r="M727" s="22">
        <v>0.2</v>
      </c>
      <c r="N727" s="22">
        <v>2.1000000000000001E-2</v>
      </c>
      <c r="O727" s="22">
        <v>1052.3689999999999</v>
      </c>
      <c r="P727" s="22">
        <f t="shared" si="107"/>
        <v>242.04486999999997</v>
      </c>
      <c r="Q727" s="22">
        <v>2757.7041798239825</v>
      </c>
      <c r="R727" s="22">
        <f t="shared" si="108"/>
        <v>66.598555942749172</v>
      </c>
      <c r="S727" s="22">
        <f t="shared" si="109"/>
        <v>308.64342594274916</v>
      </c>
      <c r="T727" s="23">
        <v>0.55859868298040061</v>
      </c>
      <c r="U727" s="24">
        <v>0.1</v>
      </c>
      <c r="V727" s="25">
        <f t="shared" si="115"/>
        <v>529.15636090342048</v>
      </c>
      <c r="W727" s="26" t="s">
        <v>29</v>
      </c>
    </row>
    <row r="728" spans="1:23" ht="89.25" x14ac:dyDescent="0.25">
      <c r="A728" s="17">
        <f t="shared" ca="1" si="112"/>
        <v>724</v>
      </c>
      <c r="B728" s="18" t="s">
        <v>1453</v>
      </c>
      <c r="C728" s="18" t="s">
        <v>1475</v>
      </c>
      <c r="D728" s="18"/>
      <c r="E728" s="18"/>
      <c r="F728" s="18"/>
      <c r="G728" s="18"/>
      <c r="H728" s="19" t="s">
        <v>1476</v>
      </c>
      <c r="I728" s="18" t="s">
        <v>104</v>
      </c>
      <c r="J728" s="20">
        <v>1</v>
      </c>
      <c r="K728" s="20">
        <v>1.1499999999999999</v>
      </c>
      <c r="L728" s="21" t="s">
        <v>28</v>
      </c>
      <c r="M728" s="22">
        <v>0.2</v>
      </c>
      <c r="N728" s="22">
        <v>2.1000000000000001E-2</v>
      </c>
      <c r="O728" s="22">
        <v>1052.3689999999999</v>
      </c>
      <c r="P728" s="22">
        <f t="shared" si="107"/>
        <v>242.04486999999997</v>
      </c>
      <c r="Q728" s="22">
        <v>2757.7041798239825</v>
      </c>
      <c r="R728" s="22">
        <f t="shared" si="108"/>
        <v>66.598555942749172</v>
      </c>
      <c r="S728" s="22">
        <f t="shared" si="109"/>
        <v>308.64342594274916</v>
      </c>
      <c r="T728" s="23">
        <v>0.55859868298040061</v>
      </c>
      <c r="U728" s="24">
        <v>0.1</v>
      </c>
      <c r="V728" s="25">
        <f t="shared" si="115"/>
        <v>529.15636090342048</v>
      </c>
      <c r="W728" s="26" t="s">
        <v>29</v>
      </c>
    </row>
    <row r="729" spans="1:23" ht="89.25" x14ac:dyDescent="0.25">
      <c r="A729" s="17">
        <f t="shared" ca="1" si="112"/>
        <v>725</v>
      </c>
      <c r="B729" s="18" t="s">
        <v>1453</v>
      </c>
      <c r="C729" s="18" t="s">
        <v>1477</v>
      </c>
      <c r="D729" s="18"/>
      <c r="E729" s="18"/>
      <c r="F729" s="18"/>
      <c r="G729" s="18"/>
      <c r="H729" s="19" t="s">
        <v>1478</v>
      </c>
      <c r="I729" s="18" t="s">
        <v>104</v>
      </c>
      <c r="J729" s="20">
        <v>1</v>
      </c>
      <c r="K729" s="20">
        <v>1.1499999999999999</v>
      </c>
      <c r="L729" s="21" t="s">
        <v>28</v>
      </c>
      <c r="M729" s="22">
        <v>0.23760000000000001</v>
      </c>
      <c r="N729" s="22">
        <v>2.4500000000000001E-2</v>
      </c>
      <c r="O729" s="22">
        <v>1052.3689999999999</v>
      </c>
      <c r="P729" s="22">
        <f t="shared" si="107"/>
        <v>287.54930555999994</v>
      </c>
      <c r="Q729" s="22">
        <v>2757.7041798239825</v>
      </c>
      <c r="R729" s="22">
        <f t="shared" si="108"/>
        <v>77.698315266540718</v>
      </c>
      <c r="S729" s="22">
        <f t="shared" si="109"/>
        <v>365.24762082654064</v>
      </c>
      <c r="T729" s="23">
        <v>0.55859868298040061</v>
      </c>
      <c r="U729" s="24">
        <v>0.1</v>
      </c>
      <c r="V729" s="25">
        <f t="shared" si="115"/>
        <v>626.20190686016815</v>
      </c>
      <c r="W729" s="26" t="s">
        <v>29</v>
      </c>
    </row>
    <row r="730" spans="1:23" ht="89.25" x14ac:dyDescent="0.25">
      <c r="A730" s="17">
        <f t="shared" ca="1" si="112"/>
        <v>726</v>
      </c>
      <c r="B730" s="18" t="s">
        <v>1453</v>
      </c>
      <c r="C730" s="18" t="s">
        <v>1479</v>
      </c>
      <c r="D730" s="18"/>
      <c r="E730" s="18"/>
      <c r="F730" s="18"/>
      <c r="G730" s="18"/>
      <c r="H730" s="19" t="s">
        <v>1480</v>
      </c>
      <c r="I730" s="18" t="s">
        <v>104</v>
      </c>
      <c r="J730" s="20">
        <v>1</v>
      </c>
      <c r="K730" s="20">
        <v>1.1499999999999999</v>
      </c>
      <c r="L730" s="21" t="s">
        <v>28</v>
      </c>
      <c r="M730" s="22">
        <v>0.2</v>
      </c>
      <c r="N730" s="22">
        <v>2.1000000000000001E-2</v>
      </c>
      <c r="O730" s="22">
        <v>1052.3689999999999</v>
      </c>
      <c r="P730" s="22">
        <f t="shared" si="107"/>
        <v>242.04486999999997</v>
      </c>
      <c r="Q730" s="22">
        <v>2757.7041798239825</v>
      </c>
      <c r="R730" s="22">
        <f t="shared" si="108"/>
        <v>66.598555942749172</v>
      </c>
      <c r="S730" s="22">
        <f t="shared" si="109"/>
        <v>308.64342594274916</v>
      </c>
      <c r="T730" s="23">
        <v>0.55859868298040061</v>
      </c>
      <c r="U730" s="24">
        <v>0.1</v>
      </c>
      <c r="V730" s="25">
        <f t="shared" si="115"/>
        <v>529.15636090342048</v>
      </c>
      <c r="W730" s="26" t="s">
        <v>29</v>
      </c>
    </row>
    <row r="731" spans="1:23" ht="89.25" x14ac:dyDescent="0.25">
      <c r="A731" s="17">
        <f t="shared" ca="1" si="112"/>
        <v>727</v>
      </c>
      <c r="B731" s="18" t="s">
        <v>1453</v>
      </c>
      <c r="C731" s="18" t="s">
        <v>1481</v>
      </c>
      <c r="D731" s="18"/>
      <c r="E731" s="18"/>
      <c r="F731" s="18"/>
      <c r="G731" s="18"/>
      <c r="H731" s="19" t="s">
        <v>1482</v>
      </c>
      <c r="I731" s="18" t="s">
        <v>104</v>
      </c>
      <c r="J731" s="20">
        <v>1</v>
      </c>
      <c r="K731" s="20">
        <v>1.1499999999999999</v>
      </c>
      <c r="L731" s="21" t="s">
        <v>28</v>
      </c>
      <c r="M731" s="22">
        <v>0.23760000000000001</v>
      </c>
      <c r="N731" s="22">
        <v>2.4500000000000001E-2</v>
      </c>
      <c r="O731" s="22">
        <v>1052.3689999999999</v>
      </c>
      <c r="P731" s="22">
        <f t="shared" si="107"/>
        <v>287.54930555999994</v>
      </c>
      <c r="Q731" s="22">
        <v>2757.7041798239825</v>
      </c>
      <c r="R731" s="22">
        <f t="shared" si="108"/>
        <v>77.698315266540718</v>
      </c>
      <c r="S731" s="22">
        <f t="shared" si="109"/>
        <v>365.24762082654064</v>
      </c>
      <c r="T731" s="23">
        <v>0.55859868298040061</v>
      </c>
      <c r="U731" s="24">
        <v>0.1</v>
      </c>
      <c r="V731" s="25">
        <f t="shared" si="115"/>
        <v>626.20190686016815</v>
      </c>
      <c r="W731" s="26" t="s">
        <v>29</v>
      </c>
    </row>
    <row r="732" spans="1:23" ht="89.25" x14ac:dyDescent="0.25">
      <c r="A732" s="17">
        <f t="shared" ca="1" si="112"/>
        <v>728</v>
      </c>
      <c r="B732" s="18" t="s">
        <v>1453</v>
      </c>
      <c r="C732" s="18" t="s">
        <v>1483</v>
      </c>
      <c r="D732" s="18"/>
      <c r="E732" s="18"/>
      <c r="F732" s="18"/>
      <c r="G732" s="18"/>
      <c r="H732" s="19" t="s">
        <v>1484</v>
      </c>
      <c r="I732" s="18" t="s">
        <v>104</v>
      </c>
      <c r="J732" s="20">
        <v>1</v>
      </c>
      <c r="K732" s="20">
        <v>1.1499999999999999</v>
      </c>
      <c r="L732" s="21" t="s">
        <v>28</v>
      </c>
      <c r="M732" s="22">
        <v>0.2</v>
      </c>
      <c r="N732" s="22">
        <v>2.1000000000000001E-2</v>
      </c>
      <c r="O732" s="22">
        <v>1052.3689999999999</v>
      </c>
      <c r="P732" s="22">
        <f t="shared" si="107"/>
        <v>242.04486999999997</v>
      </c>
      <c r="Q732" s="22">
        <v>2757.7041798239825</v>
      </c>
      <c r="R732" s="22">
        <f t="shared" si="108"/>
        <v>66.598555942749172</v>
      </c>
      <c r="S732" s="22">
        <f t="shared" si="109"/>
        <v>308.64342594274916</v>
      </c>
      <c r="T732" s="23">
        <v>0.55859868298040061</v>
      </c>
      <c r="U732" s="24">
        <v>0.1</v>
      </c>
      <c r="V732" s="25">
        <f t="shared" si="115"/>
        <v>529.15636090342048</v>
      </c>
      <c r="W732" s="26" t="s">
        <v>29</v>
      </c>
    </row>
    <row r="733" spans="1:23" ht="89.25" x14ac:dyDescent="0.25">
      <c r="A733" s="17">
        <f t="shared" ca="1" si="112"/>
        <v>729</v>
      </c>
      <c r="B733" s="18" t="s">
        <v>1453</v>
      </c>
      <c r="C733" s="18" t="s">
        <v>1485</v>
      </c>
      <c r="D733" s="18"/>
      <c r="E733" s="18"/>
      <c r="F733" s="18"/>
      <c r="G733" s="18"/>
      <c r="H733" s="19" t="s">
        <v>1486</v>
      </c>
      <c r="I733" s="18" t="s">
        <v>104</v>
      </c>
      <c r="J733" s="20">
        <v>1</v>
      </c>
      <c r="K733" s="20">
        <v>1.1499999999999999</v>
      </c>
      <c r="L733" s="21" t="s">
        <v>28</v>
      </c>
      <c r="M733" s="22">
        <v>0.23760000000000001</v>
      </c>
      <c r="N733" s="22">
        <v>2.4500000000000001E-2</v>
      </c>
      <c r="O733" s="22">
        <v>1052.3689999999999</v>
      </c>
      <c r="P733" s="22">
        <f t="shared" si="107"/>
        <v>287.54930555999994</v>
      </c>
      <c r="Q733" s="22">
        <v>2757.7041798239825</v>
      </c>
      <c r="R733" s="22">
        <f t="shared" si="108"/>
        <v>77.698315266540718</v>
      </c>
      <c r="S733" s="22">
        <f t="shared" si="109"/>
        <v>365.24762082654064</v>
      </c>
      <c r="T733" s="23">
        <v>0.55859868298040061</v>
      </c>
      <c r="U733" s="24">
        <v>0.1</v>
      </c>
      <c r="V733" s="25">
        <f t="shared" si="115"/>
        <v>626.20190686016815</v>
      </c>
      <c r="W733" s="26" t="s">
        <v>29</v>
      </c>
    </row>
    <row r="734" spans="1:23" ht="89.25" x14ac:dyDescent="0.25">
      <c r="A734" s="17">
        <f t="shared" ca="1" si="112"/>
        <v>730</v>
      </c>
      <c r="B734" s="18" t="s">
        <v>1453</v>
      </c>
      <c r="C734" s="18" t="s">
        <v>1487</v>
      </c>
      <c r="D734" s="18"/>
      <c r="E734" s="18"/>
      <c r="F734" s="18"/>
      <c r="G734" s="18"/>
      <c r="H734" s="19" t="s">
        <v>1488</v>
      </c>
      <c r="I734" s="18" t="s">
        <v>104</v>
      </c>
      <c r="J734" s="20">
        <v>1</v>
      </c>
      <c r="K734" s="20">
        <v>1.1499999999999999</v>
      </c>
      <c r="L734" s="21" t="s">
        <v>28</v>
      </c>
      <c r="M734" s="22">
        <v>0.2</v>
      </c>
      <c r="N734" s="22">
        <v>2.1000000000000001E-2</v>
      </c>
      <c r="O734" s="22">
        <v>1052.3689999999999</v>
      </c>
      <c r="P734" s="22">
        <f t="shared" si="107"/>
        <v>242.04486999999997</v>
      </c>
      <c r="Q734" s="22">
        <v>2757.7041798239825</v>
      </c>
      <c r="R734" s="22">
        <f t="shared" si="108"/>
        <v>66.598555942749172</v>
      </c>
      <c r="S734" s="22">
        <f t="shared" si="109"/>
        <v>308.64342594274916</v>
      </c>
      <c r="T734" s="23">
        <v>0.55859868298040061</v>
      </c>
      <c r="U734" s="24">
        <v>0.1</v>
      </c>
      <c r="V734" s="25">
        <f t="shared" si="115"/>
        <v>529.15636090342048</v>
      </c>
      <c r="W734" s="26" t="s">
        <v>29</v>
      </c>
    </row>
    <row r="735" spans="1:23" ht="89.25" x14ac:dyDescent="0.25">
      <c r="A735" s="17">
        <f t="shared" ca="1" si="112"/>
        <v>731</v>
      </c>
      <c r="B735" s="18" t="s">
        <v>1453</v>
      </c>
      <c r="C735" s="18" t="s">
        <v>1489</v>
      </c>
      <c r="D735" s="18"/>
      <c r="E735" s="18"/>
      <c r="F735" s="18"/>
      <c r="G735" s="18"/>
      <c r="H735" s="19" t="s">
        <v>1490</v>
      </c>
      <c r="I735" s="18" t="s">
        <v>104</v>
      </c>
      <c r="J735" s="20">
        <v>1</v>
      </c>
      <c r="K735" s="20">
        <v>1.1499999999999999</v>
      </c>
      <c r="L735" s="21" t="s">
        <v>28</v>
      </c>
      <c r="M735" s="22">
        <v>0.23760000000000001</v>
      </c>
      <c r="N735" s="22">
        <v>2.4500000000000001E-2</v>
      </c>
      <c r="O735" s="22">
        <v>1052.3689999999999</v>
      </c>
      <c r="P735" s="22">
        <f t="shared" si="107"/>
        <v>287.54930555999994</v>
      </c>
      <c r="Q735" s="22">
        <v>2757.7041798239825</v>
      </c>
      <c r="R735" s="22">
        <f t="shared" si="108"/>
        <v>77.698315266540718</v>
      </c>
      <c r="S735" s="22">
        <f t="shared" si="109"/>
        <v>365.24762082654064</v>
      </c>
      <c r="T735" s="23">
        <v>0.55859868298040061</v>
      </c>
      <c r="U735" s="24">
        <v>0.1</v>
      </c>
      <c r="V735" s="25">
        <f t="shared" si="115"/>
        <v>626.20190686016815</v>
      </c>
      <c r="W735" s="26" t="s">
        <v>29</v>
      </c>
    </row>
    <row r="736" spans="1:23" ht="89.25" x14ac:dyDescent="0.25">
      <c r="A736" s="17">
        <f t="shared" ca="1" si="112"/>
        <v>732</v>
      </c>
      <c r="B736" s="18" t="s">
        <v>1453</v>
      </c>
      <c r="C736" s="18" t="s">
        <v>1491</v>
      </c>
      <c r="D736" s="18"/>
      <c r="E736" s="18"/>
      <c r="F736" s="18"/>
      <c r="G736" s="18"/>
      <c r="H736" s="19" t="s">
        <v>1492</v>
      </c>
      <c r="I736" s="18" t="s">
        <v>104</v>
      </c>
      <c r="J736" s="20">
        <v>1</v>
      </c>
      <c r="K736" s="20">
        <v>1.1499999999999999</v>
      </c>
      <c r="L736" s="21" t="s">
        <v>28</v>
      </c>
      <c r="M736" s="22">
        <v>0.2</v>
      </c>
      <c r="N736" s="22">
        <v>2.1000000000000001E-2</v>
      </c>
      <c r="O736" s="22">
        <v>1052.3689999999999</v>
      </c>
      <c r="P736" s="22">
        <f t="shared" si="107"/>
        <v>242.04486999999997</v>
      </c>
      <c r="Q736" s="22">
        <v>2757.7041798239825</v>
      </c>
      <c r="R736" s="22">
        <f t="shared" si="108"/>
        <v>66.598555942749172</v>
      </c>
      <c r="S736" s="22">
        <f t="shared" si="109"/>
        <v>308.64342594274916</v>
      </c>
      <c r="T736" s="23">
        <v>0.55859868298040061</v>
      </c>
      <c r="U736" s="24">
        <v>0.1</v>
      </c>
      <c r="V736" s="25">
        <f t="shared" si="115"/>
        <v>529.15636090342048</v>
      </c>
      <c r="W736" s="26" t="s">
        <v>29</v>
      </c>
    </row>
    <row r="737" spans="1:23" ht="89.25" x14ac:dyDescent="0.25">
      <c r="A737" s="17">
        <f t="shared" ca="1" si="112"/>
        <v>733</v>
      </c>
      <c r="B737" s="18" t="s">
        <v>1453</v>
      </c>
      <c r="C737" s="18" t="s">
        <v>1493</v>
      </c>
      <c r="D737" s="18"/>
      <c r="E737" s="18"/>
      <c r="F737" s="18"/>
      <c r="G737" s="18"/>
      <c r="H737" s="19" t="s">
        <v>1494</v>
      </c>
      <c r="I737" s="18" t="s">
        <v>104</v>
      </c>
      <c r="J737" s="20">
        <v>1</v>
      </c>
      <c r="K737" s="20">
        <v>1.1499999999999999</v>
      </c>
      <c r="L737" s="21" t="s">
        <v>28</v>
      </c>
      <c r="M737" s="22">
        <v>0.23760000000000001</v>
      </c>
      <c r="N737" s="22">
        <v>2.4500000000000001E-2</v>
      </c>
      <c r="O737" s="22">
        <v>1052.3689999999999</v>
      </c>
      <c r="P737" s="22">
        <f t="shared" si="107"/>
        <v>287.54930555999994</v>
      </c>
      <c r="Q737" s="22">
        <v>2757.7041798239825</v>
      </c>
      <c r="R737" s="22">
        <f t="shared" si="108"/>
        <v>77.698315266540718</v>
      </c>
      <c r="S737" s="22">
        <f t="shared" si="109"/>
        <v>365.24762082654064</v>
      </c>
      <c r="T737" s="23">
        <v>0.55859868298040061</v>
      </c>
      <c r="U737" s="24">
        <v>0.1</v>
      </c>
      <c r="V737" s="25">
        <f t="shared" si="115"/>
        <v>626.20190686016815</v>
      </c>
      <c r="W737" s="26" t="s">
        <v>29</v>
      </c>
    </row>
    <row r="738" spans="1:23" ht="89.25" x14ac:dyDescent="0.25">
      <c r="A738" s="17">
        <f t="shared" ca="1" si="112"/>
        <v>734</v>
      </c>
      <c r="B738" s="18" t="s">
        <v>1453</v>
      </c>
      <c r="C738" s="18" t="s">
        <v>1495</v>
      </c>
      <c r="D738" s="18"/>
      <c r="E738" s="18"/>
      <c r="F738" s="18"/>
      <c r="G738" s="18"/>
      <c r="H738" s="19" t="s">
        <v>1496</v>
      </c>
      <c r="I738" s="18" t="s">
        <v>104</v>
      </c>
      <c r="J738" s="20">
        <v>1</v>
      </c>
      <c r="K738" s="20">
        <v>1.1499999999999999</v>
      </c>
      <c r="L738" s="21" t="s">
        <v>28</v>
      </c>
      <c r="M738" s="22">
        <v>0.23760000000000001</v>
      </c>
      <c r="N738" s="22">
        <v>2.4500000000000001E-2</v>
      </c>
      <c r="O738" s="22">
        <v>1052.3689999999999</v>
      </c>
      <c r="P738" s="22">
        <f t="shared" si="107"/>
        <v>287.54930555999994</v>
      </c>
      <c r="Q738" s="22">
        <v>2757.7041798239825</v>
      </c>
      <c r="R738" s="22">
        <f t="shared" si="108"/>
        <v>77.698315266540718</v>
      </c>
      <c r="S738" s="22">
        <f t="shared" si="109"/>
        <v>365.24762082654064</v>
      </c>
      <c r="T738" s="23">
        <v>0.55859868298040061</v>
      </c>
      <c r="U738" s="24">
        <v>0.1</v>
      </c>
      <c r="V738" s="25">
        <f t="shared" si="115"/>
        <v>626.20190686016815</v>
      </c>
      <c r="W738" s="26" t="s">
        <v>29</v>
      </c>
    </row>
    <row r="739" spans="1:23" ht="89.25" x14ac:dyDescent="0.25">
      <c r="A739" s="17">
        <f t="shared" ca="1" si="112"/>
        <v>735</v>
      </c>
      <c r="B739" s="18" t="s">
        <v>1453</v>
      </c>
      <c r="C739" s="18" t="s">
        <v>1497</v>
      </c>
      <c r="D739" s="18"/>
      <c r="E739" s="18"/>
      <c r="F739" s="18"/>
      <c r="G739" s="18"/>
      <c r="H739" s="19" t="s">
        <v>1498</v>
      </c>
      <c r="I739" s="18" t="s">
        <v>104</v>
      </c>
      <c r="J739" s="20">
        <v>1</v>
      </c>
      <c r="K739" s="20">
        <v>1.1499999999999999</v>
      </c>
      <c r="L739" s="21" t="s">
        <v>28</v>
      </c>
      <c r="M739" s="22">
        <v>0.23760000000000001</v>
      </c>
      <c r="N739" s="22">
        <v>2.4500000000000001E-2</v>
      </c>
      <c r="O739" s="22">
        <v>1052.3689999999999</v>
      </c>
      <c r="P739" s="22">
        <f t="shared" si="107"/>
        <v>287.54930555999994</v>
      </c>
      <c r="Q739" s="22">
        <v>2757.7041798239825</v>
      </c>
      <c r="R739" s="22">
        <f t="shared" si="108"/>
        <v>77.698315266540718</v>
      </c>
      <c r="S739" s="22">
        <f t="shared" si="109"/>
        <v>365.24762082654064</v>
      </c>
      <c r="T739" s="23">
        <v>0.55859868298040061</v>
      </c>
      <c r="U739" s="24">
        <v>0.1</v>
      </c>
      <c r="V739" s="25">
        <f t="shared" si="115"/>
        <v>626.20190686016815</v>
      </c>
      <c r="W739" s="26" t="s">
        <v>29</v>
      </c>
    </row>
    <row r="740" spans="1:23" ht="89.25" x14ac:dyDescent="0.25">
      <c r="A740" s="17">
        <f t="shared" ca="1" si="112"/>
        <v>736</v>
      </c>
      <c r="B740" s="18" t="s">
        <v>1453</v>
      </c>
      <c r="C740" s="18" t="s">
        <v>1499</v>
      </c>
      <c r="D740" s="18"/>
      <c r="E740" s="18"/>
      <c r="F740" s="18"/>
      <c r="G740" s="18"/>
      <c r="H740" s="19" t="s">
        <v>1500</v>
      </c>
      <c r="I740" s="18" t="s">
        <v>104</v>
      </c>
      <c r="J740" s="20">
        <v>1</v>
      </c>
      <c r="K740" s="20">
        <v>1.1499999999999999</v>
      </c>
      <c r="L740" s="21" t="s">
        <v>28</v>
      </c>
      <c r="M740" s="22">
        <v>0.23760000000000001</v>
      </c>
      <c r="N740" s="22">
        <v>2.4500000000000001E-2</v>
      </c>
      <c r="O740" s="22">
        <v>1052.3689999999999</v>
      </c>
      <c r="P740" s="22">
        <f t="shared" si="107"/>
        <v>287.54930555999994</v>
      </c>
      <c r="Q740" s="22">
        <v>2757.7041798239825</v>
      </c>
      <c r="R740" s="22">
        <f t="shared" si="108"/>
        <v>77.698315266540718</v>
      </c>
      <c r="S740" s="22">
        <f t="shared" si="109"/>
        <v>365.24762082654064</v>
      </c>
      <c r="T740" s="23">
        <v>0.55859868298040061</v>
      </c>
      <c r="U740" s="24">
        <v>0.1</v>
      </c>
      <c r="V740" s="25">
        <f t="shared" si="115"/>
        <v>626.20190686016815</v>
      </c>
      <c r="W740" s="26" t="s">
        <v>29</v>
      </c>
    </row>
    <row r="741" spans="1:23" ht="89.25" x14ac:dyDescent="0.25">
      <c r="A741" s="17">
        <f t="shared" ca="1" si="112"/>
        <v>737</v>
      </c>
      <c r="B741" s="18" t="s">
        <v>1453</v>
      </c>
      <c r="C741" s="18" t="s">
        <v>1501</v>
      </c>
      <c r="D741" s="18"/>
      <c r="E741" s="18"/>
      <c r="F741" s="18"/>
      <c r="G741" s="18"/>
      <c r="H741" s="19" t="s">
        <v>1502</v>
      </c>
      <c r="I741" s="18" t="s">
        <v>104</v>
      </c>
      <c r="J741" s="20">
        <v>1</v>
      </c>
      <c r="K741" s="20">
        <v>1.1499999999999999</v>
      </c>
      <c r="L741" s="21" t="s">
        <v>28</v>
      </c>
      <c r="M741" s="22">
        <v>0.29520000000000002</v>
      </c>
      <c r="N741" s="22">
        <v>2.7299999999999998E-2</v>
      </c>
      <c r="O741" s="22">
        <v>1052.3689999999999</v>
      </c>
      <c r="P741" s="22">
        <f t="shared" si="107"/>
        <v>357.25822811999996</v>
      </c>
      <c r="Q741" s="22">
        <v>2757.7041798239825</v>
      </c>
      <c r="R741" s="22">
        <f t="shared" si="108"/>
        <v>86.57812272557392</v>
      </c>
      <c r="S741" s="22">
        <f t="shared" si="109"/>
        <v>443.83635084557386</v>
      </c>
      <c r="T741" s="23">
        <v>0.55859868298040061</v>
      </c>
      <c r="U741" s="24">
        <v>0.1</v>
      </c>
      <c r="V741" s="25">
        <f t="shared" si="115"/>
        <v>760.93902707541224</v>
      </c>
      <c r="W741" s="26" t="s">
        <v>29</v>
      </c>
    </row>
    <row r="742" spans="1:23" ht="89.25" x14ac:dyDescent="0.25">
      <c r="A742" s="17">
        <f t="shared" ca="1" si="112"/>
        <v>738</v>
      </c>
      <c r="B742" s="18" t="s">
        <v>1453</v>
      </c>
      <c r="C742" s="18" t="s">
        <v>1503</v>
      </c>
      <c r="D742" s="18"/>
      <c r="E742" s="18"/>
      <c r="F742" s="18"/>
      <c r="G742" s="18"/>
      <c r="H742" s="19" t="s">
        <v>1504</v>
      </c>
      <c r="I742" s="18" t="s">
        <v>104</v>
      </c>
      <c r="J742" s="20">
        <v>1</v>
      </c>
      <c r="K742" s="20">
        <v>1.1499999999999999</v>
      </c>
      <c r="L742" s="21" t="s">
        <v>28</v>
      </c>
      <c r="M742" s="22">
        <v>0.23760000000000001</v>
      </c>
      <c r="N742" s="22">
        <v>2.4500000000000001E-2</v>
      </c>
      <c r="O742" s="22">
        <v>1052.3689999999999</v>
      </c>
      <c r="P742" s="22">
        <f t="shared" si="107"/>
        <v>287.54930555999994</v>
      </c>
      <c r="Q742" s="22">
        <v>2757.7041798239825</v>
      </c>
      <c r="R742" s="22">
        <f t="shared" si="108"/>
        <v>77.698315266540718</v>
      </c>
      <c r="S742" s="22">
        <f t="shared" si="109"/>
        <v>365.24762082654064</v>
      </c>
      <c r="T742" s="23">
        <v>0.55859868298040061</v>
      </c>
      <c r="U742" s="24">
        <v>0.1</v>
      </c>
      <c r="V742" s="25">
        <f t="shared" si="115"/>
        <v>626.20190686016815</v>
      </c>
      <c r="W742" s="26" t="s">
        <v>29</v>
      </c>
    </row>
    <row r="743" spans="1:23" ht="89.25" x14ac:dyDescent="0.25">
      <c r="A743" s="17">
        <f t="shared" ca="1" si="112"/>
        <v>739</v>
      </c>
      <c r="B743" s="18" t="s">
        <v>1453</v>
      </c>
      <c r="C743" s="18" t="s">
        <v>1505</v>
      </c>
      <c r="D743" s="18"/>
      <c r="E743" s="18"/>
      <c r="F743" s="18"/>
      <c r="G743" s="18"/>
      <c r="H743" s="19" t="s">
        <v>1506</v>
      </c>
      <c r="I743" s="18" t="s">
        <v>104</v>
      </c>
      <c r="J743" s="20">
        <v>1</v>
      </c>
      <c r="K743" s="20">
        <v>1.1499999999999999</v>
      </c>
      <c r="L743" s="21" t="s">
        <v>28</v>
      </c>
      <c r="M743" s="22">
        <v>0.29520000000000002</v>
      </c>
      <c r="N743" s="22">
        <v>2.7299999999999998E-2</v>
      </c>
      <c r="O743" s="22">
        <v>1052.3689999999999</v>
      </c>
      <c r="P743" s="22">
        <f t="shared" si="107"/>
        <v>357.25822811999996</v>
      </c>
      <c r="Q743" s="22">
        <v>2757.7041798239825</v>
      </c>
      <c r="R743" s="22">
        <f t="shared" si="108"/>
        <v>86.57812272557392</v>
      </c>
      <c r="S743" s="22">
        <f t="shared" si="109"/>
        <v>443.83635084557386</v>
      </c>
      <c r="T743" s="23">
        <v>0.55859868298040061</v>
      </c>
      <c r="U743" s="24">
        <v>0.1</v>
      </c>
      <c r="V743" s="25">
        <f t="shared" si="115"/>
        <v>760.93902707541224</v>
      </c>
      <c r="W743" s="26" t="s">
        <v>29</v>
      </c>
    </row>
    <row r="744" spans="1:23" ht="89.25" x14ac:dyDescent="0.25">
      <c r="A744" s="17">
        <f t="shared" ca="1" si="112"/>
        <v>740</v>
      </c>
      <c r="B744" s="18" t="s">
        <v>1453</v>
      </c>
      <c r="C744" s="18" t="s">
        <v>1507</v>
      </c>
      <c r="D744" s="18"/>
      <c r="E744" s="18"/>
      <c r="F744" s="18"/>
      <c r="G744" s="18"/>
      <c r="H744" s="19" t="s">
        <v>1508</v>
      </c>
      <c r="I744" s="18" t="s">
        <v>104</v>
      </c>
      <c r="J744" s="20">
        <v>1</v>
      </c>
      <c r="K744" s="20">
        <v>1.1499999999999999</v>
      </c>
      <c r="L744" s="21" t="s">
        <v>28</v>
      </c>
      <c r="M744" s="22">
        <v>0.23760000000000001</v>
      </c>
      <c r="N744" s="22">
        <v>2.4500000000000001E-2</v>
      </c>
      <c r="O744" s="22">
        <v>1052.3689999999999</v>
      </c>
      <c r="P744" s="22">
        <f t="shared" si="107"/>
        <v>287.54930555999994</v>
      </c>
      <c r="Q744" s="22">
        <v>2757.7041798239825</v>
      </c>
      <c r="R744" s="22">
        <f t="shared" si="108"/>
        <v>77.698315266540718</v>
      </c>
      <c r="S744" s="22">
        <f t="shared" si="109"/>
        <v>365.24762082654064</v>
      </c>
      <c r="T744" s="23">
        <v>0.55859868298040061</v>
      </c>
      <c r="U744" s="24">
        <v>0.1</v>
      </c>
      <c r="V744" s="25">
        <f t="shared" si="115"/>
        <v>626.20190686016815</v>
      </c>
      <c r="W744" s="26" t="s">
        <v>29</v>
      </c>
    </row>
    <row r="745" spans="1:23" ht="89.25" x14ac:dyDescent="0.25">
      <c r="A745" s="17">
        <f t="shared" ca="1" si="112"/>
        <v>741</v>
      </c>
      <c r="B745" s="18" t="s">
        <v>1453</v>
      </c>
      <c r="C745" s="18" t="s">
        <v>1509</v>
      </c>
      <c r="D745" s="18"/>
      <c r="E745" s="18"/>
      <c r="F745" s="18"/>
      <c r="G745" s="18"/>
      <c r="H745" s="19" t="s">
        <v>1510</v>
      </c>
      <c r="I745" s="18" t="s">
        <v>104</v>
      </c>
      <c r="J745" s="20">
        <v>1</v>
      </c>
      <c r="K745" s="20">
        <v>1.1499999999999999</v>
      </c>
      <c r="L745" s="21" t="s">
        <v>28</v>
      </c>
      <c r="M745" s="22">
        <v>0.29520000000000002</v>
      </c>
      <c r="N745" s="22">
        <v>2.7299999999999998E-2</v>
      </c>
      <c r="O745" s="22">
        <v>1052.3689999999999</v>
      </c>
      <c r="P745" s="22">
        <f t="shared" si="107"/>
        <v>357.25822811999996</v>
      </c>
      <c r="Q745" s="22">
        <v>2757.7041798239825</v>
      </c>
      <c r="R745" s="22">
        <f t="shared" si="108"/>
        <v>86.57812272557392</v>
      </c>
      <c r="S745" s="22">
        <f t="shared" si="109"/>
        <v>443.83635084557386</v>
      </c>
      <c r="T745" s="23">
        <v>0.55859868298040061</v>
      </c>
      <c r="U745" s="24">
        <v>0.1</v>
      </c>
      <c r="V745" s="25">
        <f t="shared" si="115"/>
        <v>760.93902707541224</v>
      </c>
      <c r="W745" s="26" t="s">
        <v>29</v>
      </c>
    </row>
    <row r="746" spans="1:23" ht="89.25" x14ac:dyDescent="0.25">
      <c r="A746" s="17">
        <f t="shared" ca="1" si="112"/>
        <v>742</v>
      </c>
      <c r="B746" s="18" t="s">
        <v>1453</v>
      </c>
      <c r="C746" s="18" t="s">
        <v>1511</v>
      </c>
      <c r="D746" s="18"/>
      <c r="E746" s="18"/>
      <c r="F746" s="18"/>
      <c r="G746" s="18"/>
      <c r="H746" s="19" t="s">
        <v>1512</v>
      </c>
      <c r="I746" s="18" t="s">
        <v>104</v>
      </c>
      <c r="J746" s="20">
        <v>1</v>
      </c>
      <c r="K746" s="20">
        <v>1.1499999999999999</v>
      </c>
      <c r="L746" s="21" t="s">
        <v>28</v>
      </c>
      <c r="M746" s="22">
        <v>0.23760000000000001</v>
      </c>
      <c r="N746" s="22">
        <v>2.4500000000000001E-2</v>
      </c>
      <c r="O746" s="22">
        <v>1052.3689999999999</v>
      </c>
      <c r="P746" s="22">
        <f t="shared" si="107"/>
        <v>287.54930555999994</v>
      </c>
      <c r="Q746" s="22">
        <v>2757.7041798239825</v>
      </c>
      <c r="R746" s="22">
        <f t="shared" si="108"/>
        <v>77.698315266540718</v>
      </c>
      <c r="S746" s="22">
        <f t="shared" si="109"/>
        <v>365.24762082654064</v>
      </c>
      <c r="T746" s="23">
        <v>0.55859868298040061</v>
      </c>
      <c r="U746" s="24">
        <v>0.1</v>
      </c>
      <c r="V746" s="25">
        <f t="shared" si="115"/>
        <v>626.20190686016815</v>
      </c>
      <c r="W746" s="26" t="s">
        <v>29</v>
      </c>
    </row>
    <row r="747" spans="1:23" ht="89.25" x14ac:dyDescent="0.25">
      <c r="A747" s="17">
        <f t="shared" ca="1" si="112"/>
        <v>743</v>
      </c>
      <c r="B747" s="18" t="s">
        <v>1453</v>
      </c>
      <c r="C747" s="18" t="s">
        <v>1513</v>
      </c>
      <c r="D747" s="18"/>
      <c r="E747" s="18"/>
      <c r="F747" s="18"/>
      <c r="G747" s="18"/>
      <c r="H747" s="19" t="s">
        <v>1514</v>
      </c>
      <c r="I747" s="18" t="s">
        <v>104</v>
      </c>
      <c r="J747" s="20">
        <v>1</v>
      </c>
      <c r="K747" s="20">
        <v>1.1499999999999999</v>
      </c>
      <c r="L747" s="21" t="s">
        <v>28</v>
      </c>
      <c r="M747" s="22">
        <v>0.29520000000000002</v>
      </c>
      <c r="N747" s="22">
        <v>2.7299999999999998E-2</v>
      </c>
      <c r="O747" s="22">
        <v>1052.3689999999999</v>
      </c>
      <c r="P747" s="22">
        <f t="shared" si="107"/>
        <v>357.25822811999996</v>
      </c>
      <c r="Q747" s="22">
        <v>2757.7041798239825</v>
      </c>
      <c r="R747" s="22">
        <f t="shared" si="108"/>
        <v>86.57812272557392</v>
      </c>
      <c r="S747" s="22">
        <f t="shared" si="109"/>
        <v>443.83635084557386</v>
      </c>
      <c r="T747" s="23">
        <v>0.55859868298040061</v>
      </c>
      <c r="U747" s="24">
        <v>0.1</v>
      </c>
      <c r="V747" s="25">
        <f t="shared" si="115"/>
        <v>760.93902707541224</v>
      </c>
      <c r="W747" s="26" t="s">
        <v>29</v>
      </c>
    </row>
    <row r="748" spans="1:23" ht="89.25" x14ac:dyDescent="0.25">
      <c r="A748" s="17">
        <f t="shared" ca="1" si="112"/>
        <v>744</v>
      </c>
      <c r="B748" s="18" t="s">
        <v>1453</v>
      </c>
      <c r="C748" s="18" t="s">
        <v>1515</v>
      </c>
      <c r="D748" s="18"/>
      <c r="E748" s="18"/>
      <c r="F748" s="18"/>
      <c r="G748" s="18"/>
      <c r="H748" s="19" t="s">
        <v>1516</v>
      </c>
      <c r="I748" s="18" t="s">
        <v>104</v>
      </c>
      <c r="J748" s="20">
        <v>1</v>
      </c>
      <c r="K748" s="20">
        <v>1.1499999999999999</v>
      </c>
      <c r="L748" s="21" t="s">
        <v>28</v>
      </c>
      <c r="M748" s="22">
        <v>0.23760000000000001</v>
      </c>
      <c r="N748" s="22">
        <v>2.4500000000000001E-2</v>
      </c>
      <c r="O748" s="22">
        <v>1052.3689999999999</v>
      </c>
      <c r="P748" s="22">
        <f t="shared" si="107"/>
        <v>287.54930555999994</v>
      </c>
      <c r="Q748" s="22">
        <v>2757.7041798239825</v>
      </c>
      <c r="R748" s="22">
        <f t="shared" si="108"/>
        <v>77.698315266540718</v>
      </c>
      <c r="S748" s="22">
        <f t="shared" si="109"/>
        <v>365.24762082654064</v>
      </c>
      <c r="T748" s="23">
        <v>0.55859868298040061</v>
      </c>
      <c r="U748" s="24">
        <v>0.1</v>
      </c>
      <c r="V748" s="25">
        <f t="shared" si="115"/>
        <v>626.20190686016815</v>
      </c>
      <c r="W748" s="26" t="s">
        <v>29</v>
      </c>
    </row>
    <row r="749" spans="1:23" ht="89.25" x14ac:dyDescent="0.25">
      <c r="A749" s="17">
        <f t="shared" ca="1" si="112"/>
        <v>745</v>
      </c>
      <c r="B749" s="18" t="s">
        <v>1453</v>
      </c>
      <c r="C749" s="18" t="s">
        <v>1517</v>
      </c>
      <c r="D749" s="18"/>
      <c r="E749" s="18"/>
      <c r="F749" s="18"/>
      <c r="G749" s="18"/>
      <c r="H749" s="19" t="s">
        <v>1518</v>
      </c>
      <c r="I749" s="18" t="s">
        <v>104</v>
      </c>
      <c r="J749" s="20">
        <v>1</v>
      </c>
      <c r="K749" s="20">
        <v>1.1499999999999999</v>
      </c>
      <c r="L749" s="21" t="s">
        <v>28</v>
      </c>
      <c r="M749" s="22">
        <v>0.29520000000000002</v>
      </c>
      <c r="N749" s="22">
        <v>2.7299999999999998E-2</v>
      </c>
      <c r="O749" s="22">
        <v>1052.3689999999999</v>
      </c>
      <c r="P749" s="22">
        <f t="shared" si="107"/>
        <v>357.25822811999996</v>
      </c>
      <c r="Q749" s="22">
        <v>2757.7041798239825</v>
      </c>
      <c r="R749" s="22">
        <f t="shared" si="108"/>
        <v>86.57812272557392</v>
      </c>
      <c r="S749" s="22">
        <f t="shared" si="109"/>
        <v>443.83635084557386</v>
      </c>
      <c r="T749" s="23">
        <v>0.55859868298040061</v>
      </c>
      <c r="U749" s="24">
        <v>0.1</v>
      </c>
      <c r="V749" s="25">
        <f t="shared" si="115"/>
        <v>760.93902707541224</v>
      </c>
      <c r="W749" s="26" t="s">
        <v>29</v>
      </c>
    </row>
    <row r="750" spans="1:23" ht="89.25" x14ac:dyDescent="0.25">
      <c r="A750" s="17">
        <f t="shared" ca="1" si="112"/>
        <v>746</v>
      </c>
      <c r="B750" s="18" t="s">
        <v>1453</v>
      </c>
      <c r="C750" s="18" t="s">
        <v>1519</v>
      </c>
      <c r="D750" s="18"/>
      <c r="E750" s="18"/>
      <c r="F750" s="18"/>
      <c r="G750" s="18"/>
      <c r="H750" s="19" t="s">
        <v>1520</v>
      </c>
      <c r="I750" s="18" t="s">
        <v>104</v>
      </c>
      <c r="J750" s="20">
        <v>1</v>
      </c>
      <c r="K750" s="20">
        <v>1.1499999999999999</v>
      </c>
      <c r="L750" s="21" t="s">
        <v>28</v>
      </c>
      <c r="M750" s="22">
        <v>0.23760000000000001</v>
      </c>
      <c r="N750" s="22">
        <v>2.4500000000000001E-2</v>
      </c>
      <c r="O750" s="22">
        <v>1052.3689999999999</v>
      </c>
      <c r="P750" s="22">
        <f t="shared" si="107"/>
        <v>287.54930555999994</v>
      </c>
      <c r="Q750" s="22">
        <v>2757.7041798239825</v>
      </c>
      <c r="R750" s="22">
        <f t="shared" si="108"/>
        <v>77.698315266540718</v>
      </c>
      <c r="S750" s="22">
        <f t="shared" si="109"/>
        <v>365.24762082654064</v>
      </c>
      <c r="T750" s="23">
        <v>0.55859868298040061</v>
      </c>
      <c r="U750" s="24">
        <v>0.1</v>
      </c>
      <c r="V750" s="25">
        <f t="shared" si="115"/>
        <v>626.20190686016815</v>
      </c>
      <c r="W750" s="26" t="s">
        <v>29</v>
      </c>
    </row>
    <row r="751" spans="1:23" ht="89.25" x14ac:dyDescent="0.25">
      <c r="A751" s="17">
        <f t="shared" ca="1" si="112"/>
        <v>747</v>
      </c>
      <c r="B751" s="18" t="s">
        <v>1453</v>
      </c>
      <c r="C751" s="18" t="s">
        <v>1521</v>
      </c>
      <c r="D751" s="18"/>
      <c r="E751" s="18"/>
      <c r="F751" s="18"/>
      <c r="G751" s="18"/>
      <c r="H751" s="19" t="s">
        <v>1522</v>
      </c>
      <c r="I751" s="18" t="s">
        <v>104</v>
      </c>
      <c r="J751" s="20">
        <v>1</v>
      </c>
      <c r="K751" s="20">
        <v>1.1499999999999999</v>
      </c>
      <c r="L751" s="21" t="s">
        <v>28</v>
      </c>
      <c r="M751" s="22">
        <v>0.32640000000000002</v>
      </c>
      <c r="N751" s="22">
        <v>3.0799999999999991E-2</v>
      </c>
      <c r="O751" s="22">
        <v>1052.3689999999999</v>
      </c>
      <c r="P751" s="22">
        <f t="shared" si="107"/>
        <v>395.01722783999992</v>
      </c>
      <c r="Q751" s="22">
        <v>2757.7041798239825</v>
      </c>
      <c r="R751" s="22">
        <f t="shared" si="108"/>
        <v>97.677882049365422</v>
      </c>
      <c r="S751" s="22">
        <f t="shared" si="109"/>
        <v>492.69510988936531</v>
      </c>
      <c r="T751" s="23">
        <v>0.55859868298040061</v>
      </c>
      <c r="U751" s="24">
        <v>0.1</v>
      </c>
      <c r="V751" s="25">
        <f t="shared" si="115"/>
        <v>844.70534432289332</v>
      </c>
      <c r="W751" s="26" t="s">
        <v>29</v>
      </c>
    </row>
    <row r="752" spans="1:23" ht="89.25" x14ac:dyDescent="0.25">
      <c r="A752" s="17">
        <f t="shared" ca="1" si="112"/>
        <v>748</v>
      </c>
      <c r="B752" s="18" t="s">
        <v>1453</v>
      </c>
      <c r="C752" s="18" t="s">
        <v>1523</v>
      </c>
      <c r="D752" s="18"/>
      <c r="E752" s="18"/>
      <c r="F752" s="18"/>
      <c r="G752" s="18"/>
      <c r="H752" s="19" t="s">
        <v>1524</v>
      </c>
      <c r="I752" s="18" t="s">
        <v>104</v>
      </c>
      <c r="J752" s="20">
        <v>1</v>
      </c>
      <c r="K752" s="20">
        <v>1.1499999999999999</v>
      </c>
      <c r="L752" s="21" t="s">
        <v>28</v>
      </c>
      <c r="M752" s="22">
        <v>0.19359999999999999</v>
      </c>
      <c r="N752" s="22">
        <v>2.1000000000000001E-2</v>
      </c>
      <c r="O752" s="22">
        <v>1052.3689999999999</v>
      </c>
      <c r="P752" s="22">
        <f t="shared" si="107"/>
        <v>234.29943415999998</v>
      </c>
      <c r="Q752" s="22">
        <v>2757.7041798239825</v>
      </c>
      <c r="R752" s="22">
        <f t="shared" si="108"/>
        <v>66.598555942749172</v>
      </c>
      <c r="S752" s="22">
        <f t="shared" si="109"/>
        <v>300.89799010274913</v>
      </c>
      <c r="T752" s="23">
        <v>0.55859868298040061</v>
      </c>
      <c r="U752" s="24">
        <v>0.1</v>
      </c>
      <c r="V752" s="25">
        <f t="shared" si="115"/>
        <v>515.87713219415389</v>
      </c>
      <c r="W752" s="26" t="s">
        <v>29</v>
      </c>
    </row>
    <row r="753" spans="1:23" ht="89.25" x14ac:dyDescent="0.25">
      <c r="A753" s="17">
        <f t="shared" ca="1" si="112"/>
        <v>749</v>
      </c>
      <c r="B753" s="18" t="s">
        <v>1453</v>
      </c>
      <c r="C753" s="18" t="s">
        <v>1525</v>
      </c>
      <c r="D753" s="18"/>
      <c r="E753" s="18"/>
      <c r="F753" s="18"/>
      <c r="G753" s="18"/>
      <c r="H753" s="19" t="s">
        <v>1526</v>
      </c>
      <c r="I753" s="18" t="s">
        <v>104</v>
      </c>
      <c r="J753" s="20">
        <v>1</v>
      </c>
      <c r="K753" s="20">
        <v>1.1499999999999999</v>
      </c>
      <c r="L753" s="21" t="s">
        <v>28</v>
      </c>
      <c r="M753" s="22">
        <v>0.2</v>
      </c>
      <c r="N753" s="22">
        <v>2.1000000000000001E-2</v>
      </c>
      <c r="O753" s="22">
        <v>1052.3689999999999</v>
      </c>
      <c r="P753" s="22">
        <f t="shared" si="107"/>
        <v>242.04486999999997</v>
      </c>
      <c r="Q753" s="22">
        <v>2757.7041798239825</v>
      </c>
      <c r="R753" s="22">
        <f t="shared" si="108"/>
        <v>66.598555942749172</v>
      </c>
      <c r="S753" s="22">
        <f t="shared" si="109"/>
        <v>308.64342594274916</v>
      </c>
      <c r="T753" s="23">
        <v>0.55859868298040061</v>
      </c>
      <c r="U753" s="24">
        <v>0.1</v>
      </c>
      <c r="V753" s="25">
        <f t="shared" si="115"/>
        <v>529.15636090342048</v>
      </c>
      <c r="W753" s="26" t="s">
        <v>29</v>
      </c>
    </row>
    <row r="754" spans="1:23" ht="89.25" x14ac:dyDescent="0.25">
      <c r="A754" s="17">
        <f t="shared" ca="1" si="112"/>
        <v>750</v>
      </c>
      <c r="B754" s="18" t="s">
        <v>1453</v>
      </c>
      <c r="C754" s="18" t="s">
        <v>1527</v>
      </c>
      <c r="D754" s="18"/>
      <c r="E754" s="18"/>
      <c r="F754" s="18"/>
      <c r="G754" s="18"/>
      <c r="H754" s="19" t="s">
        <v>1528</v>
      </c>
      <c r="I754" s="18" t="s">
        <v>104</v>
      </c>
      <c r="J754" s="20">
        <v>1</v>
      </c>
      <c r="K754" s="20">
        <v>1.1499999999999999</v>
      </c>
      <c r="L754" s="21" t="s">
        <v>28</v>
      </c>
      <c r="M754" s="22">
        <v>0.2</v>
      </c>
      <c r="N754" s="22">
        <v>2.1000000000000001E-2</v>
      </c>
      <c r="O754" s="22">
        <v>1052.3689999999999</v>
      </c>
      <c r="P754" s="22">
        <f t="shared" si="107"/>
        <v>242.04486999999997</v>
      </c>
      <c r="Q754" s="22">
        <v>2757.7041798239825</v>
      </c>
      <c r="R754" s="22">
        <f t="shared" si="108"/>
        <v>66.598555942749172</v>
      </c>
      <c r="S754" s="22">
        <f t="shared" si="109"/>
        <v>308.64342594274916</v>
      </c>
      <c r="T754" s="23">
        <v>0.55859868298040061</v>
      </c>
      <c r="U754" s="24">
        <v>0.1</v>
      </c>
      <c r="V754" s="25">
        <f t="shared" si="115"/>
        <v>529.15636090342048</v>
      </c>
      <c r="W754" s="26" t="s">
        <v>29</v>
      </c>
    </row>
    <row r="755" spans="1:23" ht="89.25" x14ac:dyDescent="0.25">
      <c r="A755" s="17">
        <f t="shared" ca="1" si="112"/>
        <v>751</v>
      </c>
      <c r="B755" s="18" t="s">
        <v>1453</v>
      </c>
      <c r="C755" s="18" t="s">
        <v>1529</v>
      </c>
      <c r="D755" s="18"/>
      <c r="E755" s="18"/>
      <c r="F755" s="18"/>
      <c r="G755" s="18"/>
      <c r="H755" s="19" t="s">
        <v>1530</v>
      </c>
      <c r="I755" s="18" t="s">
        <v>104</v>
      </c>
      <c r="J755" s="20">
        <v>1</v>
      </c>
      <c r="K755" s="20">
        <v>1.1499999999999999</v>
      </c>
      <c r="L755" s="21" t="s">
        <v>28</v>
      </c>
      <c r="M755" s="22">
        <v>0.2</v>
      </c>
      <c r="N755" s="22">
        <v>2.1000000000000001E-2</v>
      </c>
      <c r="O755" s="22">
        <v>1052.3689999999999</v>
      </c>
      <c r="P755" s="22">
        <f t="shared" si="107"/>
        <v>242.04486999999997</v>
      </c>
      <c r="Q755" s="22">
        <v>2757.7041798239825</v>
      </c>
      <c r="R755" s="22">
        <f t="shared" si="108"/>
        <v>66.598555942749172</v>
      </c>
      <c r="S755" s="22">
        <f t="shared" si="109"/>
        <v>308.64342594274916</v>
      </c>
      <c r="T755" s="23">
        <v>0.55859868298040061</v>
      </c>
      <c r="U755" s="24">
        <v>0.1</v>
      </c>
      <c r="V755" s="25">
        <f t="shared" si="115"/>
        <v>529.15636090342048</v>
      </c>
      <c r="W755" s="26" t="s">
        <v>29</v>
      </c>
    </row>
    <row r="756" spans="1:23" ht="89.25" x14ac:dyDescent="0.25">
      <c r="A756" s="17">
        <f t="shared" ca="1" si="112"/>
        <v>752</v>
      </c>
      <c r="B756" s="18" t="s">
        <v>1453</v>
      </c>
      <c r="C756" s="18" t="s">
        <v>1531</v>
      </c>
      <c r="D756" s="18"/>
      <c r="E756" s="18"/>
      <c r="F756" s="18"/>
      <c r="G756" s="18"/>
      <c r="H756" s="19" t="s">
        <v>1532</v>
      </c>
      <c r="I756" s="18" t="s">
        <v>104</v>
      </c>
      <c r="J756" s="20">
        <v>1</v>
      </c>
      <c r="K756" s="20">
        <v>1.1499999999999999</v>
      </c>
      <c r="L756" s="21" t="s">
        <v>28</v>
      </c>
      <c r="M756" s="22">
        <v>0.2</v>
      </c>
      <c r="N756" s="22">
        <v>2.1000000000000001E-2</v>
      </c>
      <c r="O756" s="22">
        <v>1052.3689999999999</v>
      </c>
      <c r="P756" s="22">
        <f t="shared" si="107"/>
        <v>242.04486999999997</v>
      </c>
      <c r="Q756" s="22">
        <v>2757.7041798239825</v>
      </c>
      <c r="R756" s="22">
        <f t="shared" si="108"/>
        <v>66.598555942749172</v>
      </c>
      <c r="S756" s="22">
        <f t="shared" si="109"/>
        <v>308.64342594274916</v>
      </c>
      <c r="T756" s="23">
        <v>0.55859868298040061</v>
      </c>
      <c r="U756" s="24">
        <v>0.1</v>
      </c>
      <c r="V756" s="25">
        <f t="shared" si="115"/>
        <v>529.15636090342048</v>
      </c>
      <c r="W756" s="26" t="s">
        <v>29</v>
      </c>
    </row>
    <row r="757" spans="1:23" ht="89.25" x14ac:dyDescent="0.25">
      <c r="A757" s="17">
        <f t="shared" ca="1" si="112"/>
        <v>753</v>
      </c>
      <c r="B757" s="18" t="s">
        <v>1453</v>
      </c>
      <c r="C757" s="18" t="s">
        <v>1533</v>
      </c>
      <c r="D757" s="18"/>
      <c r="E757" s="18"/>
      <c r="F757" s="18"/>
      <c r="G757" s="18"/>
      <c r="H757" s="19" t="s">
        <v>1534</v>
      </c>
      <c r="I757" s="18" t="s">
        <v>104</v>
      </c>
      <c r="J757" s="20">
        <v>1</v>
      </c>
      <c r="K757" s="20">
        <v>1.1499999999999999</v>
      </c>
      <c r="L757" s="21" t="s">
        <v>28</v>
      </c>
      <c r="M757" s="22">
        <v>0.23760000000000001</v>
      </c>
      <c r="N757" s="22">
        <v>2.4500000000000001E-2</v>
      </c>
      <c r="O757" s="22">
        <v>1052.3689999999999</v>
      </c>
      <c r="P757" s="22">
        <f t="shared" si="107"/>
        <v>287.54930555999994</v>
      </c>
      <c r="Q757" s="22">
        <v>2757.7041798239825</v>
      </c>
      <c r="R757" s="22">
        <f t="shared" si="108"/>
        <v>77.698315266540718</v>
      </c>
      <c r="S757" s="22">
        <f t="shared" si="109"/>
        <v>365.24762082654064</v>
      </c>
      <c r="T757" s="23">
        <v>0.55859868298040061</v>
      </c>
      <c r="U757" s="24">
        <v>0.1</v>
      </c>
      <c r="V757" s="25">
        <f t="shared" si="115"/>
        <v>626.20190686016815</v>
      </c>
      <c r="W757" s="26" t="s">
        <v>29</v>
      </c>
    </row>
    <row r="758" spans="1:23" ht="89.25" x14ac:dyDescent="0.25">
      <c r="A758" s="17">
        <f t="shared" ca="1" si="112"/>
        <v>754</v>
      </c>
      <c r="B758" s="18" t="s">
        <v>1453</v>
      </c>
      <c r="C758" s="18" t="s">
        <v>1535</v>
      </c>
      <c r="D758" s="18"/>
      <c r="E758" s="18"/>
      <c r="F758" s="18"/>
      <c r="G758" s="18"/>
      <c r="H758" s="19" t="s">
        <v>1536</v>
      </c>
      <c r="I758" s="18" t="s">
        <v>104</v>
      </c>
      <c r="J758" s="20">
        <v>1</v>
      </c>
      <c r="K758" s="20">
        <v>1.1499999999999999</v>
      </c>
      <c r="L758" s="21" t="s">
        <v>28</v>
      </c>
      <c r="M758" s="22">
        <v>0.2</v>
      </c>
      <c r="N758" s="22">
        <v>2.1000000000000001E-2</v>
      </c>
      <c r="O758" s="22">
        <v>1052.3689999999999</v>
      </c>
      <c r="P758" s="22">
        <f t="shared" si="107"/>
        <v>242.04486999999997</v>
      </c>
      <c r="Q758" s="22">
        <v>2757.7041798239825</v>
      </c>
      <c r="R758" s="22">
        <f t="shared" si="108"/>
        <v>66.598555942749172</v>
      </c>
      <c r="S758" s="22">
        <f t="shared" si="109"/>
        <v>308.64342594274916</v>
      </c>
      <c r="T758" s="23">
        <v>0.55859868298040061</v>
      </c>
      <c r="U758" s="24">
        <v>0.1</v>
      </c>
      <c r="V758" s="25">
        <f t="shared" si="115"/>
        <v>529.15636090342048</v>
      </c>
      <c r="W758" s="26" t="s">
        <v>29</v>
      </c>
    </row>
    <row r="759" spans="1:23" ht="89.25" x14ac:dyDescent="0.25">
      <c r="A759" s="17">
        <f t="shared" ca="1" si="112"/>
        <v>755</v>
      </c>
      <c r="B759" s="18" t="s">
        <v>1453</v>
      </c>
      <c r="C759" s="18" t="s">
        <v>1537</v>
      </c>
      <c r="D759" s="18"/>
      <c r="E759" s="18"/>
      <c r="F759" s="18"/>
      <c r="G759" s="18"/>
      <c r="H759" s="19" t="s">
        <v>1538</v>
      </c>
      <c r="I759" s="18" t="s">
        <v>104</v>
      </c>
      <c r="J759" s="20">
        <v>1</v>
      </c>
      <c r="K759" s="20">
        <v>1.1499999999999999</v>
      </c>
      <c r="L759" s="21" t="s">
        <v>28</v>
      </c>
      <c r="M759" s="22">
        <v>0.23760000000000001</v>
      </c>
      <c r="N759" s="22">
        <v>2.4500000000000001E-2</v>
      </c>
      <c r="O759" s="22">
        <v>1052.3689999999999</v>
      </c>
      <c r="P759" s="22">
        <f t="shared" si="107"/>
        <v>287.54930555999994</v>
      </c>
      <c r="Q759" s="22">
        <v>2757.7041798239825</v>
      </c>
      <c r="R759" s="22">
        <f t="shared" si="108"/>
        <v>77.698315266540718</v>
      </c>
      <c r="S759" s="22">
        <f t="shared" si="109"/>
        <v>365.24762082654064</v>
      </c>
      <c r="T759" s="23">
        <v>0.55859868298040061</v>
      </c>
      <c r="U759" s="24">
        <v>0.1</v>
      </c>
      <c r="V759" s="25">
        <f t="shared" si="115"/>
        <v>626.20190686016815</v>
      </c>
      <c r="W759" s="26" t="s">
        <v>29</v>
      </c>
    </row>
    <row r="760" spans="1:23" ht="89.25" x14ac:dyDescent="0.25">
      <c r="A760" s="17">
        <f t="shared" ca="1" si="112"/>
        <v>756</v>
      </c>
      <c r="B760" s="18" t="s">
        <v>1453</v>
      </c>
      <c r="C760" s="18" t="s">
        <v>1539</v>
      </c>
      <c r="D760" s="18"/>
      <c r="E760" s="18"/>
      <c r="F760" s="18"/>
      <c r="G760" s="18"/>
      <c r="H760" s="19" t="s">
        <v>1540</v>
      </c>
      <c r="I760" s="18" t="s">
        <v>104</v>
      </c>
      <c r="J760" s="20">
        <v>1</v>
      </c>
      <c r="K760" s="20">
        <v>1.1499999999999999</v>
      </c>
      <c r="L760" s="21" t="s">
        <v>28</v>
      </c>
      <c r="M760" s="22">
        <v>0.23760000000000001</v>
      </c>
      <c r="N760" s="22">
        <v>2.4500000000000001E-2</v>
      </c>
      <c r="O760" s="22">
        <v>1052.3689999999999</v>
      </c>
      <c r="P760" s="22">
        <f t="shared" si="107"/>
        <v>287.54930555999994</v>
      </c>
      <c r="Q760" s="22">
        <v>2757.7041798239825</v>
      </c>
      <c r="R760" s="22">
        <f t="shared" si="108"/>
        <v>77.698315266540718</v>
      </c>
      <c r="S760" s="22">
        <f t="shared" si="109"/>
        <v>365.24762082654064</v>
      </c>
      <c r="T760" s="23">
        <v>0.55859868298040061</v>
      </c>
      <c r="U760" s="24">
        <v>0.1</v>
      </c>
      <c r="V760" s="25">
        <f t="shared" si="115"/>
        <v>626.20190686016815</v>
      </c>
      <c r="W760" s="26" t="s">
        <v>29</v>
      </c>
    </row>
    <row r="761" spans="1:23" ht="89.25" x14ac:dyDescent="0.25">
      <c r="A761" s="17">
        <f t="shared" ca="1" si="112"/>
        <v>757</v>
      </c>
      <c r="B761" s="18" t="s">
        <v>1453</v>
      </c>
      <c r="C761" s="18" t="s">
        <v>1541</v>
      </c>
      <c r="D761" s="18"/>
      <c r="E761" s="18"/>
      <c r="F761" s="18"/>
      <c r="G761" s="18"/>
      <c r="H761" s="19" t="s">
        <v>1542</v>
      </c>
      <c r="I761" s="18" t="s">
        <v>104</v>
      </c>
      <c r="J761" s="20">
        <v>1</v>
      </c>
      <c r="K761" s="20">
        <v>1.1499999999999999</v>
      </c>
      <c r="L761" s="21" t="s">
        <v>28</v>
      </c>
      <c r="M761" s="22">
        <v>0.23760000000000001</v>
      </c>
      <c r="N761" s="22">
        <v>2.4500000000000001E-2</v>
      </c>
      <c r="O761" s="22">
        <v>1052.3689999999999</v>
      </c>
      <c r="P761" s="22">
        <f t="shared" si="107"/>
        <v>287.54930555999994</v>
      </c>
      <c r="Q761" s="22">
        <v>2757.7041798239825</v>
      </c>
      <c r="R761" s="22">
        <f t="shared" si="108"/>
        <v>77.698315266540718</v>
      </c>
      <c r="S761" s="22">
        <f t="shared" si="109"/>
        <v>365.24762082654064</v>
      </c>
      <c r="T761" s="23">
        <v>0.55859868298040061</v>
      </c>
      <c r="U761" s="24">
        <v>0.1</v>
      </c>
      <c r="V761" s="25">
        <f t="shared" si="115"/>
        <v>626.20190686016815</v>
      </c>
      <c r="W761" s="26" t="s">
        <v>29</v>
      </c>
    </row>
    <row r="762" spans="1:23" ht="89.25" x14ac:dyDescent="0.25">
      <c r="A762" s="17">
        <f t="shared" ca="1" si="112"/>
        <v>758</v>
      </c>
      <c r="B762" s="18" t="s">
        <v>1453</v>
      </c>
      <c r="C762" s="18" t="s">
        <v>1543</v>
      </c>
      <c r="D762" s="18"/>
      <c r="E762" s="18"/>
      <c r="F762" s="18"/>
      <c r="G762" s="18"/>
      <c r="H762" s="19" t="s">
        <v>1544</v>
      </c>
      <c r="I762" s="18" t="s">
        <v>104</v>
      </c>
      <c r="J762" s="20">
        <v>1</v>
      </c>
      <c r="K762" s="20">
        <v>1.1499999999999999</v>
      </c>
      <c r="L762" s="21" t="s">
        <v>28</v>
      </c>
      <c r="M762" s="22">
        <v>0.23760000000000001</v>
      </c>
      <c r="N762" s="22">
        <v>2.4500000000000001E-2</v>
      </c>
      <c r="O762" s="22">
        <v>1052.3689999999999</v>
      </c>
      <c r="P762" s="22">
        <f t="shared" si="107"/>
        <v>287.54930555999994</v>
      </c>
      <c r="Q762" s="22">
        <v>2757.7041798239825</v>
      </c>
      <c r="R762" s="22">
        <f t="shared" si="108"/>
        <v>77.698315266540718</v>
      </c>
      <c r="S762" s="22">
        <f t="shared" si="109"/>
        <v>365.24762082654064</v>
      </c>
      <c r="T762" s="23">
        <v>0.55859868298040061</v>
      </c>
      <c r="U762" s="24">
        <v>0.1</v>
      </c>
      <c r="V762" s="25">
        <f t="shared" si="115"/>
        <v>626.20190686016815</v>
      </c>
      <c r="W762" s="26" t="s">
        <v>29</v>
      </c>
    </row>
    <row r="763" spans="1:23" ht="89.25" x14ac:dyDescent="0.25">
      <c r="A763" s="17">
        <f t="shared" ca="1" si="112"/>
        <v>759</v>
      </c>
      <c r="B763" s="18" t="s">
        <v>1453</v>
      </c>
      <c r="C763" s="18" t="s">
        <v>1545</v>
      </c>
      <c r="D763" s="18"/>
      <c r="E763" s="18"/>
      <c r="F763" s="18"/>
      <c r="G763" s="18"/>
      <c r="H763" s="19" t="s">
        <v>1546</v>
      </c>
      <c r="I763" s="18" t="s">
        <v>104</v>
      </c>
      <c r="J763" s="20">
        <v>1</v>
      </c>
      <c r="K763" s="20">
        <v>1.1499999999999999</v>
      </c>
      <c r="L763" s="21" t="s">
        <v>28</v>
      </c>
      <c r="M763" s="22">
        <v>0.23760000000000001</v>
      </c>
      <c r="N763" s="22">
        <v>2.4500000000000001E-2</v>
      </c>
      <c r="O763" s="22">
        <v>1052.3689999999999</v>
      </c>
      <c r="P763" s="22">
        <f t="shared" si="107"/>
        <v>287.54930555999994</v>
      </c>
      <c r="Q763" s="22">
        <v>2757.7041798239825</v>
      </c>
      <c r="R763" s="22">
        <f t="shared" si="108"/>
        <v>77.698315266540718</v>
      </c>
      <c r="S763" s="22">
        <f t="shared" si="109"/>
        <v>365.24762082654064</v>
      </c>
      <c r="T763" s="23">
        <v>0.55859868298040061</v>
      </c>
      <c r="U763" s="24">
        <v>0.1</v>
      </c>
      <c r="V763" s="25">
        <f t="shared" si="115"/>
        <v>626.20190686016815</v>
      </c>
      <c r="W763" s="26" t="s">
        <v>29</v>
      </c>
    </row>
    <row r="764" spans="1:23" ht="89.25" x14ac:dyDescent="0.25">
      <c r="A764" s="17">
        <f t="shared" ca="1" si="112"/>
        <v>760</v>
      </c>
      <c r="B764" s="18" t="s">
        <v>1453</v>
      </c>
      <c r="C764" s="18" t="s">
        <v>1547</v>
      </c>
      <c r="D764" s="18"/>
      <c r="E764" s="18"/>
      <c r="F764" s="18"/>
      <c r="G764" s="18"/>
      <c r="H764" s="19" t="s">
        <v>1548</v>
      </c>
      <c r="I764" s="18" t="s">
        <v>104</v>
      </c>
      <c r="J764" s="20">
        <v>1</v>
      </c>
      <c r="K764" s="20">
        <v>1.1499999999999999</v>
      </c>
      <c r="L764" s="21" t="s">
        <v>28</v>
      </c>
      <c r="M764" s="22">
        <v>0.23760000000000001</v>
      </c>
      <c r="N764" s="22">
        <v>2.4500000000000001E-2</v>
      </c>
      <c r="O764" s="22">
        <v>1052.3689999999999</v>
      </c>
      <c r="P764" s="22">
        <f t="shared" si="107"/>
        <v>287.54930555999994</v>
      </c>
      <c r="Q764" s="22">
        <v>2757.7041798239825</v>
      </c>
      <c r="R764" s="22">
        <f t="shared" si="108"/>
        <v>77.698315266540718</v>
      </c>
      <c r="S764" s="22">
        <f t="shared" si="109"/>
        <v>365.24762082654064</v>
      </c>
      <c r="T764" s="23">
        <v>0.55859868298040061</v>
      </c>
      <c r="U764" s="24">
        <v>0.1</v>
      </c>
      <c r="V764" s="25">
        <f t="shared" si="115"/>
        <v>626.20190686016815</v>
      </c>
      <c r="W764" s="26" t="s">
        <v>29</v>
      </c>
    </row>
    <row r="765" spans="1:23" ht="89.25" x14ac:dyDescent="0.25">
      <c r="A765" s="17">
        <f t="shared" ca="1" si="112"/>
        <v>761</v>
      </c>
      <c r="B765" s="18" t="s">
        <v>1453</v>
      </c>
      <c r="C765" s="18" t="s">
        <v>1549</v>
      </c>
      <c r="D765" s="18"/>
      <c r="E765" s="18"/>
      <c r="F765" s="18"/>
      <c r="G765" s="18"/>
      <c r="H765" s="19" t="s">
        <v>1550</v>
      </c>
      <c r="I765" s="18" t="s">
        <v>104</v>
      </c>
      <c r="J765" s="20">
        <v>1</v>
      </c>
      <c r="K765" s="20">
        <v>1.1499999999999999</v>
      </c>
      <c r="L765" s="21" t="s">
        <v>28</v>
      </c>
      <c r="M765" s="22">
        <v>0.29520000000000002</v>
      </c>
      <c r="N765" s="22">
        <v>2.7299999999999998E-2</v>
      </c>
      <c r="O765" s="22">
        <v>1052.3689999999999</v>
      </c>
      <c r="P765" s="22">
        <f t="shared" si="107"/>
        <v>357.25822811999996</v>
      </c>
      <c r="Q765" s="22">
        <v>2757.7041798239825</v>
      </c>
      <c r="R765" s="22">
        <f t="shared" si="108"/>
        <v>86.57812272557392</v>
      </c>
      <c r="S765" s="22">
        <f t="shared" si="109"/>
        <v>443.83635084557386</v>
      </c>
      <c r="T765" s="23">
        <v>0.55859868298040061</v>
      </c>
      <c r="U765" s="24">
        <v>0.1</v>
      </c>
      <c r="V765" s="25">
        <f t="shared" si="115"/>
        <v>760.93902707541224</v>
      </c>
      <c r="W765" s="26" t="s">
        <v>29</v>
      </c>
    </row>
    <row r="766" spans="1:23" ht="89.25" x14ac:dyDescent="0.25">
      <c r="A766" s="17">
        <f t="shared" ca="1" si="112"/>
        <v>762</v>
      </c>
      <c r="B766" s="18" t="s">
        <v>1453</v>
      </c>
      <c r="C766" s="18" t="s">
        <v>1551</v>
      </c>
      <c r="D766" s="18"/>
      <c r="E766" s="18"/>
      <c r="F766" s="18"/>
      <c r="G766" s="18"/>
      <c r="H766" s="19" t="s">
        <v>1552</v>
      </c>
      <c r="I766" s="18" t="s">
        <v>104</v>
      </c>
      <c r="J766" s="20">
        <v>1</v>
      </c>
      <c r="K766" s="20">
        <v>1.1499999999999999</v>
      </c>
      <c r="L766" s="21" t="s">
        <v>28</v>
      </c>
      <c r="M766" s="22">
        <v>0.23760000000000001</v>
      </c>
      <c r="N766" s="22">
        <v>2.4500000000000001E-2</v>
      </c>
      <c r="O766" s="22">
        <v>1052.3689999999999</v>
      </c>
      <c r="P766" s="22">
        <f t="shared" si="107"/>
        <v>287.54930555999994</v>
      </c>
      <c r="Q766" s="22">
        <v>2757.7041798239825</v>
      </c>
      <c r="R766" s="22">
        <f t="shared" si="108"/>
        <v>77.698315266540718</v>
      </c>
      <c r="S766" s="22">
        <f t="shared" si="109"/>
        <v>365.24762082654064</v>
      </c>
      <c r="T766" s="23">
        <v>0.55859868298040061</v>
      </c>
      <c r="U766" s="24">
        <v>0.1</v>
      </c>
      <c r="V766" s="25">
        <f t="shared" si="115"/>
        <v>626.20190686016815</v>
      </c>
      <c r="W766" s="26" t="s">
        <v>29</v>
      </c>
    </row>
    <row r="767" spans="1:23" ht="89.25" x14ac:dyDescent="0.25">
      <c r="A767" s="17">
        <f t="shared" ca="1" si="112"/>
        <v>763</v>
      </c>
      <c r="B767" s="18" t="s">
        <v>1453</v>
      </c>
      <c r="C767" s="18" t="s">
        <v>1553</v>
      </c>
      <c r="D767" s="18"/>
      <c r="E767" s="18"/>
      <c r="F767" s="18"/>
      <c r="G767" s="18"/>
      <c r="H767" s="19" t="s">
        <v>1554</v>
      </c>
      <c r="I767" s="18" t="s">
        <v>104</v>
      </c>
      <c r="J767" s="20">
        <v>1</v>
      </c>
      <c r="K767" s="20">
        <v>1.1499999999999999</v>
      </c>
      <c r="L767" s="21" t="s">
        <v>28</v>
      </c>
      <c r="M767" s="22">
        <v>0.29520000000000002</v>
      </c>
      <c r="N767" s="22">
        <v>2.7299999999999998E-2</v>
      </c>
      <c r="O767" s="22">
        <v>1052.3689999999999</v>
      </c>
      <c r="P767" s="22">
        <f t="shared" ref="P767:P830" si="116">O767*M767*K767</f>
        <v>357.25822811999996</v>
      </c>
      <c r="Q767" s="22">
        <v>2757.7041798239825</v>
      </c>
      <c r="R767" s="22">
        <f t="shared" ref="R767:R830" si="117">N767*Q767*K767</f>
        <v>86.57812272557392</v>
      </c>
      <c r="S767" s="22">
        <f t="shared" ref="S767:S830" si="118">P767+R767</f>
        <v>443.83635084557386</v>
      </c>
      <c r="T767" s="23">
        <v>0.55859868298040061</v>
      </c>
      <c r="U767" s="24">
        <v>0.1</v>
      </c>
      <c r="V767" s="25">
        <f t="shared" si="115"/>
        <v>760.93902707541224</v>
      </c>
      <c r="W767" s="26" t="s">
        <v>29</v>
      </c>
    </row>
    <row r="768" spans="1:23" ht="89.25" x14ac:dyDescent="0.25">
      <c r="A768" s="17">
        <f t="shared" ca="1" si="112"/>
        <v>764</v>
      </c>
      <c r="B768" s="18" t="s">
        <v>1453</v>
      </c>
      <c r="C768" s="18" t="s">
        <v>1555</v>
      </c>
      <c r="D768" s="18"/>
      <c r="E768" s="18"/>
      <c r="F768" s="18"/>
      <c r="G768" s="18"/>
      <c r="H768" s="19" t="s">
        <v>1556</v>
      </c>
      <c r="I768" s="18" t="s">
        <v>104</v>
      </c>
      <c r="J768" s="20">
        <v>1</v>
      </c>
      <c r="K768" s="20">
        <v>1.1499999999999999</v>
      </c>
      <c r="L768" s="21" t="s">
        <v>28</v>
      </c>
      <c r="M768" s="22">
        <v>0.23760000000000001</v>
      </c>
      <c r="N768" s="22">
        <v>2.4500000000000001E-2</v>
      </c>
      <c r="O768" s="22">
        <v>1052.3689999999999</v>
      </c>
      <c r="P768" s="22">
        <f t="shared" si="116"/>
        <v>287.54930555999994</v>
      </c>
      <c r="Q768" s="22">
        <v>2757.7041798239825</v>
      </c>
      <c r="R768" s="22">
        <f t="shared" si="117"/>
        <v>77.698315266540718</v>
      </c>
      <c r="S768" s="22">
        <f t="shared" si="118"/>
        <v>365.24762082654064</v>
      </c>
      <c r="T768" s="23">
        <v>0.55859868298040061</v>
      </c>
      <c r="U768" s="24">
        <v>0.1</v>
      </c>
      <c r="V768" s="25">
        <f t="shared" si="115"/>
        <v>626.20190686016815</v>
      </c>
      <c r="W768" s="26" t="s">
        <v>29</v>
      </c>
    </row>
    <row r="769" spans="1:23" ht="89.25" x14ac:dyDescent="0.25">
      <c r="A769" s="17">
        <f t="shared" ca="1" si="112"/>
        <v>765</v>
      </c>
      <c r="B769" s="18" t="s">
        <v>1453</v>
      </c>
      <c r="C769" s="18" t="s">
        <v>1557</v>
      </c>
      <c r="D769" s="18"/>
      <c r="E769" s="18"/>
      <c r="F769" s="18"/>
      <c r="G769" s="18"/>
      <c r="H769" s="19" t="s">
        <v>1558</v>
      </c>
      <c r="I769" s="18" t="s">
        <v>104</v>
      </c>
      <c r="J769" s="20">
        <v>1</v>
      </c>
      <c r="K769" s="20">
        <v>1.1499999999999999</v>
      </c>
      <c r="L769" s="21" t="s">
        <v>28</v>
      </c>
      <c r="M769" s="22">
        <v>0.29520000000000002</v>
      </c>
      <c r="N769" s="22">
        <v>2.7299999999999998E-2</v>
      </c>
      <c r="O769" s="22">
        <v>1052.3689999999999</v>
      </c>
      <c r="P769" s="22">
        <f t="shared" si="116"/>
        <v>357.25822811999996</v>
      </c>
      <c r="Q769" s="22">
        <v>2757.7041798239825</v>
      </c>
      <c r="R769" s="22">
        <f t="shared" si="117"/>
        <v>86.57812272557392</v>
      </c>
      <c r="S769" s="22">
        <f t="shared" si="118"/>
        <v>443.83635084557386</v>
      </c>
      <c r="T769" s="23">
        <v>0.55859868298040061</v>
      </c>
      <c r="U769" s="24">
        <v>0.1</v>
      </c>
      <c r="V769" s="25">
        <f t="shared" si="115"/>
        <v>760.93902707541224</v>
      </c>
      <c r="W769" s="26" t="s">
        <v>29</v>
      </c>
    </row>
    <row r="770" spans="1:23" ht="89.25" x14ac:dyDescent="0.25">
      <c r="A770" s="17">
        <f t="shared" ca="1" si="112"/>
        <v>766</v>
      </c>
      <c r="B770" s="18" t="s">
        <v>1453</v>
      </c>
      <c r="C770" s="18" t="s">
        <v>1559</v>
      </c>
      <c r="D770" s="18"/>
      <c r="E770" s="18"/>
      <c r="F770" s="18"/>
      <c r="G770" s="18"/>
      <c r="H770" s="19" t="s">
        <v>1560</v>
      </c>
      <c r="I770" s="18" t="s">
        <v>104</v>
      </c>
      <c r="J770" s="20">
        <v>1</v>
      </c>
      <c r="K770" s="20">
        <v>1.1499999999999999</v>
      </c>
      <c r="L770" s="21" t="s">
        <v>28</v>
      </c>
      <c r="M770" s="22">
        <v>0.23760000000000001</v>
      </c>
      <c r="N770" s="22">
        <v>2.4500000000000001E-2</v>
      </c>
      <c r="O770" s="22">
        <v>1052.3689999999999</v>
      </c>
      <c r="P770" s="22">
        <f t="shared" si="116"/>
        <v>287.54930555999994</v>
      </c>
      <c r="Q770" s="22">
        <v>2757.7041798239825</v>
      </c>
      <c r="R770" s="22">
        <f t="shared" si="117"/>
        <v>77.698315266540718</v>
      </c>
      <c r="S770" s="22">
        <f t="shared" si="118"/>
        <v>365.24762082654064</v>
      </c>
      <c r="T770" s="23">
        <v>0.55859868298040061</v>
      </c>
      <c r="U770" s="24">
        <v>0.1</v>
      </c>
      <c r="V770" s="25">
        <f t="shared" si="115"/>
        <v>626.20190686016815</v>
      </c>
      <c r="W770" s="26" t="s">
        <v>29</v>
      </c>
    </row>
    <row r="771" spans="1:23" ht="89.25" x14ac:dyDescent="0.25">
      <c r="A771" s="17">
        <f t="shared" ref="A771:A834" ca="1" si="119">CELL("строка",A771)-4</f>
        <v>767</v>
      </c>
      <c r="B771" s="18" t="s">
        <v>1453</v>
      </c>
      <c r="C771" s="18" t="s">
        <v>1561</v>
      </c>
      <c r="D771" s="18"/>
      <c r="E771" s="18"/>
      <c r="F771" s="18"/>
      <c r="G771" s="18"/>
      <c r="H771" s="19" t="s">
        <v>1562</v>
      </c>
      <c r="I771" s="18" t="s">
        <v>104</v>
      </c>
      <c r="J771" s="20">
        <v>1</v>
      </c>
      <c r="K771" s="20">
        <v>1.1499999999999999</v>
      </c>
      <c r="L771" s="21" t="s">
        <v>28</v>
      </c>
      <c r="M771" s="22">
        <v>0.29520000000000002</v>
      </c>
      <c r="N771" s="22">
        <v>2.7299999999999998E-2</v>
      </c>
      <c r="O771" s="22">
        <v>1052.3689999999999</v>
      </c>
      <c r="P771" s="22">
        <f t="shared" si="116"/>
        <v>357.25822811999996</v>
      </c>
      <c r="Q771" s="22">
        <v>2757.7041798239825</v>
      </c>
      <c r="R771" s="22">
        <f t="shared" si="117"/>
        <v>86.57812272557392</v>
      </c>
      <c r="S771" s="22">
        <f t="shared" si="118"/>
        <v>443.83635084557386</v>
      </c>
      <c r="T771" s="23">
        <v>0.55859868298040061</v>
      </c>
      <c r="U771" s="24">
        <v>0.1</v>
      </c>
      <c r="V771" s="25">
        <f t="shared" si="115"/>
        <v>760.93902707541224</v>
      </c>
      <c r="W771" s="26" t="s">
        <v>29</v>
      </c>
    </row>
    <row r="772" spans="1:23" ht="89.25" x14ac:dyDescent="0.25">
      <c r="A772" s="17">
        <f t="shared" ca="1" si="119"/>
        <v>768</v>
      </c>
      <c r="B772" s="18" t="s">
        <v>1453</v>
      </c>
      <c r="C772" s="18" t="s">
        <v>1563</v>
      </c>
      <c r="D772" s="18"/>
      <c r="E772" s="18"/>
      <c r="F772" s="18"/>
      <c r="G772" s="18"/>
      <c r="H772" s="19" t="s">
        <v>1564</v>
      </c>
      <c r="I772" s="18" t="s">
        <v>104</v>
      </c>
      <c r="J772" s="20">
        <v>1</v>
      </c>
      <c r="K772" s="20">
        <v>1.1499999999999999</v>
      </c>
      <c r="L772" s="21" t="s">
        <v>28</v>
      </c>
      <c r="M772" s="22">
        <v>0.29520000000000002</v>
      </c>
      <c r="N772" s="22">
        <v>2.7299999999999998E-2</v>
      </c>
      <c r="O772" s="22">
        <v>1052.3689999999999</v>
      </c>
      <c r="P772" s="22">
        <f t="shared" si="116"/>
        <v>357.25822811999996</v>
      </c>
      <c r="Q772" s="22">
        <v>2757.7041798239825</v>
      </c>
      <c r="R772" s="22">
        <f t="shared" si="117"/>
        <v>86.57812272557392</v>
      </c>
      <c r="S772" s="22">
        <f t="shared" si="118"/>
        <v>443.83635084557386</v>
      </c>
      <c r="T772" s="23">
        <v>0.55859868298040061</v>
      </c>
      <c r="U772" s="24">
        <v>0.1</v>
      </c>
      <c r="V772" s="25">
        <f t="shared" si="115"/>
        <v>760.93902707541224</v>
      </c>
      <c r="W772" s="26" t="s">
        <v>29</v>
      </c>
    </row>
    <row r="773" spans="1:23" ht="89.25" x14ac:dyDescent="0.25">
      <c r="A773" s="17">
        <f t="shared" ca="1" si="119"/>
        <v>769</v>
      </c>
      <c r="B773" s="18" t="s">
        <v>1453</v>
      </c>
      <c r="C773" s="18" t="s">
        <v>1565</v>
      </c>
      <c r="D773" s="18"/>
      <c r="E773" s="18"/>
      <c r="F773" s="18"/>
      <c r="G773" s="18"/>
      <c r="H773" s="19" t="s">
        <v>1566</v>
      </c>
      <c r="I773" s="18" t="s">
        <v>104</v>
      </c>
      <c r="J773" s="20">
        <v>1</v>
      </c>
      <c r="K773" s="20">
        <v>1.1499999999999999</v>
      </c>
      <c r="L773" s="21" t="s">
        <v>28</v>
      </c>
      <c r="M773" s="22">
        <v>0.32640000000000002</v>
      </c>
      <c r="N773" s="22">
        <v>3.0799999999999991E-2</v>
      </c>
      <c r="O773" s="22">
        <v>1052.3689999999999</v>
      </c>
      <c r="P773" s="22">
        <f t="shared" si="116"/>
        <v>395.01722783999992</v>
      </c>
      <c r="Q773" s="22">
        <v>2757.7041798239825</v>
      </c>
      <c r="R773" s="22">
        <f t="shared" si="117"/>
        <v>97.677882049365422</v>
      </c>
      <c r="S773" s="22">
        <f t="shared" si="118"/>
        <v>492.69510988936531</v>
      </c>
      <c r="T773" s="23">
        <v>0.55859868298040061</v>
      </c>
      <c r="U773" s="24">
        <v>0.1</v>
      </c>
      <c r="V773" s="25">
        <f t="shared" si="115"/>
        <v>844.70534432289332</v>
      </c>
      <c r="W773" s="26" t="s">
        <v>29</v>
      </c>
    </row>
    <row r="774" spans="1:23" ht="89.25" x14ac:dyDescent="0.25">
      <c r="A774" s="17">
        <f t="shared" ca="1" si="119"/>
        <v>770</v>
      </c>
      <c r="B774" s="18" t="s">
        <v>1453</v>
      </c>
      <c r="C774" s="18" t="s">
        <v>1567</v>
      </c>
      <c r="D774" s="18"/>
      <c r="E774" s="18"/>
      <c r="F774" s="18"/>
      <c r="G774" s="18"/>
      <c r="H774" s="19" t="s">
        <v>1568</v>
      </c>
      <c r="I774" s="18" t="s">
        <v>104</v>
      </c>
      <c r="J774" s="20">
        <v>1</v>
      </c>
      <c r="K774" s="20">
        <v>1.1499999999999999</v>
      </c>
      <c r="L774" s="21" t="s">
        <v>28</v>
      </c>
      <c r="M774" s="22">
        <v>0.29520000000000002</v>
      </c>
      <c r="N774" s="22">
        <v>2.7299999999999998E-2</v>
      </c>
      <c r="O774" s="22">
        <v>1052.3689999999999</v>
      </c>
      <c r="P774" s="22">
        <f t="shared" si="116"/>
        <v>357.25822811999996</v>
      </c>
      <c r="Q774" s="22">
        <v>2757.7041798239825</v>
      </c>
      <c r="R774" s="22">
        <f t="shared" si="117"/>
        <v>86.57812272557392</v>
      </c>
      <c r="S774" s="22">
        <f t="shared" si="118"/>
        <v>443.83635084557386</v>
      </c>
      <c r="T774" s="23">
        <v>0.55859868298040061</v>
      </c>
      <c r="U774" s="24">
        <v>0.1</v>
      </c>
      <c r="V774" s="25">
        <f t="shared" si="115"/>
        <v>760.93902707541224</v>
      </c>
      <c r="W774" s="26" t="s">
        <v>29</v>
      </c>
    </row>
    <row r="775" spans="1:23" ht="89.25" x14ac:dyDescent="0.25">
      <c r="A775" s="17">
        <f t="shared" ca="1" si="119"/>
        <v>771</v>
      </c>
      <c r="B775" s="18" t="s">
        <v>1453</v>
      </c>
      <c r="C775" s="18" t="s">
        <v>1569</v>
      </c>
      <c r="D775" s="18"/>
      <c r="E775" s="18"/>
      <c r="F775" s="18"/>
      <c r="G775" s="18"/>
      <c r="H775" s="19" t="s">
        <v>1570</v>
      </c>
      <c r="I775" s="18" t="s">
        <v>104</v>
      </c>
      <c r="J775" s="20">
        <v>1</v>
      </c>
      <c r="K775" s="20">
        <v>1.1499999999999999</v>
      </c>
      <c r="L775" s="21" t="s">
        <v>28</v>
      </c>
      <c r="M775" s="22">
        <v>0.32640000000000002</v>
      </c>
      <c r="N775" s="22">
        <v>3.0799999999999991E-2</v>
      </c>
      <c r="O775" s="22">
        <v>1052.3689999999999</v>
      </c>
      <c r="P775" s="22">
        <f t="shared" si="116"/>
        <v>395.01722783999992</v>
      </c>
      <c r="Q775" s="22">
        <v>2757.7041798239825</v>
      </c>
      <c r="R775" s="22">
        <f t="shared" si="117"/>
        <v>97.677882049365422</v>
      </c>
      <c r="S775" s="22">
        <f t="shared" si="118"/>
        <v>492.69510988936531</v>
      </c>
      <c r="T775" s="23">
        <v>0.55859868298040061</v>
      </c>
      <c r="U775" s="24">
        <v>0.1</v>
      </c>
      <c r="V775" s="25">
        <f t="shared" si="115"/>
        <v>844.70534432289332</v>
      </c>
      <c r="W775" s="26" t="s">
        <v>29</v>
      </c>
    </row>
    <row r="776" spans="1:23" ht="89.25" x14ac:dyDescent="0.25">
      <c r="A776" s="17">
        <f t="shared" ca="1" si="119"/>
        <v>772</v>
      </c>
      <c r="B776" s="18" t="s">
        <v>1453</v>
      </c>
      <c r="C776" s="18" t="s">
        <v>1571</v>
      </c>
      <c r="D776" s="18"/>
      <c r="E776" s="18"/>
      <c r="F776" s="18"/>
      <c r="G776" s="18"/>
      <c r="H776" s="19" t="s">
        <v>1572</v>
      </c>
      <c r="I776" s="18" t="s">
        <v>104</v>
      </c>
      <c r="J776" s="20">
        <v>1</v>
      </c>
      <c r="K776" s="20">
        <v>1.1499999999999999</v>
      </c>
      <c r="L776" s="21" t="s">
        <v>28</v>
      </c>
      <c r="M776" s="22">
        <v>0.29520000000000002</v>
      </c>
      <c r="N776" s="22">
        <v>2.7299999999999998E-2</v>
      </c>
      <c r="O776" s="22">
        <v>1052.3689999999999</v>
      </c>
      <c r="P776" s="22">
        <f t="shared" si="116"/>
        <v>357.25822811999996</v>
      </c>
      <c r="Q776" s="22">
        <v>2757.7041798239825</v>
      </c>
      <c r="R776" s="22">
        <f t="shared" si="117"/>
        <v>86.57812272557392</v>
      </c>
      <c r="S776" s="22">
        <f t="shared" si="118"/>
        <v>443.83635084557386</v>
      </c>
      <c r="T776" s="23">
        <v>0.55859868298040061</v>
      </c>
      <c r="U776" s="24">
        <v>0.1</v>
      </c>
      <c r="V776" s="25">
        <f t="shared" si="115"/>
        <v>760.93902707541224</v>
      </c>
      <c r="W776" s="26" t="s">
        <v>29</v>
      </c>
    </row>
    <row r="777" spans="1:23" ht="89.25" x14ac:dyDescent="0.25">
      <c r="A777" s="17">
        <f t="shared" ca="1" si="119"/>
        <v>773</v>
      </c>
      <c r="B777" s="18" t="s">
        <v>1453</v>
      </c>
      <c r="C777" s="18" t="s">
        <v>1573</v>
      </c>
      <c r="D777" s="18"/>
      <c r="E777" s="18"/>
      <c r="F777" s="18"/>
      <c r="G777" s="18"/>
      <c r="H777" s="19" t="s">
        <v>1574</v>
      </c>
      <c r="I777" s="18" t="s">
        <v>104</v>
      </c>
      <c r="J777" s="20">
        <v>1</v>
      </c>
      <c r="K777" s="20">
        <v>1.1499999999999999</v>
      </c>
      <c r="L777" s="21" t="s">
        <v>28</v>
      </c>
      <c r="M777" s="22">
        <v>0.32640000000000002</v>
      </c>
      <c r="N777" s="22">
        <v>3.0799999999999991E-2</v>
      </c>
      <c r="O777" s="22">
        <v>1052.3689999999999</v>
      </c>
      <c r="P777" s="22">
        <f t="shared" si="116"/>
        <v>395.01722783999992</v>
      </c>
      <c r="Q777" s="22">
        <v>2757.7041798239825</v>
      </c>
      <c r="R777" s="22">
        <f t="shared" si="117"/>
        <v>97.677882049365422</v>
      </c>
      <c r="S777" s="22">
        <f t="shared" si="118"/>
        <v>492.69510988936531</v>
      </c>
      <c r="T777" s="23">
        <v>0.55859868298040061</v>
      </c>
      <c r="U777" s="24">
        <v>0.1</v>
      </c>
      <c r="V777" s="25">
        <f t="shared" si="115"/>
        <v>844.70534432289332</v>
      </c>
      <c r="W777" s="26" t="s">
        <v>29</v>
      </c>
    </row>
    <row r="778" spans="1:23" ht="89.25" x14ac:dyDescent="0.25">
      <c r="A778" s="17">
        <f t="shared" ca="1" si="119"/>
        <v>774</v>
      </c>
      <c r="B778" s="18" t="s">
        <v>1453</v>
      </c>
      <c r="C778" s="18" t="s">
        <v>1575</v>
      </c>
      <c r="D778" s="18"/>
      <c r="E778" s="18"/>
      <c r="F778" s="18"/>
      <c r="G778" s="18"/>
      <c r="H778" s="19" t="s">
        <v>1576</v>
      </c>
      <c r="I778" s="18" t="s">
        <v>104</v>
      </c>
      <c r="J778" s="20">
        <v>1</v>
      </c>
      <c r="K778" s="20">
        <v>1.1499999999999999</v>
      </c>
      <c r="L778" s="21" t="s">
        <v>28</v>
      </c>
      <c r="M778" s="22">
        <v>0.29520000000000002</v>
      </c>
      <c r="N778" s="22">
        <v>2.7299999999999998E-2</v>
      </c>
      <c r="O778" s="22">
        <v>1052.3689999999999</v>
      </c>
      <c r="P778" s="22">
        <f t="shared" si="116"/>
        <v>357.25822811999996</v>
      </c>
      <c r="Q778" s="22">
        <v>2757.7041798239825</v>
      </c>
      <c r="R778" s="22">
        <f t="shared" si="117"/>
        <v>86.57812272557392</v>
      </c>
      <c r="S778" s="22">
        <f t="shared" si="118"/>
        <v>443.83635084557386</v>
      </c>
      <c r="T778" s="23">
        <v>0.55859868298040061</v>
      </c>
      <c r="U778" s="24">
        <v>0.1</v>
      </c>
      <c r="V778" s="25">
        <f t="shared" si="115"/>
        <v>760.93902707541224</v>
      </c>
      <c r="W778" s="26" t="s">
        <v>29</v>
      </c>
    </row>
    <row r="779" spans="1:23" ht="89.25" x14ac:dyDescent="0.25">
      <c r="A779" s="17">
        <f t="shared" ca="1" si="119"/>
        <v>775</v>
      </c>
      <c r="B779" s="18" t="s">
        <v>1453</v>
      </c>
      <c r="C779" s="18" t="s">
        <v>1577</v>
      </c>
      <c r="D779" s="18"/>
      <c r="E779" s="18"/>
      <c r="F779" s="18"/>
      <c r="G779" s="18"/>
      <c r="H779" s="19" t="s">
        <v>1578</v>
      </c>
      <c r="I779" s="18" t="s">
        <v>104</v>
      </c>
      <c r="J779" s="20">
        <v>1</v>
      </c>
      <c r="K779" s="20">
        <v>1.1499999999999999</v>
      </c>
      <c r="L779" s="21" t="s">
        <v>28</v>
      </c>
      <c r="M779" s="22">
        <v>0.32640000000000002</v>
      </c>
      <c r="N779" s="22">
        <v>3.0799999999999991E-2</v>
      </c>
      <c r="O779" s="22">
        <v>1052.3689999999999</v>
      </c>
      <c r="P779" s="22">
        <f t="shared" si="116"/>
        <v>395.01722783999992</v>
      </c>
      <c r="Q779" s="22">
        <v>2757.7041798239825</v>
      </c>
      <c r="R779" s="22">
        <f t="shared" si="117"/>
        <v>97.677882049365422</v>
      </c>
      <c r="S779" s="22">
        <f t="shared" si="118"/>
        <v>492.69510988936531</v>
      </c>
      <c r="T779" s="23">
        <v>0.55859868298040061</v>
      </c>
      <c r="U779" s="24">
        <v>0.1</v>
      </c>
      <c r="V779" s="25">
        <f t="shared" si="115"/>
        <v>844.70534432289332</v>
      </c>
      <c r="W779" s="26" t="s">
        <v>29</v>
      </c>
    </row>
    <row r="780" spans="1:23" ht="89.25" x14ac:dyDescent="0.25">
      <c r="A780" s="17">
        <f t="shared" ca="1" si="119"/>
        <v>776</v>
      </c>
      <c r="B780" s="18" t="s">
        <v>1453</v>
      </c>
      <c r="C780" s="18" t="s">
        <v>1579</v>
      </c>
      <c r="D780" s="18"/>
      <c r="E780" s="18"/>
      <c r="F780" s="18"/>
      <c r="G780" s="18"/>
      <c r="H780" s="19" t="s">
        <v>1580</v>
      </c>
      <c r="I780" s="18" t="s">
        <v>104</v>
      </c>
      <c r="J780" s="20">
        <v>1</v>
      </c>
      <c r="K780" s="20">
        <v>1.1499999999999999</v>
      </c>
      <c r="L780" s="21" t="s">
        <v>28</v>
      </c>
      <c r="M780" s="22">
        <v>0.29520000000000002</v>
      </c>
      <c r="N780" s="22">
        <v>2.7299999999999998E-2</v>
      </c>
      <c r="O780" s="22">
        <v>1052.3689999999999</v>
      </c>
      <c r="P780" s="22">
        <f t="shared" si="116"/>
        <v>357.25822811999996</v>
      </c>
      <c r="Q780" s="22">
        <v>2757.7041798239825</v>
      </c>
      <c r="R780" s="22">
        <f t="shared" si="117"/>
        <v>86.57812272557392</v>
      </c>
      <c r="S780" s="22">
        <f t="shared" si="118"/>
        <v>443.83635084557386</v>
      </c>
      <c r="T780" s="23">
        <v>0.55859868298040061</v>
      </c>
      <c r="U780" s="24">
        <v>0.1</v>
      </c>
      <c r="V780" s="25">
        <f t="shared" si="115"/>
        <v>760.93902707541224</v>
      </c>
      <c r="W780" s="26" t="s">
        <v>29</v>
      </c>
    </row>
    <row r="781" spans="1:23" ht="89.25" x14ac:dyDescent="0.25">
      <c r="A781" s="17">
        <f t="shared" ca="1" si="119"/>
        <v>777</v>
      </c>
      <c r="B781" s="18" t="s">
        <v>1453</v>
      </c>
      <c r="C781" s="18" t="s">
        <v>1581</v>
      </c>
      <c r="D781" s="18"/>
      <c r="E781" s="18"/>
      <c r="F781" s="18"/>
      <c r="G781" s="18"/>
      <c r="H781" s="19" t="s">
        <v>1582</v>
      </c>
      <c r="I781" s="18" t="s">
        <v>104</v>
      </c>
      <c r="J781" s="20">
        <v>1</v>
      </c>
      <c r="K781" s="20">
        <v>1.1499999999999999</v>
      </c>
      <c r="L781" s="21" t="s">
        <v>28</v>
      </c>
      <c r="M781" s="22">
        <v>0.32640000000000002</v>
      </c>
      <c r="N781" s="22">
        <v>3.0799999999999991E-2</v>
      </c>
      <c r="O781" s="22">
        <v>1052.3689999999999</v>
      </c>
      <c r="P781" s="22">
        <f t="shared" si="116"/>
        <v>395.01722783999992</v>
      </c>
      <c r="Q781" s="22">
        <v>2757.7041798239825</v>
      </c>
      <c r="R781" s="22">
        <f t="shared" si="117"/>
        <v>97.677882049365422</v>
      </c>
      <c r="S781" s="22">
        <f t="shared" si="118"/>
        <v>492.69510988936531</v>
      </c>
      <c r="T781" s="23">
        <v>0.55859868298040061</v>
      </c>
      <c r="U781" s="24">
        <v>0.1</v>
      </c>
      <c r="V781" s="25">
        <f t="shared" si="115"/>
        <v>844.70534432289332</v>
      </c>
      <c r="W781" s="26" t="s">
        <v>29</v>
      </c>
    </row>
    <row r="782" spans="1:23" ht="89.25" x14ac:dyDescent="0.25">
      <c r="A782" s="17">
        <f t="shared" ca="1" si="119"/>
        <v>778</v>
      </c>
      <c r="B782" s="18" t="s">
        <v>1453</v>
      </c>
      <c r="C782" s="18" t="s">
        <v>1583</v>
      </c>
      <c r="D782" s="18"/>
      <c r="E782" s="18"/>
      <c r="F782" s="18"/>
      <c r="G782" s="18"/>
      <c r="H782" s="19" t="s">
        <v>1584</v>
      </c>
      <c r="I782" s="18" t="s">
        <v>104</v>
      </c>
      <c r="J782" s="20">
        <v>1</v>
      </c>
      <c r="K782" s="20">
        <v>1.1499999999999999</v>
      </c>
      <c r="L782" s="21" t="s">
        <v>28</v>
      </c>
      <c r="M782" s="22">
        <v>0.29520000000000002</v>
      </c>
      <c r="N782" s="22">
        <v>2.7299999999999998E-2</v>
      </c>
      <c r="O782" s="22">
        <v>1052.3689999999999</v>
      </c>
      <c r="P782" s="22">
        <f t="shared" si="116"/>
        <v>357.25822811999996</v>
      </c>
      <c r="Q782" s="22">
        <v>2757.7041798239825</v>
      </c>
      <c r="R782" s="22">
        <f t="shared" si="117"/>
        <v>86.57812272557392</v>
      </c>
      <c r="S782" s="22">
        <f t="shared" si="118"/>
        <v>443.83635084557386</v>
      </c>
      <c r="T782" s="23">
        <v>0.55859868298040061</v>
      </c>
      <c r="U782" s="24">
        <v>0.1</v>
      </c>
      <c r="V782" s="25">
        <f t="shared" si="115"/>
        <v>760.93902707541224</v>
      </c>
      <c r="W782" s="26" t="s">
        <v>29</v>
      </c>
    </row>
    <row r="783" spans="1:23" ht="89.25" x14ac:dyDescent="0.25">
      <c r="A783" s="17">
        <f t="shared" ca="1" si="119"/>
        <v>779</v>
      </c>
      <c r="B783" s="18" t="s">
        <v>1453</v>
      </c>
      <c r="C783" s="18" t="s">
        <v>1585</v>
      </c>
      <c r="D783" s="18"/>
      <c r="E783" s="18"/>
      <c r="F783" s="18"/>
      <c r="G783" s="18"/>
      <c r="H783" s="19" t="s">
        <v>1586</v>
      </c>
      <c r="I783" s="18" t="s">
        <v>104</v>
      </c>
      <c r="J783" s="20">
        <v>1</v>
      </c>
      <c r="K783" s="20">
        <v>1.1499999999999999</v>
      </c>
      <c r="L783" s="21" t="s">
        <v>28</v>
      </c>
      <c r="M783" s="22">
        <v>0.33760000000000001</v>
      </c>
      <c r="N783" s="22">
        <v>3.0799999999999991E-2</v>
      </c>
      <c r="O783" s="22">
        <v>1052.3689999999999</v>
      </c>
      <c r="P783" s="22">
        <f t="shared" si="116"/>
        <v>408.57174055999997</v>
      </c>
      <c r="Q783" s="22">
        <v>2757.7041798239825</v>
      </c>
      <c r="R783" s="22">
        <f t="shared" si="117"/>
        <v>97.677882049365422</v>
      </c>
      <c r="S783" s="22">
        <f t="shared" si="118"/>
        <v>506.24962260936536</v>
      </c>
      <c r="T783" s="23">
        <v>0.55859868298040061</v>
      </c>
      <c r="U783" s="24">
        <v>0.1</v>
      </c>
      <c r="V783" s="25">
        <f t="shared" si="115"/>
        <v>867.94399456410986</v>
      </c>
      <c r="W783" s="26" t="s">
        <v>29</v>
      </c>
    </row>
    <row r="784" spans="1:23" x14ac:dyDescent="0.25">
      <c r="A784" s="12">
        <f t="shared" ca="1" si="119"/>
        <v>780</v>
      </c>
      <c r="B784" s="13" t="s">
        <v>1453</v>
      </c>
      <c r="C784" s="13" t="s">
        <v>1587</v>
      </c>
      <c r="D784" s="13"/>
      <c r="E784" s="13"/>
      <c r="F784" s="13"/>
      <c r="G784" s="13"/>
      <c r="H784" s="15" t="s">
        <v>1588</v>
      </c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27"/>
      <c r="U784" s="16"/>
      <c r="V784" s="13"/>
      <c r="W784" s="13"/>
    </row>
    <row r="785" spans="1:23" ht="89.25" x14ac:dyDescent="0.25">
      <c r="A785" s="17">
        <f t="shared" ca="1" si="119"/>
        <v>781</v>
      </c>
      <c r="B785" s="18" t="s">
        <v>1453</v>
      </c>
      <c r="C785" s="18" t="s">
        <v>1589</v>
      </c>
      <c r="D785" s="18"/>
      <c r="E785" s="18"/>
      <c r="F785" s="18"/>
      <c r="G785" s="18"/>
      <c r="H785" s="19" t="s">
        <v>1590</v>
      </c>
      <c r="I785" s="18" t="s">
        <v>104</v>
      </c>
      <c r="J785" s="20">
        <v>1</v>
      </c>
      <c r="K785" s="20">
        <v>1.1499999999999999</v>
      </c>
      <c r="L785" s="21" t="s">
        <v>28</v>
      </c>
      <c r="M785" s="22">
        <v>0.15040000000000001</v>
      </c>
      <c r="N785" s="22">
        <v>1.3999999999999997E-2</v>
      </c>
      <c r="O785" s="22">
        <v>1052.3689999999999</v>
      </c>
      <c r="P785" s="22">
        <f t="shared" si="116"/>
        <v>182.01774223999999</v>
      </c>
      <c r="Q785" s="22">
        <v>2757.7041798239825</v>
      </c>
      <c r="R785" s="22">
        <f t="shared" si="117"/>
        <v>44.399037295166103</v>
      </c>
      <c r="S785" s="22">
        <f t="shared" si="118"/>
        <v>226.41677953516609</v>
      </c>
      <c r="T785" s="23">
        <v>0.55859868298040061</v>
      </c>
      <c r="U785" s="24">
        <v>0.1</v>
      </c>
      <c r="V785" s="25">
        <f t="shared" ref="V785:V848" si="120">S785+S785*T785+(S785+S785*T785)*U785</f>
        <v>388.18218382699098</v>
      </c>
      <c r="W785" s="26" t="s">
        <v>29</v>
      </c>
    </row>
    <row r="786" spans="1:23" ht="89.25" x14ac:dyDescent="0.25">
      <c r="A786" s="17">
        <f t="shared" ca="1" si="119"/>
        <v>782</v>
      </c>
      <c r="B786" s="18" t="s">
        <v>1453</v>
      </c>
      <c r="C786" s="18" t="s">
        <v>1591</v>
      </c>
      <c r="D786" s="18"/>
      <c r="E786" s="18"/>
      <c r="F786" s="18"/>
      <c r="G786" s="18"/>
      <c r="H786" s="19" t="s">
        <v>1592</v>
      </c>
      <c r="I786" s="18" t="s">
        <v>104</v>
      </c>
      <c r="J786" s="20">
        <v>1</v>
      </c>
      <c r="K786" s="20">
        <v>1.1499999999999999</v>
      </c>
      <c r="L786" s="21" t="s">
        <v>28</v>
      </c>
      <c r="M786" s="22">
        <v>0.15040000000000001</v>
      </c>
      <c r="N786" s="22">
        <v>1.3999999999999997E-2</v>
      </c>
      <c r="O786" s="22">
        <v>1052.3689999999999</v>
      </c>
      <c r="P786" s="22">
        <f t="shared" si="116"/>
        <v>182.01774223999999</v>
      </c>
      <c r="Q786" s="22">
        <v>2757.7041798239825</v>
      </c>
      <c r="R786" s="22">
        <f t="shared" si="117"/>
        <v>44.399037295166103</v>
      </c>
      <c r="S786" s="22">
        <f t="shared" si="118"/>
        <v>226.41677953516609</v>
      </c>
      <c r="T786" s="23">
        <v>0.55859868298040061</v>
      </c>
      <c r="U786" s="24">
        <v>0.1</v>
      </c>
      <c r="V786" s="25">
        <f t="shared" si="120"/>
        <v>388.18218382699098</v>
      </c>
      <c r="W786" s="26" t="s">
        <v>29</v>
      </c>
    </row>
    <row r="787" spans="1:23" ht="89.25" x14ac:dyDescent="0.25">
      <c r="A787" s="17">
        <f t="shared" ca="1" si="119"/>
        <v>783</v>
      </c>
      <c r="B787" s="18" t="s">
        <v>1453</v>
      </c>
      <c r="C787" s="18" t="s">
        <v>1593</v>
      </c>
      <c r="D787" s="18"/>
      <c r="E787" s="18"/>
      <c r="F787" s="18"/>
      <c r="G787" s="18"/>
      <c r="H787" s="19" t="s">
        <v>1594</v>
      </c>
      <c r="I787" s="18" t="s">
        <v>104</v>
      </c>
      <c r="J787" s="20">
        <v>1</v>
      </c>
      <c r="K787" s="20">
        <v>1.1499999999999999</v>
      </c>
      <c r="L787" s="21" t="s">
        <v>28</v>
      </c>
      <c r="M787" s="22">
        <v>0.15040000000000001</v>
      </c>
      <c r="N787" s="22">
        <v>1.3999999999999997E-2</v>
      </c>
      <c r="O787" s="22">
        <v>1052.3689999999999</v>
      </c>
      <c r="P787" s="22">
        <f t="shared" si="116"/>
        <v>182.01774223999999</v>
      </c>
      <c r="Q787" s="22">
        <v>2757.7041798239825</v>
      </c>
      <c r="R787" s="22">
        <f t="shared" si="117"/>
        <v>44.399037295166103</v>
      </c>
      <c r="S787" s="22">
        <f t="shared" si="118"/>
        <v>226.41677953516609</v>
      </c>
      <c r="T787" s="23">
        <v>0.55859868298040061</v>
      </c>
      <c r="U787" s="24">
        <v>0.1</v>
      </c>
      <c r="V787" s="25">
        <f t="shared" si="120"/>
        <v>388.18218382699098</v>
      </c>
      <c r="W787" s="26" t="s">
        <v>29</v>
      </c>
    </row>
    <row r="788" spans="1:23" ht="89.25" x14ac:dyDescent="0.25">
      <c r="A788" s="17">
        <f t="shared" ca="1" si="119"/>
        <v>784</v>
      </c>
      <c r="B788" s="18" t="s">
        <v>1453</v>
      </c>
      <c r="C788" s="18" t="s">
        <v>1595</v>
      </c>
      <c r="D788" s="18"/>
      <c r="E788" s="18"/>
      <c r="F788" s="18"/>
      <c r="G788" s="18"/>
      <c r="H788" s="19" t="s">
        <v>1596</v>
      </c>
      <c r="I788" s="18" t="s">
        <v>104</v>
      </c>
      <c r="J788" s="20">
        <v>1</v>
      </c>
      <c r="K788" s="20">
        <v>1.1499999999999999</v>
      </c>
      <c r="L788" s="21" t="s">
        <v>28</v>
      </c>
      <c r="M788" s="22">
        <v>0.16160000000000002</v>
      </c>
      <c r="N788" s="22">
        <v>1.5399999999999999E-2</v>
      </c>
      <c r="O788" s="22">
        <v>1052.3689999999999</v>
      </c>
      <c r="P788" s="22">
        <f t="shared" si="116"/>
        <v>195.57225495999998</v>
      </c>
      <c r="Q788" s="22">
        <v>2757.7041798239825</v>
      </c>
      <c r="R788" s="22">
        <f t="shared" si="117"/>
        <v>48.838941024682725</v>
      </c>
      <c r="S788" s="22">
        <f t="shared" si="118"/>
        <v>244.41119598468271</v>
      </c>
      <c r="T788" s="23">
        <v>0.55859868298040061</v>
      </c>
      <c r="U788" s="24">
        <v>0.1</v>
      </c>
      <c r="V788" s="25">
        <f t="shared" si="120"/>
        <v>419.03286498413019</v>
      </c>
      <c r="W788" s="26" t="s">
        <v>29</v>
      </c>
    </row>
    <row r="789" spans="1:23" ht="89.25" x14ac:dyDescent="0.25">
      <c r="A789" s="17">
        <f t="shared" ca="1" si="119"/>
        <v>785</v>
      </c>
      <c r="B789" s="18" t="s">
        <v>1453</v>
      </c>
      <c r="C789" s="18" t="s">
        <v>1597</v>
      </c>
      <c r="D789" s="18"/>
      <c r="E789" s="18"/>
      <c r="F789" s="18"/>
      <c r="G789" s="18"/>
      <c r="H789" s="19" t="s">
        <v>1598</v>
      </c>
      <c r="I789" s="18" t="s">
        <v>104</v>
      </c>
      <c r="J789" s="20">
        <v>1</v>
      </c>
      <c r="K789" s="20">
        <v>1.1499999999999999</v>
      </c>
      <c r="L789" s="21" t="s">
        <v>28</v>
      </c>
      <c r="M789" s="22">
        <v>0.15040000000000001</v>
      </c>
      <c r="N789" s="22">
        <v>1.3999999999999997E-2</v>
      </c>
      <c r="O789" s="22">
        <v>1052.3689999999999</v>
      </c>
      <c r="P789" s="22">
        <f t="shared" si="116"/>
        <v>182.01774223999999</v>
      </c>
      <c r="Q789" s="22">
        <v>2757.7041798239825</v>
      </c>
      <c r="R789" s="22">
        <f t="shared" si="117"/>
        <v>44.399037295166103</v>
      </c>
      <c r="S789" s="22">
        <f t="shared" si="118"/>
        <v>226.41677953516609</v>
      </c>
      <c r="T789" s="23">
        <v>0.55859868298040061</v>
      </c>
      <c r="U789" s="24">
        <v>0.1</v>
      </c>
      <c r="V789" s="25">
        <f t="shared" si="120"/>
        <v>388.18218382699098</v>
      </c>
      <c r="W789" s="26" t="s">
        <v>29</v>
      </c>
    </row>
    <row r="790" spans="1:23" ht="89.25" x14ac:dyDescent="0.25">
      <c r="A790" s="17">
        <f t="shared" ca="1" si="119"/>
        <v>786</v>
      </c>
      <c r="B790" s="18" t="s">
        <v>1453</v>
      </c>
      <c r="C790" s="18" t="s">
        <v>1599</v>
      </c>
      <c r="D790" s="18"/>
      <c r="E790" s="18"/>
      <c r="F790" s="18"/>
      <c r="G790" s="18"/>
      <c r="H790" s="19" t="s">
        <v>1600</v>
      </c>
      <c r="I790" s="18" t="s">
        <v>104</v>
      </c>
      <c r="J790" s="20">
        <v>1</v>
      </c>
      <c r="K790" s="20">
        <v>1.1499999999999999</v>
      </c>
      <c r="L790" s="21" t="s">
        <v>28</v>
      </c>
      <c r="M790" s="22">
        <v>0.16160000000000002</v>
      </c>
      <c r="N790" s="22">
        <v>1.5399999999999999E-2</v>
      </c>
      <c r="O790" s="22">
        <v>1052.3689999999999</v>
      </c>
      <c r="P790" s="22">
        <f t="shared" si="116"/>
        <v>195.57225495999998</v>
      </c>
      <c r="Q790" s="22">
        <v>2757.7041798239825</v>
      </c>
      <c r="R790" s="22">
        <f t="shared" si="117"/>
        <v>48.838941024682725</v>
      </c>
      <c r="S790" s="22">
        <f t="shared" si="118"/>
        <v>244.41119598468271</v>
      </c>
      <c r="T790" s="23">
        <v>0.55859868298040061</v>
      </c>
      <c r="U790" s="24">
        <v>0.1</v>
      </c>
      <c r="V790" s="25">
        <f t="shared" si="120"/>
        <v>419.03286498413019</v>
      </c>
      <c r="W790" s="26" t="s">
        <v>29</v>
      </c>
    </row>
    <row r="791" spans="1:23" ht="89.25" x14ac:dyDescent="0.25">
      <c r="A791" s="17">
        <f t="shared" ca="1" si="119"/>
        <v>787</v>
      </c>
      <c r="B791" s="18" t="s">
        <v>1453</v>
      </c>
      <c r="C791" s="18" t="s">
        <v>1601</v>
      </c>
      <c r="D791" s="18"/>
      <c r="E791" s="18"/>
      <c r="F791" s="18"/>
      <c r="G791" s="18"/>
      <c r="H791" s="19" t="s">
        <v>1602</v>
      </c>
      <c r="I791" s="18" t="s">
        <v>104</v>
      </c>
      <c r="J791" s="20">
        <v>1</v>
      </c>
      <c r="K791" s="20">
        <v>1.1499999999999999</v>
      </c>
      <c r="L791" s="21" t="s">
        <v>28</v>
      </c>
      <c r="M791" s="22">
        <v>0.16160000000000002</v>
      </c>
      <c r="N791" s="22">
        <v>1.5399999999999999E-2</v>
      </c>
      <c r="O791" s="22">
        <v>1052.3689999999999</v>
      </c>
      <c r="P791" s="22">
        <f t="shared" si="116"/>
        <v>195.57225495999998</v>
      </c>
      <c r="Q791" s="22">
        <v>2757.7041798239825</v>
      </c>
      <c r="R791" s="22">
        <f t="shared" si="117"/>
        <v>48.838941024682725</v>
      </c>
      <c r="S791" s="22">
        <f t="shared" si="118"/>
        <v>244.41119598468271</v>
      </c>
      <c r="T791" s="23">
        <v>0.55859868298040061</v>
      </c>
      <c r="U791" s="24">
        <v>0.1</v>
      </c>
      <c r="V791" s="25">
        <f t="shared" si="120"/>
        <v>419.03286498413019</v>
      </c>
      <c r="W791" s="26" t="s">
        <v>29</v>
      </c>
    </row>
    <row r="792" spans="1:23" ht="89.25" x14ac:dyDescent="0.25">
      <c r="A792" s="17">
        <f t="shared" ca="1" si="119"/>
        <v>788</v>
      </c>
      <c r="B792" s="18" t="s">
        <v>1453</v>
      </c>
      <c r="C792" s="18" t="s">
        <v>1603</v>
      </c>
      <c r="D792" s="18"/>
      <c r="E792" s="18"/>
      <c r="F792" s="18"/>
      <c r="G792" s="18"/>
      <c r="H792" s="19" t="s">
        <v>1604</v>
      </c>
      <c r="I792" s="18" t="s">
        <v>104</v>
      </c>
      <c r="J792" s="20">
        <v>1</v>
      </c>
      <c r="K792" s="20">
        <v>1.1499999999999999</v>
      </c>
      <c r="L792" s="21" t="s">
        <v>28</v>
      </c>
      <c r="M792" s="22">
        <v>0.16160000000000002</v>
      </c>
      <c r="N792" s="22">
        <v>1.5399999999999999E-2</v>
      </c>
      <c r="O792" s="22">
        <v>1052.3689999999999</v>
      </c>
      <c r="P792" s="22">
        <f t="shared" si="116"/>
        <v>195.57225495999998</v>
      </c>
      <c r="Q792" s="22">
        <v>2757.7041798239825</v>
      </c>
      <c r="R792" s="22">
        <f t="shared" si="117"/>
        <v>48.838941024682725</v>
      </c>
      <c r="S792" s="22">
        <f t="shared" si="118"/>
        <v>244.41119598468271</v>
      </c>
      <c r="T792" s="23">
        <v>0.55859868298040061</v>
      </c>
      <c r="U792" s="24">
        <v>0.1</v>
      </c>
      <c r="V792" s="25">
        <f t="shared" si="120"/>
        <v>419.03286498413019</v>
      </c>
      <c r="W792" s="26" t="s">
        <v>29</v>
      </c>
    </row>
    <row r="793" spans="1:23" ht="89.25" x14ac:dyDescent="0.25">
      <c r="A793" s="17">
        <f t="shared" ca="1" si="119"/>
        <v>789</v>
      </c>
      <c r="B793" s="18" t="s">
        <v>1453</v>
      </c>
      <c r="C793" s="18" t="s">
        <v>1605</v>
      </c>
      <c r="D793" s="18"/>
      <c r="E793" s="18"/>
      <c r="F793" s="18"/>
      <c r="G793" s="18"/>
      <c r="H793" s="19" t="s">
        <v>1606</v>
      </c>
      <c r="I793" s="18" t="s">
        <v>104</v>
      </c>
      <c r="J793" s="20">
        <v>1</v>
      </c>
      <c r="K793" s="20">
        <v>1.1499999999999999</v>
      </c>
      <c r="L793" s="21" t="s">
        <v>28</v>
      </c>
      <c r="M793" s="22">
        <v>0.16160000000000002</v>
      </c>
      <c r="N793" s="22">
        <v>1.5399999999999999E-2</v>
      </c>
      <c r="O793" s="22">
        <v>1052.3689999999999</v>
      </c>
      <c r="P793" s="22">
        <f t="shared" si="116"/>
        <v>195.57225495999998</v>
      </c>
      <c r="Q793" s="22">
        <v>2757.7041798239825</v>
      </c>
      <c r="R793" s="22">
        <f t="shared" si="117"/>
        <v>48.838941024682725</v>
      </c>
      <c r="S793" s="22">
        <f t="shared" si="118"/>
        <v>244.41119598468271</v>
      </c>
      <c r="T793" s="23">
        <v>0.55859868298040061</v>
      </c>
      <c r="U793" s="24">
        <v>0.1</v>
      </c>
      <c r="V793" s="25">
        <f t="shared" si="120"/>
        <v>419.03286498413019</v>
      </c>
      <c r="W793" s="26" t="s">
        <v>29</v>
      </c>
    </row>
    <row r="794" spans="1:23" ht="89.25" x14ac:dyDescent="0.25">
      <c r="A794" s="17">
        <f t="shared" ca="1" si="119"/>
        <v>790</v>
      </c>
      <c r="B794" s="18" t="s">
        <v>1453</v>
      </c>
      <c r="C794" s="18" t="s">
        <v>1607</v>
      </c>
      <c r="D794" s="18"/>
      <c r="E794" s="18"/>
      <c r="F794" s="18"/>
      <c r="G794" s="18"/>
      <c r="H794" s="19" t="s">
        <v>1608</v>
      </c>
      <c r="I794" s="18" t="s">
        <v>104</v>
      </c>
      <c r="J794" s="20">
        <v>1</v>
      </c>
      <c r="K794" s="20">
        <v>1.1499999999999999</v>
      </c>
      <c r="L794" s="21" t="s">
        <v>28</v>
      </c>
      <c r="M794" s="22">
        <v>0.15040000000000001</v>
      </c>
      <c r="N794" s="22">
        <v>1.3999999999999997E-2</v>
      </c>
      <c r="O794" s="22">
        <v>1052.3689999999999</v>
      </c>
      <c r="P794" s="22">
        <f t="shared" si="116"/>
        <v>182.01774223999999</v>
      </c>
      <c r="Q794" s="22">
        <v>2757.7041798239825</v>
      </c>
      <c r="R794" s="22">
        <f t="shared" si="117"/>
        <v>44.399037295166103</v>
      </c>
      <c r="S794" s="22">
        <f t="shared" si="118"/>
        <v>226.41677953516609</v>
      </c>
      <c r="T794" s="23">
        <v>0.55859868298040061</v>
      </c>
      <c r="U794" s="24">
        <v>0.1</v>
      </c>
      <c r="V794" s="25">
        <f t="shared" si="120"/>
        <v>388.18218382699098</v>
      </c>
      <c r="W794" s="26" t="s">
        <v>29</v>
      </c>
    </row>
    <row r="795" spans="1:23" ht="89.25" x14ac:dyDescent="0.25">
      <c r="A795" s="17">
        <f t="shared" ca="1" si="119"/>
        <v>791</v>
      </c>
      <c r="B795" s="18" t="s">
        <v>1453</v>
      </c>
      <c r="C795" s="18" t="s">
        <v>1609</v>
      </c>
      <c r="D795" s="18"/>
      <c r="E795" s="18"/>
      <c r="F795" s="18"/>
      <c r="G795" s="18"/>
      <c r="H795" s="19" t="s">
        <v>1610</v>
      </c>
      <c r="I795" s="18" t="s">
        <v>104</v>
      </c>
      <c r="J795" s="20">
        <v>1</v>
      </c>
      <c r="K795" s="20">
        <v>1.1499999999999999</v>
      </c>
      <c r="L795" s="21" t="s">
        <v>28</v>
      </c>
      <c r="M795" s="22">
        <v>0.16160000000000002</v>
      </c>
      <c r="N795" s="22">
        <v>1.5399999999999999E-2</v>
      </c>
      <c r="O795" s="22">
        <v>1052.3689999999999</v>
      </c>
      <c r="P795" s="22">
        <f t="shared" si="116"/>
        <v>195.57225495999998</v>
      </c>
      <c r="Q795" s="22">
        <v>2757.7041798239825</v>
      </c>
      <c r="R795" s="22">
        <f t="shared" si="117"/>
        <v>48.838941024682725</v>
      </c>
      <c r="S795" s="22">
        <f t="shared" si="118"/>
        <v>244.41119598468271</v>
      </c>
      <c r="T795" s="23">
        <v>0.55859868298040061</v>
      </c>
      <c r="U795" s="24">
        <v>0.1</v>
      </c>
      <c r="V795" s="25">
        <f t="shared" si="120"/>
        <v>419.03286498413019</v>
      </c>
      <c r="W795" s="26" t="s">
        <v>29</v>
      </c>
    </row>
    <row r="796" spans="1:23" ht="89.25" x14ac:dyDescent="0.25">
      <c r="A796" s="17">
        <f t="shared" ca="1" si="119"/>
        <v>792</v>
      </c>
      <c r="B796" s="18" t="s">
        <v>1453</v>
      </c>
      <c r="C796" s="18" t="s">
        <v>1611</v>
      </c>
      <c r="D796" s="18"/>
      <c r="E796" s="18"/>
      <c r="F796" s="18"/>
      <c r="G796" s="18"/>
      <c r="H796" s="19" t="s">
        <v>1612</v>
      </c>
      <c r="I796" s="18" t="s">
        <v>104</v>
      </c>
      <c r="J796" s="20">
        <v>1</v>
      </c>
      <c r="K796" s="20">
        <v>1.1499999999999999</v>
      </c>
      <c r="L796" s="21" t="s">
        <v>28</v>
      </c>
      <c r="M796" s="22">
        <v>0.15040000000000001</v>
      </c>
      <c r="N796" s="22">
        <v>1.3999999999999997E-2</v>
      </c>
      <c r="O796" s="22">
        <v>1052.3689999999999</v>
      </c>
      <c r="P796" s="22">
        <f t="shared" si="116"/>
        <v>182.01774223999999</v>
      </c>
      <c r="Q796" s="22">
        <v>2757.7041798239825</v>
      </c>
      <c r="R796" s="22">
        <f t="shared" si="117"/>
        <v>44.399037295166103</v>
      </c>
      <c r="S796" s="22">
        <f t="shared" si="118"/>
        <v>226.41677953516609</v>
      </c>
      <c r="T796" s="23">
        <v>0.55859868298040061</v>
      </c>
      <c r="U796" s="24">
        <v>0.1</v>
      </c>
      <c r="V796" s="25">
        <f t="shared" si="120"/>
        <v>388.18218382699098</v>
      </c>
      <c r="W796" s="26" t="s">
        <v>29</v>
      </c>
    </row>
    <row r="797" spans="1:23" ht="89.25" x14ac:dyDescent="0.25">
      <c r="A797" s="17">
        <f t="shared" ca="1" si="119"/>
        <v>793</v>
      </c>
      <c r="B797" s="18" t="s">
        <v>1453</v>
      </c>
      <c r="C797" s="18" t="s">
        <v>1613</v>
      </c>
      <c r="D797" s="18"/>
      <c r="E797" s="18"/>
      <c r="F797" s="18"/>
      <c r="G797" s="18"/>
      <c r="H797" s="19" t="s">
        <v>1614</v>
      </c>
      <c r="I797" s="18" t="s">
        <v>104</v>
      </c>
      <c r="J797" s="20">
        <v>1</v>
      </c>
      <c r="K797" s="20">
        <v>1.1499999999999999</v>
      </c>
      <c r="L797" s="21" t="s">
        <v>28</v>
      </c>
      <c r="M797" s="22">
        <v>0.16160000000000002</v>
      </c>
      <c r="N797" s="22">
        <v>1.5399999999999999E-2</v>
      </c>
      <c r="O797" s="22">
        <v>1052.3689999999999</v>
      </c>
      <c r="P797" s="22">
        <f t="shared" si="116"/>
        <v>195.57225495999998</v>
      </c>
      <c r="Q797" s="22">
        <v>2757.7041798239825</v>
      </c>
      <c r="R797" s="22">
        <f t="shared" si="117"/>
        <v>48.838941024682725</v>
      </c>
      <c r="S797" s="22">
        <f t="shared" si="118"/>
        <v>244.41119598468271</v>
      </c>
      <c r="T797" s="23">
        <v>0.55859868298040061</v>
      </c>
      <c r="U797" s="24">
        <v>0.1</v>
      </c>
      <c r="V797" s="25">
        <f t="shared" si="120"/>
        <v>419.03286498413019</v>
      </c>
      <c r="W797" s="26" t="s">
        <v>29</v>
      </c>
    </row>
    <row r="798" spans="1:23" ht="89.25" x14ac:dyDescent="0.25">
      <c r="A798" s="17">
        <f t="shared" ca="1" si="119"/>
        <v>794</v>
      </c>
      <c r="B798" s="18" t="s">
        <v>1453</v>
      </c>
      <c r="C798" s="18" t="s">
        <v>1615</v>
      </c>
      <c r="D798" s="18"/>
      <c r="E798" s="18"/>
      <c r="F798" s="18"/>
      <c r="G798" s="18"/>
      <c r="H798" s="19" t="s">
        <v>1616</v>
      </c>
      <c r="I798" s="18" t="s">
        <v>104</v>
      </c>
      <c r="J798" s="20">
        <v>1</v>
      </c>
      <c r="K798" s="20">
        <v>1.1499999999999999</v>
      </c>
      <c r="L798" s="21" t="s">
        <v>28</v>
      </c>
      <c r="M798" s="22">
        <v>0.15040000000000001</v>
      </c>
      <c r="N798" s="22">
        <v>1.3999999999999997E-2</v>
      </c>
      <c r="O798" s="22">
        <v>1052.3689999999999</v>
      </c>
      <c r="P798" s="22">
        <f t="shared" si="116"/>
        <v>182.01774223999999</v>
      </c>
      <c r="Q798" s="22">
        <v>2757.7041798239825</v>
      </c>
      <c r="R798" s="22">
        <f t="shared" si="117"/>
        <v>44.399037295166103</v>
      </c>
      <c r="S798" s="22">
        <f t="shared" si="118"/>
        <v>226.41677953516609</v>
      </c>
      <c r="T798" s="23">
        <v>0.55859868298040061</v>
      </c>
      <c r="U798" s="24">
        <v>0.1</v>
      </c>
      <c r="V798" s="25">
        <f t="shared" si="120"/>
        <v>388.18218382699098</v>
      </c>
      <c r="W798" s="26" t="s">
        <v>29</v>
      </c>
    </row>
    <row r="799" spans="1:23" ht="89.25" x14ac:dyDescent="0.25">
      <c r="A799" s="17">
        <f t="shared" ca="1" si="119"/>
        <v>795</v>
      </c>
      <c r="B799" s="18" t="s">
        <v>1453</v>
      </c>
      <c r="C799" s="18" t="s">
        <v>1617</v>
      </c>
      <c r="D799" s="18"/>
      <c r="E799" s="18"/>
      <c r="F799" s="18"/>
      <c r="G799" s="18"/>
      <c r="H799" s="19" t="s">
        <v>1618</v>
      </c>
      <c r="I799" s="18" t="s">
        <v>104</v>
      </c>
      <c r="J799" s="20">
        <v>1</v>
      </c>
      <c r="K799" s="20">
        <v>1.1499999999999999</v>
      </c>
      <c r="L799" s="21" t="s">
        <v>28</v>
      </c>
      <c r="M799" s="22">
        <v>0.16160000000000002</v>
      </c>
      <c r="N799" s="22">
        <v>1.5399999999999999E-2</v>
      </c>
      <c r="O799" s="22">
        <v>1052.3689999999999</v>
      </c>
      <c r="P799" s="22">
        <f t="shared" si="116"/>
        <v>195.57225495999998</v>
      </c>
      <c r="Q799" s="22">
        <v>2757.7041798239825</v>
      </c>
      <c r="R799" s="22">
        <f t="shared" si="117"/>
        <v>48.838941024682725</v>
      </c>
      <c r="S799" s="22">
        <f t="shared" si="118"/>
        <v>244.41119598468271</v>
      </c>
      <c r="T799" s="23">
        <v>0.55859868298040061</v>
      </c>
      <c r="U799" s="24">
        <v>0.1</v>
      </c>
      <c r="V799" s="25">
        <f t="shared" si="120"/>
        <v>419.03286498413019</v>
      </c>
      <c r="W799" s="26" t="s">
        <v>29</v>
      </c>
    </row>
    <row r="800" spans="1:23" ht="89.25" x14ac:dyDescent="0.25">
      <c r="A800" s="17">
        <f t="shared" ca="1" si="119"/>
        <v>796</v>
      </c>
      <c r="B800" s="18" t="s">
        <v>1453</v>
      </c>
      <c r="C800" s="18" t="s">
        <v>1619</v>
      </c>
      <c r="D800" s="18"/>
      <c r="E800" s="18"/>
      <c r="F800" s="18"/>
      <c r="G800" s="18"/>
      <c r="H800" s="19" t="s">
        <v>1620</v>
      </c>
      <c r="I800" s="18" t="s">
        <v>104</v>
      </c>
      <c r="J800" s="20">
        <v>1</v>
      </c>
      <c r="K800" s="20">
        <v>1.1499999999999999</v>
      </c>
      <c r="L800" s="21" t="s">
        <v>28</v>
      </c>
      <c r="M800" s="22">
        <v>0.15040000000000001</v>
      </c>
      <c r="N800" s="22">
        <v>1.3999999999999997E-2</v>
      </c>
      <c r="O800" s="22">
        <v>1052.3689999999999</v>
      </c>
      <c r="P800" s="22">
        <f t="shared" si="116"/>
        <v>182.01774223999999</v>
      </c>
      <c r="Q800" s="22">
        <v>2757.7041798239825</v>
      </c>
      <c r="R800" s="22">
        <f t="shared" si="117"/>
        <v>44.399037295166103</v>
      </c>
      <c r="S800" s="22">
        <f t="shared" si="118"/>
        <v>226.41677953516609</v>
      </c>
      <c r="T800" s="23">
        <v>0.55859868298040061</v>
      </c>
      <c r="U800" s="24">
        <v>0.1</v>
      </c>
      <c r="V800" s="25">
        <f t="shared" si="120"/>
        <v>388.18218382699098</v>
      </c>
      <c r="W800" s="26" t="s">
        <v>29</v>
      </c>
    </row>
    <row r="801" spans="1:23" ht="89.25" x14ac:dyDescent="0.25">
      <c r="A801" s="17">
        <f t="shared" ca="1" si="119"/>
        <v>797</v>
      </c>
      <c r="B801" s="18" t="s">
        <v>1453</v>
      </c>
      <c r="C801" s="18" t="s">
        <v>1621</v>
      </c>
      <c r="D801" s="18"/>
      <c r="E801" s="18"/>
      <c r="F801" s="18"/>
      <c r="G801" s="18"/>
      <c r="H801" s="19" t="s">
        <v>1622</v>
      </c>
      <c r="I801" s="18" t="s">
        <v>104</v>
      </c>
      <c r="J801" s="20">
        <v>1</v>
      </c>
      <c r="K801" s="20">
        <v>1.1499999999999999</v>
      </c>
      <c r="L801" s="21" t="s">
        <v>28</v>
      </c>
      <c r="M801" s="22">
        <v>0.16160000000000002</v>
      </c>
      <c r="N801" s="22">
        <v>1.5399999999999999E-2</v>
      </c>
      <c r="O801" s="22">
        <v>1052.3689999999999</v>
      </c>
      <c r="P801" s="22">
        <f t="shared" si="116"/>
        <v>195.57225495999998</v>
      </c>
      <c r="Q801" s="22">
        <v>2757.7041798239825</v>
      </c>
      <c r="R801" s="22">
        <f t="shared" si="117"/>
        <v>48.838941024682725</v>
      </c>
      <c r="S801" s="22">
        <f t="shared" si="118"/>
        <v>244.41119598468271</v>
      </c>
      <c r="T801" s="23">
        <v>0.55859868298040061</v>
      </c>
      <c r="U801" s="24">
        <v>0.1</v>
      </c>
      <c r="V801" s="25">
        <f t="shared" si="120"/>
        <v>419.03286498413019</v>
      </c>
      <c r="W801" s="26" t="s">
        <v>29</v>
      </c>
    </row>
    <row r="802" spans="1:23" ht="89.25" x14ac:dyDescent="0.25">
      <c r="A802" s="17">
        <f t="shared" ca="1" si="119"/>
        <v>798</v>
      </c>
      <c r="B802" s="18" t="s">
        <v>1453</v>
      </c>
      <c r="C802" s="18" t="s">
        <v>1623</v>
      </c>
      <c r="D802" s="18"/>
      <c r="E802" s="18"/>
      <c r="F802" s="18"/>
      <c r="G802" s="18"/>
      <c r="H802" s="19" t="s">
        <v>1624</v>
      </c>
      <c r="I802" s="18" t="s">
        <v>104</v>
      </c>
      <c r="J802" s="20">
        <v>1</v>
      </c>
      <c r="K802" s="20">
        <v>1.1499999999999999</v>
      </c>
      <c r="L802" s="21" t="s">
        <v>28</v>
      </c>
      <c r="M802" s="22">
        <v>0.15040000000000001</v>
      </c>
      <c r="N802" s="22">
        <v>1.3999999999999997E-2</v>
      </c>
      <c r="O802" s="22">
        <v>1052.3689999999999</v>
      </c>
      <c r="P802" s="22">
        <f t="shared" si="116"/>
        <v>182.01774223999999</v>
      </c>
      <c r="Q802" s="22">
        <v>2757.7041798239825</v>
      </c>
      <c r="R802" s="22">
        <f t="shared" si="117"/>
        <v>44.399037295166103</v>
      </c>
      <c r="S802" s="22">
        <f t="shared" si="118"/>
        <v>226.41677953516609</v>
      </c>
      <c r="T802" s="23">
        <v>0.55859868298040061</v>
      </c>
      <c r="U802" s="24">
        <v>0.1</v>
      </c>
      <c r="V802" s="25">
        <f t="shared" si="120"/>
        <v>388.18218382699098</v>
      </c>
      <c r="W802" s="26" t="s">
        <v>29</v>
      </c>
    </row>
    <row r="803" spans="1:23" ht="89.25" x14ac:dyDescent="0.25">
      <c r="A803" s="17">
        <f t="shared" ca="1" si="119"/>
        <v>799</v>
      </c>
      <c r="B803" s="18" t="s">
        <v>1453</v>
      </c>
      <c r="C803" s="18" t="s">
        <v>1625</v>
      </c>
      <c r="D803" s="18"/>
      <c r="E803" s="18"/>
      <c r="F803" s="18"/>
      <c r="G803" s="18"/>
      <c r="H803" s="19" t="s">
        <v>1626</v>
      </c>
      <c r="I803" s="18" t="s">
        <v>104</v>
      </c>
      <c r="J803" s="20">
        <v>1</v>
      </c>
      <c r="K803" s="20">
        <v>1.1499999999999999</v>
      </c>
      <c r="L803" s="21" t="s">
        <v>28</v>
      </c>
      <c r="M803" s="22">
        <v>0.15040000000000001</v>
      </c>
      <c r="N803" s="22">
        <v>1.3999999999999997E-2</v>
      </c>
      <c r="O803" s="22">
        <v>1052.3689999999999</v>
      </c>
      <c r="P803" s="22">
        <f t="shared" si="116"/>
        <v>182.01774223999999</v>
      </c>
      <c r="Q803" s="22">
        <v>2757.7041798239825</v>
      </c>
      <c r="R803" s="22">
        <f t="shared" si="117"/>
        <v>44.399037295166103</v>
      </c>
      <c r="S803" s="22">
        <f t="shared" si="118"/>
        <v>226.41677953516609</v>
      </c>
      <c r="T803" s="23">
        <v>0.55859868298040061</v>
      </c>
      <c r="U803" s="24">
        <v>0.1</v>
      </c>
      <c r="V803" s="25">
        <f t="shared" si="120"/>
        <v>388.18218382699098</v>
      </c>
      <c r="W803" s="26" t="s">
        <v>29</v>
      </c>
    </row>
    <row r="804" spans="1:23" ht="89.25" x14ac:dyDescent="0.25">
      <c r="A804" s="17">
        <f t="shared" ca="1" si="119"/>
        <v>800</v>
      </c>
      <c r="B804" s="18" t="s">
        <v>1453</v>
      </c>
      <c r="C804" s="18" t="s">
        <v>1627</v>
      </c>
      <c r="D804" s="18"/>
      <c r="E804" s="18"/>
      <c r="F804" s="18"/>
      <c r="G804" s="18"/>
      <c r="H804" s="19" t="s">
        <v>1628</v>
      </c>
      <c r="I804" s="18" t="s">
        <v>104</v>
      </c>
      <c r="J804" s="20">
        <v>1</v>
      </c>
      <c r="K804" s="20">
        <v>1.1499999999999999</v>
      </c>
      <c r="L804" s="21" t="s">
        <v>28</v>
      </c>
      <c r="M804" s="22">
        <v>0.15040000000000001</v>
      </c>
      <c r="N804" s="22">
        <v>1.3999999999999997E-2</v>
      </c>
      <c r="O804" s="22">
        <v>1052.3689999999999</v>
      </c>
      <c r="P804" s="22">
        <f t="shared" si="116"/>
        <v>182.01774223999999</v>
      </c>
      <c r="Q804" s="22">
        <v>2757.7041798239825</v>
      </c>
      <c r="R804" s="22">
        <f t="shared" si="117"/>
        <v>44.399037295166103</v>
      </c>
      <c r="S804" s="22">
        <f t="shared" si="118"/>
        <v>226.41677953516609</v>
      </c>
      <c r="T804" s="23">
        <v>0.55859868298040061</v>
      </c>
      <c r="U804" s="24">
        <v>0.1</v>
      </c>
      <c r="V804" s="25">
        <f t="shared" si="120"/>
        <v>388.18218382699098</v>
      </c>
      <c r="W804" s="26" t="s">
        <v>29</v>
      </c>
    </row>
    <row r="805" spans="1:23" ht="89.25" x14ac:dyDescent="0.25">
      <c r="A805" s="17">
        <f t="shared" ca="1" si="119"/>
        <v>801</v>
      </c>
      <c r="B805" s="18" t="s">
        <v>1453</v>
      </c>
      <c r="C805" s="18" t="s">
        <v>1629</v>
      </c>
      <c r="D805" s="18"/>
      <c r="E805" s="18"/>
      <c r="F805" s="18"/>
      <c r="G805" s="18"/>
      <c r="H805" s="19" t="s">
        <v>1630</v>
      </c>
      <c r="I805" s="18" t="s">
        <v>104</v>
      </c>
      <c r="J805" s="20">
        <v>1</v>
      </c>
      <c r="K805" s="20">
        <v>1.1499999999999999</v>
      </c>
      <c r="L805" s="21" t="s">
        <v>28</v>
      </c>
      <c r="M805" s="22">
        <v>0.15040000000000001</v>
      </c>
      <c r="N805" s="22">
        <v>1.3999999999999997E-2</v>
      </c>
      <c r="O805" s="22">
        <v>1052.3689999999999</v>
      </c>
      <c r="P805" s="22">
        <f t="shared" si="116"/>
        <v>182.01774223999999</v>
      </c>
      <c r="Q805" s="22">
        <v>2757.7041798239825</v>
      </c>
      <c r="R805" s="22">
        <f t="shared" si="117"/>
        <v>44.399037295166103</v>
      </c>
      <c r="S805" s="22">
        <f t="shared" si="118"/>
        <v>226.41677953516609</v>
      </c>
      <c r="T805" s="23">
        <v>0.55859868298040061</v>
      </c>
      <c r="U805" s="24">
        <v>0.1</v>
      </c>
      <c r="V805" s="25">
        <f t="shared" si="120"/>
        <v>388.18218382699098</v>
      </c>
      <c r="W805" s="26" t="s">
        <v>29</v>
      </c>
    </row>
    <row r="806" spans="1:23" ht="89.25" x14ac:dyDescent="0.25">
      <c r="A806" s="17">
        <f t="shared" ca="1" si="119"/>
        <v>802</v>
      </c>
      <c r="B806" s="18" t="s">
        <v>1453</v>
      </c>
      <c r="C806" s="18" t="s">
        <v>1631</v>
      </c>
      <c r="D806" s="18"/>
      <c r="E806" s="18"/>
      <c r="F806" s="18"/>
      <c r="G806" s="18"/>
      <c r="H806" s="19" t="s">
        <v>1632</v>
      </c>
      <c r="I806" s="18" t="s">
        <v>104</v>
      </c>
      <c r="J806" s="20">
        <v>1</v>
      </c>
      <c r="K806" s="20">
        <v>1.1499999999999999</v>
      </c>
      <c r="L806" s="21" t="s">
        <v>28</v>
      </c>
      <c r="M806" s="22">
        <v>0.16160000000000002</v>
      </c>
      <c r="N806" s="22">
        <v>1.5399999999999999E-2</v>
      </c>
      <c r="O806" s="22">
        <v>1052.3689999999999</v>
      </c>
      <c r="P806" s="22">
        <f t="shared" si="116"/>
        <v>195.57225495999998</v>
      </c>
      <c r="Q806" s="22">
        <v>2757.7041798239825</v>
      </c>
      <c r="R806" s="22">
        <f t="shared" si="117"/>
        <v>48.838941024682725</v>
      </c>
      <c r="S806" s="22">
        <f t="shared" si="118"/>
        <v>244.41119598468271</v>
      </c>
      <c r="T806" s="23">
        <v>0.55859868298040061</v>
      </c>
      <c r="U806" s="24">
        <v>0.1</v>
      </c>
      <c r="V806" s="25">
        <f t="shared" si="120"/>
        <v>419.03286498413019</v>
      </c>
      <c r="W806" s="26" t="s">
        <v>29</v>
      </c>
    </row>
    <row r="807" spans="1:23" ht="89.25" x14ac:dyDescent="0.25">
      <c r="A807" s="17">
        <f t="shared" ca="1" si="119"/>
        <v>803</v>
      </c>
      <c r="B807" s="18" t="s">
        <v>1453</v>
      </c>
      <c r="C807" s="18" t="s">
        <v>1633</v>
      </c>
      <c r="D807" s="18"/>
      <c r="E807" s="18"/>
      <c r="F807" s="18"/>
      <c r="G807" s="18"/>
      <c r="H807" s="19" t="s">
        <v>1634</v>
      </c>
      <c r="I807" s="18" t="s">
        <v>104</v>
      </c>
      <c r="J807" s="20">
        <v>1</v>
      </c>
      <c r="K807" s="20">
        <v>1.1499999999999999</v>
      </c>
      <c r="L807" s="21" t="s">
        <v>28</v>
      </c>
      <c r="M807" s="22">
        <v>0.15040000000000001</v>
      </c>
      <c r="N807" s="22">
        <v>1.3999999999999997E-2</v>
      </c>
      <c r="O807" s="22">
        <v>1052.3689999999999</v>
      </c>
      <c r="P807" s="22">
        <f t="shared" si="116"/>
        <v>182.01774223999999</v>
      </c>
      <c r="Q807" s="22">
        <v>2757.7041798239825</v>
      </c>
      <c r="R807" s="22">
        <f t="shared" si="117"/>
        <v>44.399037295166103</v>
      </c>
      <c r="S807" s="22">
        <f t="shared" si="118"/>
        <v>226.41677953516609</v>
      </c>
      <c r="T807" s="23">
        <v>0.55859868298040061</v>
      </c>
      <c r="U807" s="24">
        <v>0.1</v>
      </c>
      <c r="V807" s="25">
        <f t="shared" si="120"/>
        <v>388.18218382699098</v>
      </c>
      <c r="W807" s="26" t="s">
        <v>29</v>
      </c>
    </row>
    <row r="808" spans="1:23" ht="89.25" x14ac:dyDescent="0.25">
      <c r="A808" s="17">
        <f t="shared" ca="1" si="119"/>
        <v>804</v>
      </c>
      <c r="B808" s="18" t="s">
        <v>1453</v>
      </c>
      <c r="C808" s="18" t="s">
        <v>1635</v>
      </c>
      <c r="D808" s="18"/>
      <c r="E808" s="18"/>
      <c r="F808" s="18"/>
      <c r="G808" s="18"/>
      <c r="H808" s="19" t="s">
        <v>1636</v>
      </c>
      <c r="I808" s="18" t="s">
        <v>104</v>
      </c>
      <c r="J808" s="20">
        <v>1</v>
      </c>
      <c r="K808" s="20">
        <v>1.1499999999999999</v>
      </c>
      <c r="L808" s="21" t="s">
        <v>28</v>
      </c>
      <c r="M808" s="22">
        <v>0.16160000000000002</v>
      </c>
      <c r="N808" s="22">
        <v>1.5399999999999999E-2</v>
      </c>
      <c r="O808" s="22">
        <v>1052.3689999999999</v>
      </c>
      <c r="P808" s="22">
        <f t="shared" si="116"/>
        <v>195.57225495999998</v>
      </c>
      <c r="Q808" s="22">
        <v>2757.7041798239825</v>
      </c>
      <c r="R808" s="22">
        <f t="shared" si="117"/>
        <v>48.838941024682725</v>
      </c>
      <c r="S808" s="22">
        <f t="shared" si="118"/>
        <v>244.41119598468271</v>
      </c>
      <c r="T808" s="23">
        <v>0.55859868298040061</v>
      </c>
      <c r="U808" s="24">
        <v>0.1</v>
      </c>
      <c r="V808" s="25">
        <f t="shared" si="120"/>
        <v>419.03286498413019</v>
      </c>
      <c r="W808" s="26" t="s">
        <v>29</v>
      </c>
    </row>
    <row r="809" spans="1:23" ht="89.25" x14ac:dyDescent="0.25">
      <c r="A809" s="17">
        <f t="shared" ca="1" si="119"/>
        <v>805</v>
      </c>
      <c r="B809" s="18" t="s">
        <v>1453</v>
      </c>
      <c r="C809" s="18" t="s">
        <v>1637</v>
      </c>
      <c r="D809" s="18"/>
      <c r="E809" s="18"/>
      <c r="F809" s="18"/>
      <c r="G809" s="18"/>
      <c r="H809" s="19" t="s">
        <v>1638</v>
      </c>
      <c r="I809" s="18" t="s">
        <v>104</v>
      </c>
      <c r="J809" s="20">
        <v>1</v>
      </c>
      <c r="K809" s="20">
        <v>1.1499999999999999</v>
      </c>
      <c r="L809" s="21" t="s">
        <v>28</v>
      </c>
      <c r="M809" s="22">
        <v>0.15040000000000001</v>
      </c>
      <c r="N809" s="22">
        <v>1.3999999999999997E-2</v>
      </c>
      <c r="O809" s="22">
        <v>1052.3689999999999</v>
      </c>
      <c r="P809" s="22">
        <f t="shared" si="116"/>
        <v>182.01774223999999</v>
      </c>
      <c r="Q809" s="22">
        <v>2757.7041798239825</v>
      </c>
      <c r="R809" s="22">
        <f t="shared" si="117"/>
        <v>44.399037295166103</v>
      </c>
      <c r="S809" s="22">
        <f t="shared" si="118"/>
        <v>226.41677953516609</v>
      </c>
      <c r="T809" s="23">
        <v>0.55859868298040061</v>
      </c>
      <c r="U809" s="24">
        <v>0.1</v>
      </c>
      <c r="V809" s="25">
        <f t="shared" si="120"/>
        <v>388.18218382699098</v>
      </c>
      <c r="W809" s="26" t="s">
        <v>29</v>
      </c>
    </row>
    <row r="810" spans="1:23" ht="89.25" x14ac:dyDescent="0.25">
      <c r="A810" s="17">
        <f t="shared" ca="1" si="119"/>
        <v>806</v>
      </c>
      <c r="B810" s="18" t="s">
        <v>1453</v>
      </c>
      <c r="C810" s="18" t="s">
        <v>1639</v>
      </c>
      <c r="D810" s="18"/>
      <c r="E810" s="18"/>
      <c r="F810" s="18"/>
      <c r="G810" s="18"/>
      <c r="H810" s="19" t="s">
        <v>1640</v>
      </c>
      <c r="I810" s="18" t="s">
        <v>104</v>
      </c>
      <c r="J810" s="20">
        <v>1</v>
      </c>
      <c r="K810" s="20">
        <v>1.1499999999999999</v>
      </c>
      <c r="L810" s="21" t="s">
        <v>28</v>
      </c>
      <c r="M810" s="22">
        <v>0.16160000000000002</v>
      </c>
      <c r="N810" s="22">
        <v>1.5399999999999999E-2</v>
      </c>
      <c r="O810" s="22">
        <v>1052.3689999999999</v>
      </c>
      <c r="P810" s="22">
        <f t="shared" si="116"/>
        <v>195.57225495999998</v>
      </c>
      <c r="Q810" s="22">
        <v>2757.7041798239825</v>
      </c>
      <c r="R810" s="22">
        <f t="shared" si="117"/>
        <v>48.838941024682725</v>
      </c>
      <c r="S810" s="22">
        <f t="shared" si="118"/>
        <v>244.41119598468271</v>
      </c>
      <c r="T810" s="23">
        <v>0.55859868298040061</v>
      </c>
      <c r="U810" s="24">
        <v>0.1</v>
      </c>
      <c r="V810" s="25">
        <f t="shared" si="120"/>
        <v>419.03286498413019</v>
      </c>
      <c r="W810" s="26" t="s">
        <v>29</v>
      </c>
    </row>
    <row r="811" spans="1:23" ht="89.25" x14ac:dyDescent="0.25">
      <c r="A811" s="17">
        <f t="shared" ca="1" si="119"/>
        <v>807</v>
      </c>
      <c r="B811" s="18" t="s">
        <v>1453</v>
      </c>
      <c r="C811" s="18" t="s">
        <v>1641</v>
      </c>
      <c r="D811" s="18"/>
      <c r="E811" s="18"/>
      <c r="F811" s="18"/>
      <c r="G811" s="18"/>
      <c r="H811" s="19" t="s">
        <v>1642</v>
      </c>
      <c r="I811" s="18" t="s">
        <v>104</v>
      </c>
      <c r="J811" s="20">
        <v>1</v>
      </c>
      <c r="K811" s="20">
        <v>1.1499999999999999</v>
      </c>
      <c r="L811" s="21" t="s">
        <v>28</v>
      </c>
      <c r="M811" s="22">
        <v>0.15040000000000001</v>
      </c>
      <c r="N811" s="22">
        <v>1.3999999999999997E-2</v>
      </c>
      <c r="O811" s="22">
        <v>1052.3689999999999</v>
      </c>
      <c r="P811" s="22">
        <f t="shared" si="116"/>
        <v>182.01774223999999</v>
      </c>
      <c r="Q811" s="22">
        <v>2757.7041798239825</v>
      </c>
      <c r="R811" s="22">
        <f t="shared" si="117"/>
        <v>44.399037295166103</v>
      </c>
      <c r="S811" s="22">
        <f t="shared" si="118"/>
        <v>226.41677953516609</v>
      </c>
      <c r="T811" s="23">
        <v>0.55859868298040061</v>
      </c>
      <c r="U811" s="24">
        <v>0.1</v>
      </c>
      <c r="V811" s="25">
        <f t="shared" si="120"/>
        <v>388.18218382699098</v>
      </c>
      <c r="W811" s="26" t="s">
        <v>29</v>
      </c>
    </row>
    <row r="812" spans="1:23" ht="89.25" x14ac:dyDescent="0.25">
      <c r="A812" s="17">
        <f t="shared" ca="1" si="119"/>
        <v>808</v>
      </c>
      <c r="B812" s="18" t="s">
        <v>1453</v>
      </c>
      <c r="C812" s="18" t="s">
        <v>1643</v>
      </c>
      <c r="D812" s="18"/>
      <c r="E812" s="18"/>
      <c r="F812" s="18"/>
      <c r="G812" s="18"/>
      <c r="H812" s="19" t="s">
        <v>1644</v>
      </c>
      <c r="I812" s="18" t="s">
        <v>104</v>
      </c>
      <c r="J812" s="20">
        <v>1</v>
      </c>
      <c r="K812" s="20">
        <v>1.1499999999999999</v>
      </c>
      <c r="L812" s="21" t="s">
        <v>28</v>
      </c>
      <c r="M812" s="22">
        <v>0.16160000000000002</v>
      </c>
      <c r="N812" s="22">
        <v>1.5399999999999999E-2</v>
      </c>
      <c r="O812" s="22">
        <v>1052.3689999999999</v>
      </c>
      <c r="P812" s="22">
        <f t="shared" si="116"/>
        <v>195.57225495999998</v>
      </c>
      <c r="Q812" s="22">
        <v>2757.7041798239825</v>
      </c>
      <c r="R812" s="22">
        <f t="shared" si="117"/>
        <v>48.838941024682725</v>
      </c>
      <c r="S812" s="22">
        <f t="shared" si="118"/>
        <v>244.41119598468271</v>
      </c>
      <c r="T812" s="23">
        <v>0.55859868298040061</v>
      </c>
      <c r="U812" s="24">
        <v>0.1</v>
      </c>
      <c r="V812" s="25">
        <f t="shared" si="120"/>
        <v>419.03286498413019</v>
      </c>
      <c r="W812" s="26" t="s">
        <v>29</v>
      </c>
    </row>
    <row r="813" spans="1:23" ht="89.25" x14ac:dyDescent="0.25">
      <c r="A813" s="17">
        <f t="shared" ca="1" si="119"/>
        <v>809</v>
      </c>
      <c r="B813" s="18" t="s">
        <v>1453</v>
      </c>
      <c r="C813" s="18" t="s">
        <v>1645</v>
      </c>
      <c r="D813" s="18"/>
      <c r="E813" s="18"/>
      <c r="F813" s="18"/>
      <c r="G813" s="18"/>
      <c r="H813" s="19" t="s">
        <v>1646</v>
      </c>
      <c r="I813" s="18" t="s">
        <v>104</v>
      </c>
      <c r="J813" s="20">
        <v>1</v>
      </c>
      <c r="K813" s="20">
        <v>1.1499999999999999</v>
      </c>
      <c r="L813" s="21" t="s">
        <v>28</v>
      </c>
      <c r="M813" s="22">
        <v>0.15040000000000001</v>
      </c>
      <c r="N813" s="22">
        <v>1.3999999999999997E-2</v>
      </c>
      <c r="O813" s="22">
        <v>1052.3689999999999</v>
      </c>
      <c r="P813" s="22">
        <f t="shared" si="116"/>
        <v>182.01774223999999</v>
      </c>
      <c r="Q813" s="22">
        <v>2757.7041798239825</v>
      </c>
      <c r="R813" s="22">
        <f t="shared" si="117"/>
        <v>44.399037295166103</v>
      </c>
      <c r="S813" s="22">
        <f t="shared" si="118"/>
        <v>226.41677953516609</v>
      </c>
      <c r="T813" s="23">
        <v>0.55859868298040061</v>
      </c>
      <c r="U813" s="24">
        <v>0.1</v>
      </c>
      <c r="V813" s="25">
        <f t="shared" si="120"/>
        <v>388.18218382699098</v>
      </c>
      <c r="W813" s="26" t="s">
        <v>29</v>
      </c>
    </row>
    <row r="814" spans="1:23" ht="89.25" x14ac:dyDescent="0.25">
      <c r="A814" s="17">
        <f t="shared" ca="1" si="119"/>
        <v>810</v>
      </c>
      <c r="B814" s="18" t="s">
        <v>1453</v>
      </c>
      <c r="C814" s="18" t="s">
        <v>1647</v>
      </c>
      <c r="D814" s="18"/>
      <c r="E814" s="18"/>
      <c r="F814" s="18"/>
      <c r="G814" s="18"/>
      <c r="H814" s="19" t="s">
        <v>1648</v>
      </c>
      <c r="I814" s="18" t="s">
        <v>104</v>
      </c>
      <c r="J814" s="20">
        <v>1</v>
      </c>
      <c r="K814" s="20">
        <v>1.1499999999999999</v>
      </c>
      <c r="L814" s="21" t="s">
        <v>28</v>
      </c>
      <c r="M814" s="22">
        <v>0.16160000000000002</v>
      </c>
      <c r="N814" s="22">
        <v>1.5399999999999999E-2</v>
      </c>
      <c r="O814" s="22">
        <v>1052.3689999999999</v>
      </c>
      <c r="P814" s="22">
        <f t="shared" si="116"/>
        <v>195.57225495999998</v>
      </c>
      <c r="Q814" s="22">
        <v>2757.7041798239825</v>
      </c>
      <c r="R814" s="22">
        <f t="shared" si="117"/>
        <v>48.838941024682725</v>
      </c>
      <c r="S814" s="22">
        <f t="shared" si="118"/>
        <v>244.41119598468271</v>
      </c>
      <c r="T814" s="23">
        <v>0.55859868298040061</v>
      </c>
      <c r="U814" s="24">
        <v>0.1</v>
      </c>
      <c r="V814" s="25">
        <f t="shared" si="120"/>
        <v>419.03286498413019</v>
      </c>
      <c r="W814" s="26" t="s">
        <v>29</v>
      </c>
    </row>
    <row r="815" spans="1:23" ht="89.25" x14ac:dyDescent="0.25">
      <c r="A815" s="17">
        <f t="shared" ca="1" si="119"/>
        <v>811</v>
      </c>
      <c r="B815" s="18" t="s">
        <v>1453</v>
      </c>
      <c r="C815" s="18" t="s">
        <v>1649</v>
      </c>
      <c r="D815" s="18"/>
      <c r="E815" s="18"/>
      <c r="F815" s="18"/>
      <c r="G815" s="18"/>
      <c r="H815" s="19" t="s">
        <v>1650</v>
      </c>
      <c r="I815" s="18" t="s">
        <v>104</v>
      </c>
      <c r="J815" s="20">
        <v>1</v>
      </c>
      <c r="K815" s="20">
        <v>1.1499999999999999</v>
      </c>
      <c r="L815" s="21" t="s">
        <v>28</v>
      </c>
      <c r="M815" s="22">
        <v>0.15040000000000001</v>
      </c>
      <c r="N815" s="22">
        <v>1.3999999999999997E-2</v>
      </c>
      <c r="O815" s="22">
        <v>1052.3689999999999</v>
      </c>
      <c r="P815" s="22">
        <f t="shared" si="116"/>
        <v>182.01774223999999</v>
      </c>
      <c r="Q815" s="22">
        <v>2757.7041798239825</v>
      </c>
      <c r="R815" s="22">
        <f t="shared" si="117"/>
        <v>44.399037295166103</v>
      </c>
      <c r="S815" s="22">
        <f t="shared" si="118"/>
        <v>226.41677953516609</v>
      </c>
      <c r="T815" s="23">
        <v>0.55859868298040061</v>
      </c>
      <c r="U815" s="24">
        <v>0.1</v>
      </c>
      <c r="V815" s="25">
        <f t="shared" si="120"/>
        <v>388.18218382699098</v>
      </c>
      <c r="W815" s="26" t="s">
        <v>29</v>
      </c>
    </row>
    <row r="816" spans="1:23" ht="89.25" x14ac:dyDescent="0.25">
      <c r="A816" s="17">
        <f t="shared" ca="1" si="119"/>
        <v>812</v>
      </c>
      <c r="B816" s="18" t="s">
        <v>1453</v>
      </c>
      <c r="C816" s="18" t="s">
        <v>1651</v>
      </c>
      <c r="D816" s="18"/>
      <c r="E816" s="18"/>
      <c r="F816" s="18"/>
      <c r="G816" s="18"/>
      <c r="H816" s="19" t="s">
        <v>1652</v>
      </c>
      <c r="I816" s="18" t="s">
        <v>104</v>
      </c>
      <c r="J816" s="20">
        <v>1</v>
      </c>
      <c r="K816" s="20">
        <v>1.1499999999999999</v>
      </c>
      <c r="L816" s="21" t="s">
        <v>28</v>
      </c>
      <c r="M816" s="22">
        <v>0.192</v>
      </c>
      <c r="N816" s="22">
        <v>1.54E-2</v>
      </c>
      <c r="O816" s="22">
        <v>1052.3689999999999</v>
      </c>
      <c r="P816" s="22">
        <f t="shared" si="116"/>
        <v>232.36307519999997</v>
      </c>
      <c r="Q816" s="22">
        <v>2757.7041798239825</v>
      </c>
      <c r="R816" s="22">
        <f t="shared" si="117"/>
        <v>48.838941024682725</v>
      </c>
      <c r="S816" s="22">
        <f t="shared" si="118"/>
        <v>281.20201622468267</v>
      </c>
      <c r="T816" s="23">
        <v>0.55859868298040061</v>
      </c>
      <c r="U816" s="24">
        <v>0.1</v>
      </c>
      <c r="V816" s="25">
        <f t="shared" si="120"/>
        <v>482.10920135314609</v>
      </c>
      <c r="W816" s="26" t="s">
        <v>29</v>
      </c>
    </row>
    <row r="817" spans="1:23" ht="89.25" x14ac:dyDescent="0.25">
      <c r="A817" s="17">
        <f t="shared" ca="1" si="119"/>
        <v>813</v>
      </c>
      <c r="B817" s="18" t="s">
        <v>1453</v>
      </c>
      <c r="C817" s="18" t="s">
        <v>1653</v>
      </c>
      <c r="D817" s="18"/>
      <c r="E817" s="18"/>
      <c r="F817" s="18"/>
      <c r="G817" s="18"/>
      <c r="H817" s="19" t="s">
        <v>1654</v>
      </c>
      <c r="I817" s="18" t="s">
        <v>104</v>
      </c>
      <c r="J817" s="20">
        <v>1</v>
      </c>
      <c r="K817" s="20">
        <v>1.1499999999999999</v>
      </c>
      <c r="L817" s="21" t="s">
        <v>28</v>
      </c>
      <c r="M817" s="22">
        <v>0.15040000000000001</v>
      </c>
      <c r="N817" s="22">
        <v>1.3999999999999997E-2</v>
      </c>
      <c r="O817" s="22">
        <v>1052.3689999999999</v>
      </c>
      <c r="P817" s="22">
        <f t="shared" si="116"/>
        <v>182.01774223999999</v>
      </c>
      <c r="Q817" s="22">
        <v>2757.7041798239825</v>
      </c>
      <c r="R817" s="22">
        <f t="shared" si="117"/>
        <v>44.399037295166103</v>
      </c>
      <c r="S817" s="22">
        <f t="shared" si="118"/>
        <v>226.41677953516609</v>
      </c>
      <c r="T817" s="23">
        <v>0.55859868298040061</v>
      </c>
      <c r="U817" s="24">
        <v>0.1</v>
      </c>
      <c r="V817" s="25">
        <f t="shared" si="120"/>
        <v>388.18218382699098</v>
      </c>
      <c r="W817" s="26" t="s">
        <v>29</v>
      </c>
    </row>
    <row r="818" spans="1:23" ht="89.25" x14ac:dyDescent="0.25">
      <c r="A818" s="17">
        <f t="shared" ca="1" si="119"/>
        <v>814</v>
      </c>
      <c r="B818" s="18" t="s">
        <v>1453</v>
      </c>
      <c r="C818" s="18" t="s">
        <v>1655</v>
      </c>
      <c r="D818" s="18"/>
      <c r="E818" s="18"/>
      <c r="F818" s="18"/>
      <c r="G818" s="18"/>
      <c r="H818" s="19" t="s">
        <v>1656</v>
      </c>
      <c r="I818" s="18" t="s">
        <v>104</v>
      </c>
      <c r="J818" s="20">
        <v>1</v>
      </c>
      <c r="K818" s="20">
        <v>1.1499999999999999</v>
      </c>
      <c r="L818" s="21" t="s">
        <v>28</v>
      </c>
      <c r="M818" s="22">
        <v>0.16160000000000002</v>
      </c>
      <c r="N818" s="22">
        <v>1.5399999999999999E-2</v>
      </c>
      <c r="O818" s="22">
        <v>1052.3689999999999</v>
      </c>
      <c r="P818" s="22">
        <f t="shared" si="116"/>
        <v>195.57225495999998</v>
      </c>
      <c r="Q818" s="22">
        <v>2757.7041798239825</v>
      </c>
      <c r="R818" s="22">
        <f t="shared" si="117"/>
        <v>48.838941024682725</v>
      </c>
      <c r="S818" s="22">
        <f t="shared" si="118"/>
        <v>244.41119598468271</v>
      </c>
      <c r="T818" s="23">
        <v>0.55859868298040061</v>
      </c>
      <c r="U818" s="24">
        <v>0.1</v>
      </c>
      <c r="V818" s="25">
        <f t="shared" si="120"/>
        <v>419.03286498413019</v>
      </c>
      <c r="W818" s="26" t="s">
        <v>29</v>
      </c>
    </row>
    <row r="819" spans="1:23" ht="89.25" x14ac:dyDescent="0.25">
      <c r="A819" s="17">
        <f t="shared" ca="1" si="119"/>
        <v>815</v>
      </c>
      <c r="B819" s="18" t="s">
        <v>1453</v>
      </c>
      <c r="C819" s="18" t="s">
        <v>1657</v>
      </c>
      <c r="D819" s="18"/>
      <c r="E819" s="18"/>
      <c r="F819" s="18"/>
      <c r="G819" s="18"/>
      <c r="H819" s="19" t="s">
        <v>1658</v>
      </c>
      <c r="I819" s="18" t="s">
        <v>104</v>
      </c>
      <c r="J819" s="20">
        <v>1</v>
      </c>
      <c r="K819" s="20">
        <v>1.1499999999999999</v>
      </c>
      <c r="L819" s="21" t="s">
        <v>28</v>
      </c>
      <c r="M819" s="22">
        <v>0.16160000000000002</v>
      </c>
      <c r="N819" s="22">
        <v>1.5399999999999999E-2</v>
      </c>
      <c r="O819" s="22">
        <v>1052.3689999999999</v>
      </c>
      <c r="P819" s="22">
        <f t="shared" si="116"/>
        <v>195.57225495999998</v>
      </c>
      <c r="Q819" s="22">
        <v>2757.7041798239825</v>
      </c>
      <c r="R819" s="22">
        <f t="shared" si="117"/>
        <v>48.838941024682725</v>
      </c>
      <c r="S819" s="22">
        <f t="shared" si="118"/>
        <v>244.41119598468271</v>
      </c>
      <c r="T819" s="23">
        <v>0.55859868298040061</v>
      </c>
      <c r="U819" s="24">
        <v>0.1</v>
      </c>
      <c r="V819" s="25">
        <f t="shared" si="120"/>
        <v>419.03286498413019</v>
      </c>
      <c r="W819" s="26" t="s">
        <v>29</v>
      </c>
    </row>
    <row r="820" spans="1:23" ht="89.25" x14ac:dyDescent="0.25">
      <c r="A820" s="17">
        <f t="shared" ca="1" si="119"/>
        <v>816</v>
      </c>
      <c r="B820" s="18" t="s">
        <v>1453</v>
      </c>
      <c r="C820" s="18" t="s">
        <v>1659</v>
      </c>
      <c r="D820" s="18"/>
      <c r="E820" s="18"/>
      <c r="F820" s="18"/>
      <c r="G820" s="18"/>
      <c r="H820" s="19" t="s">
        <v>1660</v>
      </c>
      <c r="I820" s="18" t="s">
        <v>104</v>
      </c>
      <c r="J820" s="20">
        <v>1</v>
      </c>
      <c r="K820" s="20">
        <v>1.1499999999999999</v>
      </c>
      <c r="L820" s="21" t="s">
        <v>28</v>
      </c>
      <c r="M820" s="22">
        <v>0.16160000000000002</v>
      </c>
      <c r="N820" s="22">
        <v>1.5399999999999999E-2</v>
      </c>
      <c r="O820" s="22">
        <v>1052.3689999999999</v>
      </c>
      <c r="P820" s="22">
        <f t="shared" si="116"/>
        <v>195.57225495999998</v>
      </c>
      <c r="Q820" s="22">
        <v>2757.7041798239825</v>
      </c>
      <c r="R820" s="22">
        <f t="shared" si="117"/>
        <v>48.838941024682725</v>
      </c>
      <c r="S820" s="22">
        <f t="shared" si="118"/>
        <v>244.41119598468271</v>
      </c>
      <c r="T820" s="23">
        <v>0.55859868298040061</v>
      </c>
      <c r="U820" s="24">
        <v>0.1</v>
      </c>
      <c r="V820" s="25">
        <f t="shared" si="120"/>
        <v>419.03286498413019</v>
      </c>
      <c r="W820" s="26" t="s">
        <v>29</v>
      </c>
    </row>
    <row r="821" spans="1:23" ht="89.25" x14ac:dyDescent="0.25">
      <c r="A821" s="17">
        <f t="shared" ca="1" si="119"/>
        <v>817</v>
      </c>
      <c r="B821" s="18" t="s">
        <v>1453</v>
      </c>
      <c r="C821" s="18" t="s">
        <v>1661</v>
      </c>
      <c r="D821" s="18"/>
      <c r="E821" s="18"/>
      <c r="F821" s="18"/>
      <c r="G821" s="18"/>
      <c r="H821" s="19" t="s">
        <v>1662</v>
      </c>
      <c r="I821" s="18" t="s">
        <v>104</v>
      </c>
      <c r="J821" s="20">
        <v>1</v>
      </c>
      <c r="K821" s="20">
        <v>1.1499999999999999</v>
      </c>
      <c r="L821" s="21" t="s">
        <v>28</v>
      </c>
      <c r="M821" s="22">
        <v>0.16160000000000002</v>
      </c>
      <c r="N821" s="22">
        <v>1.5399999999999999E-2</v>
      </c>
      <c r="O821" s="22">
        <v>1052.3689999999999</v>
      </c>
      <c r="P821" s="22">
        <f t="shared" si="116"/>
        <v>195.57225495999998</v>
      </c>
      <c r="Q821" s="22">
        <v>2757.7041798239825</v>
      </c>
      <c r="R821" s="22">
        <f t="shared" si="117"/>
        <v>48.838941024682725</v>
      </c>
      <c r="S821" s="22">
        <f t="shared" si="118"/>
        <v>244.41119598468271</v>
      </c>
      <c r="T821" s="23">
        <v>0.55859868298040061</v>
      </c>
      <c r="U821" s="24">
        <v>0.1</v>
      </c>
      <c r="V821" s="25">
        <f t="shared" si="120"/>
        <v>419.03286498413019</v>
      </c>
      <c r="W821" s="26" t="s">
        <v>29</v>
      </c>
    </row>
    <row r="822" spans="1:23" ht="89.25" x14ac:dyDescent="0.25">
      <c r="A822" s="17">
        <f t="shared" ca="1" si="119"/>
        <v>818</v>
      </c>
      <c r="B822" s="18" t="s">
        <v>1453</v>
      </c>
      <c r="C822" s="18" t="s">
        <v>1663</v>
      </c>
      <c r="D822" s="18"/>
      <c r="E822" s="18"/>
      <c r="F822" s="18"/>
      <c r="G822" s="18"/>
      <c r="H822" s="19" t="s">
        <v>1664</v>
      </c>
      <c r="I822" s="18" t="s">
        <v>104</v>
      </c>
      <c r="J822" s="20">
        <v>1</v>
      </c>
      <c r="K822" s="20">
        <v>1.1499999999999999</v>
      </c>
      <c r="L822" s="21" t="s">
        <v>28</v>
      </c>
      <c r="M822" s="22">
        <v>0.15040000000000001</v>
      </c>
      <c r="N822" s="22">
        <v>1.3999999999999997E-2</v>
      </c>
      <c r="O822" s="22">
        <v>1052.3689999999999</v>
      </c>
      <c r="P822" s="22">
        <f t="shared" si="116"/>
        <v>182.01774223999999</v>
      </c>
      <c r="Q822" s="22">
        <v>2757.7041798239825</v>
      </c>
      <c r="R822" s="22">
        <f t="shared" si="117"/>
        <v>44.399037295166103</v>
      </c>
      <c r="S822" s="22">
        <f t="shared" si="118"/>
        <v>226.41677953516609</v>
      </c>
      <c r="T822" s="23">
        <v>0.55859868298040061</v>
      </c>
      <c r="U822" s="24">
        <v>0.1</v>
      </c>
      <c r="V822" s="25">
        <f t="shared" si="120"/>
        <v>388.18218382699098</v>
      </c>
      <c r="W822" s="26" t="s">
        <v>29</v>
      </c>
    </row>
    <row r="823" spans="1:23" ht="89.25" x14ac:dyDescent="0.25">
      <c r="A823" s="17">
        <f t="shared" ca="1" si="119"/>
        <v>819</v>
      </c>
      <c r="B823" s="18" t="s">
        <v>1453</v>
      </c>
      <c r="C823" s="18" t="s">
        <v>1665</v>
      </c>
      <c r="D823" s="18"/>
      <c r="E823" s="18"/>
      <c r="F823" s="18"/>
      <c r="G823" s="18"/>
      <c r="H823" s="19" t="s">
        <v>1666</v>
      </c>
      <c r="I823" s="18" t="s">
        <v>104</v>
      </c>
      <c r="J823" s="20">
        <v>1</v>
      </c>
      <c r="K823" s="20">
        <v>1.1499999999999999</v>
      </c>
      <c r="L823" s="21" t="s">
        <v>28</v>
      </c>
      <c r="M823" s="22">
        <v>0.16160000000000002</v>
      </c>
      <c r="N823" s="22">
        <v>1.5399999999999999E-2</v>
      </c>
      <c r="O823" s="22">
        <v>1052.3689999999999</v>
      </c>
      <c r="P823" s="22">
        <f t="shared" si="116"/>
        <v>195.57225495999998</v>
      </c>
      <c r="Q823" s="22">
        <v>2757.7041798239825</v>
      </c>
      <c r="R823" s="22">
        <f t="shared" si="117"/>
        <v>48.838941024682725</v>
      </c>
      <c r="S823" s="22">
        <f t="shared" si="118"/>
        <v>244.41119598468271</v>
      </c>
      <c r="T823" s="23">
        <v>0.55859868298040061</v>
      </c>
      <c r="U823" s="24">
        <v>0.1</v>
      </c>
      <c r="V823" s="25">
        <f t="shared" si="120"/>
        <v>419.03286498413019</v>
      </c>
      <c r="W823" s="26" t="s">
        <v>29</v>
      </c>
    </row>
    <row r="824" spans="1:23" ht="89.25" x14ac:dyDescent="0.25">
      <c r="A824" s="17">
        <f t="shared" ca="1" si="119"/>
        <v>820</v>
      </c>
      <c r="B824" s="18" t="s">
        <v>1453</v>
      </c>
      <c r="C824" s="18" t="s">
        <v>1667</v>
      </c>
      <c r="D824" s="18"/>
      <c r="E824" s="18"/>
      <c r="F824" s="18"/>
      <c r="G824" s="18"/>
      <c r="H824" s="19" t="s">
        <v>1668</v>
      </c>
      <c r="I824" s="18" t="s">
        <v>104</v>
      </c>
      <c r="J824" s="20">
        <v>1</v>
      </c>
      <c r="K824" s="20">
        <v>1.1499999999999999</v>
      </c>
      <c r="L824" s="21" t="s">
        <v>28</v>
      </c>
      <c r="M824" s="22">
        <v>0.15040000000000001</v>
      </c>
      <c r="N824" s="22">
        <v>1.3999999999999997E-2</v>
      </c>
      <c r="O824" s="22">
        <v>1052.3689999999999</v>
      </c>
      <c r="P824" s="22">
        <f t="shared" si="116"/>
        <v>182.01774223999999</v>
      </c>
      <c r="Q824" s="22">
        <v>2757.7041798239825</v>
      </c>
      <c r="R824" s="22">
        <f t="shared" si="117"/>
        <v>44.399037295166103</v>
      </c>
      <c r="S824" s="22">
        <f t="shared" si="118"/>
        <v>226.41677953516609</v>
      </c>
      <c r="T824" s="23">
        <v>0.55859868298040061</v>
      </c>
      <c r="U824" s="24">
        <v>0.1</v>
      </c>
      <c r="V824" s="25">
        <f t="shared" si="120"/>
        <v>388.18218382699098</v>
      </c>
      <c r="W824" s="26" t="s">
        <v>29</v>
      </c>
    </row>
    <row r="825" spans="1:23" ht="89.25" x14ac:dyDescent="0.25">
      <c r="A825" s="17">
        <f t="shared" ca="1" si="119"/>
        <v>821</v>
      </c>
      <c r="B825" s="18" t="s">
        <v>1453</v>
      </c>
      <c r="C825" s="18" t="s">
        <v>1669</v>
      </c>
      <c r="D825" s="18"/>
      <c r="E825" s="18"/>
      <c r="F825" s="18"/>
      <c r="G825" s="18"/>
      <c r="H825" s="19" t="s">
        <v>1670</v>
      </c>
      <c r="I825" s="18" t="s">
        <v>104</v>
      </c>
      <c r="J825" s="20">
        <v>1</v>
      </c>
      <c r="K825" s="20">
        <v>1.1499999999999999</v>
      </c>
      <c r="L825" s="21" t="s">
        <v>28</v>
      </c>
      <c r="M825" s="22">
        <v>0.15040000000000001</v>
      </c>
      <c r="N825" s="22">
        <v>1.3999999999999997E-2</v>
      </c>
      <c r="O825" s="22">
        <v>1052.3689999999999</v>
      </c>
      <c r="P825" s="22">
        <f t="shared" si="116"/>
        <v>182.01774223999999</v>
      </c>
      <c r="Q825" s="22">
        <v>2757.7041798239825</v>
      </c>
      <c r="R825" s="22">
        <f t="shared" si="117"/>
        <v>44.399037295166103</v>
      </c>
      <c r="S825" s="22">
        <f t="shared" si="118"/>
        <v>226.41677953516609</v>
      </c>
      <c r="T825" s="23">
        <v>0.55859868298040061</v>
      </c>
      <c r="U825" s="24">
        <v>0.1</v>
      </c>
      <c r="V825" s="25">
        <f t="shared" si="120"/>
        <v>388.18218382699098</v>
      </c>
      <c r="W825" s="26" t="s">
        <v>29</v>
      </c>
    </row>
    <row r="826" spans="1:23" ht="89.25" x14ac:dyDescent="0.25">
      <c r="A826" s="17">
        <f t="shared" ca="1" si="119"/>
        <v>822</v>
      </c>
      <c r="B826" s="18" t="s">
        <v>1453</v>
      </c>
      <c r="C826" s="18" t="s">
        <v>1671</v>
      </c>
      <c r="D826" s="18"/>
      <c r="E826" s="18"/>
      <c r="F826" s="18"/>
      <c r="G826" s="18"/>
      <c r="H826" s="19" t="s">
        <v>1672</v>
      </c>
      <c r="I826" s="18" t="s">
        <v>104</v>
      </c>
      <c r="J826" s="20">
        <v>1</v>
      </c>
      <c r="K826" s="20">
        <v>1.1499999999999999</v>
      </c>
      <c r="L826" s="21" t="s">
        <v>28</v>
      </c>
      <c r="M826" s="22">
        <v>0.15040000000000001</v>
      </c>
      <c r="N826" s="22">
        <v>1.3999999999999997E-2</v>
      </c>
      <c r="O826" s="22">
        <v>1052.3689999999999</v>
      </c>
      <c r="P826" s="22">
        <f t="shared" si="116"/>
        <v>182.01774223999999</v>
      </c>
      <c r="Q826" s="22">
        <v>2757.7041798239825</v>
      </c>
      <c r="R826" s="22">
        <f t="shared" si="117"/>
        <v>44.399037295166103</v>
      </c>
      <c r="S826" s="22">
        <f t="shared" si="118"/>
        <v>226.41677953516609</v>
      </c>
      <c r="T826" s="23">
        <v>0.55859868298040061</v>
      </c>
      <c r="U826" s="24">
        <v>0.1</v>
      </c>
      <c r="V826" s="25">
        <f t="shared" si="120"/>
        <v>388.18218382699098</v>
      </c>
      <c r="W826" s="26" t="s">
        <v>29</v>
      </c>
    </row>
    <row r="827" spans="1:23" ht="89.25" x14ac:dyDescent="0.25">
      <c r="A827" s="17">
        <f t="shared" ca="1" si="119"/>
        <v>823</v>
      </c>
      <c r="B827" s="18" t="s">
        <v>1453</v>
      </c>
      <c r="C827" s="18" t="s">
        <v>1673</v>
      </c>
      <c r="D827" s="18"/>
      <c r="E827" s="18"/>
      <c r="F827" s="18"/>
      <c r="G827" s="18"/>
      <c r="H827" s="19" t="s">
        <v>1674</v>
      </c>
      <c r="I827" s="18" t="s">
        <v>104</v>
      </c>
      <c r="J827" s="20">
        <v>1</v>
      </c>
      <c r="K827" s="20">
        <v>1.1499999999999999</v>
      </c>
      <c r="L827" s="21" t="s">
        <v>28</v>
      </c>
      <c r="M827" s="22">
        <v>0.15040000000000001</v>
      </c>
      <c r="N827" s="22">
        <v>1.3999999999999997E-2</v>
      </c>
      <c r="O827" s="22">
        <v>1052.3689999999999</v>
      </c>
      <c r="P827" s="22">
        <f t="shared" si="116"/>
        <v>182.01774223999999</v>
      </c>
      <c r="Q827" s="22">
        <v>2757.7041798239825</v>
      </c>
      <c r="R827" s="22">
        <f t="shared" si="117"/>
        <v>44.399037295166103</v>
      </c>
      <c r="S827" s="22">
        <f t="shared" si="118"/>
        <v>226.41677953516609</v>
      </c>
      <c r="T827" s="23">
        <v>0.55859868298040061</v>
      </c>
      <c r="U827" s="24">
        <v>0.1</v>
      </c>
      <c r="V827" s="25">
        <f t="shared" si="120"/>
        <v>388.18218382699098</v>
      </c>
      <c r="W827" s="26" t="s">
        <v>29</v>
      </c>
    </row>
    <row r="828" spans="1:23" ht="89.25" x14ac:dyDescent="0.25">
      <c r="A828" s="17">
        <f t="shared" ca="1" si="119"/>
        <v>824</v>
      </c>
      <c r="B828" s="18" t="s">
        <v>1453</v>
      </c>
      <c r="C828" s="18" t="s">
        <v>1675</v>
      </c>
      <c r="D828" s="18"/>
      <c r="E828" s="18"/>
      <c r="F828" s="18"/>
      <c r="G828" s="18"/>
      <c r="H828" s="19" t="s">
        <v>1676</v>
      </c>
      <c r="I828" s="18" t="s">
        <v>104</v>
      </c>
      <c r="J828" s="20">
        <v>1</v>
      </c>
      <c r="K828" s="20">
        <v>1.1499999999999999</v>
      </c>
      <c r="L828" s="21" t="s">
        <v>28</v>
      </c>
      <c r="M828" s="22">
        <v>0.15040000000000001</v>
      </c>
      <c r="N828" s="22">
        <v>1.3999999999999997E-2</v>
      </c>
      <c r="O828" s="22">
        <v>1052.3689999999999</v>
      </c>
      <c r="P828" s="22">
        <f t="shared" si="116"/>
        <v>182.01774223999999</v>
      </c>
      <c r="Q828" s="22">
        <v>2757.7041798239825</v>
      </c>
      <c r="R828" s="22">
        <f t="shared" si="117"/>
        <v>44.399037295166103</v>
      </c>
      <c r="S828" s="22">
        <f t="shared" si="118"/>
        <v>226.41677953516609</v>
      </c>
      <c r="T828" s="23">
        <v>0.55859868298040061</v>
      </c>
      <c r="U828" s="24">
        <v>0.1</v>
      </c>
      <c r="V828" s="25">
        <f t="shared" si="120"/>
        <v>388.18218382699098</v>
      </c>
      <c r="W828" s="26" t="s">
        <v>29</v>
      </c>
    </row>
    <row r="829" spans="1:23" ht="89.25" x14ac:dyDescent="0.25">
      <c r="A829" s="17">
        <f t="shared" ca="1" si="119"/>
        <v>825</v>
      </c>
      <c r="B829" s="18" t="s">
        <v>1453</v>
      </c>
      <c r="C829" s="18" t="s">
        <v>1677</v>
      </c>
      <c r="D829" s="18"/>
      <c r="E829" s="18"/>
      <c r="F829" s="18"/>
      <c r="G829" s="18"/>
      <c r="H829" s="19" t="s">
        <v>1678</v>
      </c>
      <c r="I829" s="18" t="s">
        <v>104</v>
      </c>
      <c r="J829" s="20">
        <v>1</v>
      </c>
      <c r="K829" s="20">
        <v>1.1499999999999999</v>
      </c>
      <c r="L829" s="21" t="s">
        <v>28</v>
      </c>
      <c r="M829" s="22">
        <v>0.15040000000000001</v>
      </c>
      <c r="N829" s="22">
        <v>1.3999999999999997E-2</v>
      </c>
      <c r="O829" s="22">
        <v>1052.3689999999999</v>
      </c>
      <c r="P829" s="22">
        <f t="shared" si="116"/>
        <v>182.01774223999999</v>
      </c>
      <c r="Q829" s="22">
        <v>2757.7041798239825</v>
      </c>
      <c r="R829" s="22">
        <f t="shared" si="117"/>
        <v>44.399037295166103</v>
      </c>
      <c r="S829" s="22">
        <f t="shared" si="118"/>
        <v>226.41677953516609</v>
      </c>
      <c r="T829" s="23">
        <v>0.55859868298040061</v>
      </c>
      <c r="U829" s="24">
        <v>0.1</v>
      </c>
      <c r="V829" s="25">
        <f t="shared" si="120"/>
        <v>388.18218382699098</v>
      </c>
      <c r="W829" s="26" t="s">
        <v>29</v>
      </c>
    </row>
    <row r="830" spans="1:23" ht="89.25" x14ac:dyDescent="0.25">
      <c r="A830" s="17">
        <f t="shared" ca="1" si="119"/>
        <v>826</v>
      </c>
      <c r="B830" s="18" t="s">
        <v>1453</v>
      </c>
      <c r="C830" s="18" t="s">
        <v>1679</v>
      </c>
      <c r="D830" s="18"/>
      <c r="E830" s="18"/>
      <c r="F830" s="18"/>
      <c r="G830" s="18"/>
      <c r="H830" s="19" t="s">
        <v>1680</v>
      </c>
      <c r="I830" s="18" t="s">
        <v>104</v>
      </c>
      <c r="J830" s="20">
        <v>1</v>
      </c>
      <c r="K830" s="20">
        <v>1.1499999999999999</v>
      </c>
      <c r="L830" s="21" t="s">
        <v>28</v>
      </c>
      <c r="M830" s="22">
        <v>0.16160000000000002</v>
      </c>
      <c r="N830" s="22">
        <v>1.5399999999999999E-2</v>
      </c>
      <c r="O830" s="22">
        <v>1052.3689999999999</v>
      </c>
      <c r="P830" s="22">
        <f t="shared" si="116"/>
        <v>195.57225495999998</v>
      </c>
      <c r="Q830" s="22">
        <v>2757.7041798239825</v>
      </c>
      <c r="R830" s="22">
        <f t="shared" si="117"/>
        <v>48.838941024682725</v>
      </c>
      <c r="S830" s="22">
        <f t="shared" si="118"/>
        <v>244.41119598468271</v>
      </c>
      <c r="T830" s="23">
        <v>0.55859868298040061</v>
      </c>
      <c r="U830" s="24">
        <v>0.1</v>
      </c>
      <c r="V830" s="25">
        <f t="shared" si="120"/>
        <v>419.03286498413019</v>
      </c>
      <c r="W830" s="26" t="s">
        <v>29</v>
      </c>
    </row>
    <row r="831" spans="1:23" ht="89.25" x14ac:dyDescent="0.25">
      <c r="A831" s="17">
        <f t="shared" ca="1" si="119"/>
        <v>827</v>
      </c>
      <c r="B831" s="18" t="s">
        <v>1453</v>
      </c>
      <c r="C831" s="18" t="s">
        <v>1681</v>
      </c>
      <c r="D831" s="18"/>
      <c r="E831" s="18"/>
      <c r="F831" s="18"/>
      <c r="G831" s="18"/>
      <c r="H831" s="19" t="s">
        <v>1682</v>
      </c>
      <c r="I831" s="18" t="s">
        <v>104</v>
      </c>
      <c r="J831" s="20">
        <v>1</v>
      </c>
      <c r="K831" s="20">
        <v>1.1499999999999999</v>
      </c>
      <c r="L831" s="21" t="s">
        <v>28</v>
      </c>
      <c r="M831" s="22">
        <v>0.15040000000000001</v>
      </c>
      <c r="N831" s="22">
        <v>1.3999999999999997E-2</v>
      </c>
      <c r="O831" s="22">
        <v>1052.3689999999999</v>
      </c>
      <c r="P831" s="22">
        <f t="shared" ref="P831:P894" si="121">O831*M831*K831</f>
        <v>182.01774223999999</v>
      </c>
      <c r="Q831" s="22">
        <v>2757.7041798239825</v>
      </c>
      <c r="R831" s="22">
        <f t="shared" ref="R831:R894" si="122">N831*Q831*K831</f>
        <v>44.399037295166103</v>
      </c>
      <c r="S831" s="22">
        <f t="shared" ref="S831:S894" si="123">P831+R831</f>
        <v>226.41677953516609</v>
      </c>
      <c r="T831" s="23">
        <v>0.55859868298040061</v>
      </c>
      <c r="U831" s="24">
        <v>0.1</v>
      </c>
      <c r="V831" s="25">
        <f t="shared" si="120"/>
        <v>388.18218382699098</v>
      </c>
      <c r="W831" s="26" t="s">
        <v>29</v>
      </c>
    </row>
    <row r="832" spans="1:23" ht="89.25" x14ac:dyDescent="0.25">
      <c r="A832" s="17">
        <f t="shared" ca="1" si="119"/>
        <v>828</v>
      </c>
      <c r="B832" s="18" t="s">
        <v>1453</v>
      </c>
      <c r="C832" s="18" t="s">
        <v>1683</v>
      </c>
      <c r="D832" s="18"/>
      <c r="E832" s="18"/>
      <c r="F832" s="18"/>
      <c r="G832" s="18"/>
      <c r="H832" s="19" t="s">
        <v>1684</v>
      </c>
      <c r="I832" s="18" t="s">
        <v>104</v>
      </c>
      <c r="J832" s="20">
        <v>1</v>
      </c>
      <c r="K832" s="20">
        <v>1.1499999999999999</v>
      </c>
      <c r="L832" s="21" t="s">
        <v>28</v>
      </c>
      <c r="M832" s="22">
        <v>0.16160000000000002</v>
      </c>
      <c r="N832" s="22">
        <v>1.5399999999999999E-2</v>
      </c>
      <c r="O832" s="22">
        <v>1052.3689999999999</v>
      </c>
      <c r="P832" s="22">
        <f t="shared" si="121"/>
        <v>195.57225495999998</v>
      </c>
      <c r="Q832" s="22">
        <v>2757.7041798239825</v>
      </c>
      <c r="R832" s="22">
        <f t="shared" si="122"/>
        <v>48.838941024682725</v>
      </c>
      <c r="S832" s="22">
        <f t="shared" si="123"/>
        <v>244.41119598468271</v>
      </c>
      <c r="T832" s="23">
        <v>0.55859868298040061</v>
      </c>
      <c r="U832" s="24">
        <v>0.1</v>
      </c>
      <c r="V832" s="25">
        <f t="shared" si="120"/>
        <v>419.03286498413019</v>
      </c>
      <c r="W832" s="26" t="s">
        <v>29</v>
      </c>
    </row>
    <row r="833" spans="1:23" ht="89.25" x14ac:dyDescent="0.25">
      <c r="A833" s="17">
        <f t="shared" ca="1" si="119"/>
        <v>829</v>
      </c>
      <c r="B833" s="18" t="s">
        <v>1453</v>
      </c>
      <c r="C833" s="18" t="s">
        <v>1685</v>
      </c>
      <c r="D833" s="18"/>
      <c r="E833" s="18"/>
      <c r="F833" s="18"/>
      <c r="G833" s="18"/>
      <c r="H833" s="19" t="s">
        <v>1686</v>
      </c>
      <c r="I833" s="18" t="s">
        <v>104</v>
      </c>
      <c r="J833" s="20">
        <v>1</v>
      </c>
      <c r="K833" s="20">
        <v>1.1499999999999999</v>
      </c>
      <c r="L833" s="21" t="s">
        <v>28</v>
      </c>
      <c r="M833" s="22">
        <v>0.15040000000000001</v>
      </c>
      <c r="N833" s="22">
        <v>1.3999999999999997E-2</v>
      </c>
      <c r="O833" s="22">
        <v>1052.3689999999999</v>
      </c>
      <c r="P833" s="22">
        <f t="shared" si="121"/>
        <v>182.01774223999999</v>
      </c>
      <c r="Q833" s="22">
        <v>2757.7041798239825</v>
      </c>
      <c r="R833" s="22">
        <f t="shared" si="122"/>
        <v>44.399037295166103</v>
      </c>
      <c r="S833" s="22">
        <f t="shared" si="123"/>
        <v>226.41677953516609</v>
      </c>
      <c r="T833" s="23">
        <v>0.55859868298040061</v>
      </c>
      <c r="U833" s="24">
        <v>0.1</v>
      </c>
      <c r="V833" s="25">
        <f t="shared" si="120"/>
        <v>388.18218382699098</v>
      </c>
      <c r="W833" s="26" t="s">
        <v>29</v>
      </c>
    </row>
    <row r="834" spans="1:23" ht="89.25" x14ac:dyDescent="0.25">
      <c r="A834" s="17">
        <f t="shared" ca="1" si="119"/>
        <v>830</v>
      </c>
      <c r="B834" s="18" t="s">
        <v>1453</v>
      </c>
      <c r="C834" s="18" t="s">
        <v>1687</v>
      </c>
      <c r="D834" s="18"/>
      <c r="E834" s="18"/>
      <c r="F834" s="18"/>
      <c r="G834" s="18"/>
      <c r="H834" s="19" t="s">
        <v>1688</v>
      </c>
      <c r="I834" s="18" t="s">
        <v>104</v>
      </c>
      <c r="J834" s="20">
        <v>1</v>
      </c>
      <c r="K834" s="20">
        <v>1.1499999999999999</v>
      </c>
      <c r="L834" s="21" t="s">
        <v>28</v>
      </c>
      <c r="M834" s="22">
        <v>0.16160000000000002</v>
      </c>
      <c r="N834" s="22">
        <v>1.5399999999999999E-2</v>
      </c>
      <c r="O834" s="22">
        <v>1052.3689999999999</v>
      </c>
      <c r="P834" s="22">
        <f t="shared" si="121"/>
        <v>195.57225495999998</v>
      </c>
      <c r="Q834" s="22">
        <v>2757.7041798239825</v>
      </c>
      <c r="R834" s="22">
        <f t="shared" si="122"/>
        <v>48.838941024682725</v>
      </c>
      <c r="S834" s="22">
        <f t="shared" si="123"/>
        <v>244.41119598468271</v>
      </c>
      <c r="T834" s="23">
        <v>0.55859868298040061</v>
      </c>
      <c r="U834" s="24">
        <v>0.1</v>
      </c>
      <c r="V834" s="25">
        <f t="shared" si="120"/>
        <v>419.03286498413019</v>
      </c>
      <c r="W834" s="26" t="s">
        <v>29</v>
      </c>
    </row>
    <row r="835" spans="1:23" ht="89.25" x14ac:dyDescent="0.25">
      <c r="A835" s="17">
        <f t="shared" ref="A835:A898" ca="1" si="124">CELL("строка",A835)-4</f>
        <v>831</v>
      </c>
      <c r="B835" s="18" t="s">
        <v>1453</v>
      </c>
      <c r="C835" s="18" t="s">
        <v>1689</v>
      </c>
      <c r="D835" s="18"/>
      <c r="E835" s="18"/>
      <c r="F835" s="18"/>
      <c r="G835" s="18"/>
      <c r="H835" s="19" t="s">
        <v>1690</v>
      </c>
      <c r="I835" s="18" t="s">
        <v>104</v>
      </c>
      <c r="J835" s="20">
        <v>1</v>
      </c>
      <c r="K835" s="20">
        <v>1.1499999999999999</v>
      </c>
      <c r="L835" s="21" t="s">
        <v>28</v>
      </c>
      <c r="M835" s="22">
        <v>0.15040000000000001</v>
      </c>
      <c r="N835" s="22">
        <v>1.3999999999999997E-2</v>
      </c>
      <c r="O835" s="22">
        <v>1052.3689999999999</v>
      </c>
      <c r="P835" s="22">
        <f t="shared" si="121"/>
        <v>182.01774223999999</v>
      </c>
      <c r="Q835" s="22">
        <v>2757.7041798239825</v>
      </c>
      <c r="R835" s="22">
        <f t="shared" si="122"/>
        <v>44.399037295166103</v>
      </c>
      <c r="S835" s="22">
        <f t="shared" si="123"/>
        <v>226.41677953516609</v>
      </c>
      <c r="T835" s="23">
        <v>0.55859868298040061</v>
      </c>
      <c r="U835" s="24">
        <v>0.1</v>
      </c>
      <c r="V835" s="25">
        <f t="shared" si="120"/>
        <v>388.18218382699098</v>
      </c>
      <c r="W835" s="26" t="s">
        <v>29</v>
      </c>
    </row>
    <row r="836" spans="1:23" ht="89.25" x14ac:dyDescent="0.25">
      <c r="A836" s="17">
        <f t="shared" ca="1" si="124"/>
        <v>832</v>
      </c>
      <c r="B836" s="18" t="s">
        <v>1453</v>
      </c>
      <c r="C836" s="18" t="s">
        <v>1691</v>
      </c>
      <c r="D836" s="18"/>
      <c r="E836" s="18"/>
      <c r="F836" s="18"/>
      <c r="G836" s="18"/>
      <c r="H836" s="19" t="s">
        <v>1692</v>
      </c>
      <c r="I836" s="18" t="s">
        <v>104</v>
      </c>
      <c r="J836" s="20">
        <v>1</v>
      </c>
      <c r="K836" s="20">
        <v>1.1499999999999999</v>
      </c>
      <c r="L836" s="21" t="s">
        <v>28</v>
      </c>
      <c r="M836" s="22">
        <v>0.16160000000000002</v>
      </c>
      <c r="N836" s="22">
        <v>1.5399999999999999E-2</v>
      </c>
      <c r="O836" s="22">
        <v>1052.3689999999999</v>
      </c>
      <c r="P836" s="22">
        <f t="shared" si="121"/>
        <v>195.57225495999998</v>
      </c>
      <c r="Q836" s="22">
        <v>2757.7041798239825</v>
      </c>
      <c r="R836" s="22">
        <f t="shared" si="122"/>
        <v>48.838941024682725</v>
      </c>
      <c r="S836" s="22">
        <f t="shared" si="123"/>
        <v>244.41119598468271</v>
      </c>
      <c r="T836" s="23">
        <v>0.55859868298040061</v>
      </c>
      <c r="U836" s="24">
        <v>0.1</v>
      </c>
      <c r="V836" s="25">
        <f t="shared" si="120"/>
        <v>419.03286498413019</v>
      </c>
      <c r="W836" s="26" t="s">
        <v>29</v>
      </c>
    </row>
    <row r="837" spans="1:23" ht="89.25" x14ac:dyDescent="0.25">
      <c r="A837" s="17">
        <f t="shared" ca="1" si="124"/>
        <v>833</v>
      </c>
      <c r="B837" s="18" t="s">
        <v>1453</v>
      </c>
      <c r="C837" s="18" t="s">
        <v>1693</v>
      </c>
      <c r="D837" s="18"/>
      <c r="E837" s="18"/>
      <c r="F837" s="18"/>
      <c r="G837" s="18"/>
      <c r="H837" s="19" t="s">
        <v>1694</v>
      </c>
      <c r="I837" s="18" t="s">
        <v>104</v>
      </c>
      <c r="J837" s="20">
        <v>1</v>
      </c>
      <c r="K837" s="20">
        <v>1.1499999999999999</v>
      </c>
      <c r="L837" s="21" t="s">
        <v>28</v>
      </c>
      <c r="M837" s="22">
        <v>0.16160000000000002</v>
      </c>
      <c r="N837" s="22">
        <v>1.5399999999999999E-2</v>
      </c>
      <c r="O837" s="22">
        <v>1052.3689999999999</v>
      </c>
      <c r="P837" s="22">
        <f t="shared" si="121"/>
        <v>195.57225495999998</v>
      </c>
      <c r="Q837" s="22">
        <v>2757.7041798239825</v>
      </c>
      <c r="R837" s="22">
        <f t="shared" si="122"/>
        <v>48.838941024682725</v>
      </c>
      <c r="S837" s="22">
        <f t="shared" si="123"/>
        <v>244.41119598468271</v>
      </c>
      <c r="T837" s="23">
        <v>0.55859868298040061</v>
      </c>
      <c r="U837" s="24">
        <v>0.1</v>
      </c>
      <c r="V837" s="25">
        <f t="shared" si="120"/>
        <v>419.03286498413019</v>
      </c>
      <c r="W837" s="26" t="s">
        <v>29</v>
      </c>
    </row>
    <row r="838" spans="1:23" ht="89.25" x14ac:dyDescent="0.25">
      <c r="A838" s="17">
        <f t="shared" ca="1" si="124"/>
        <v>834</v>
      </c>
      <c r="B838" s="18" t="s">
        <v>1453</v>
      </c>
      <c r="C838" s="18" t="s">
        <v>1695</v>
      </c>
      <c r="D838" s="18"/>
      <c r="E838" s="18"/>
      <c r="F838" s="18"/>
      <c r="G838" s="18"/>
      <c r="H838" s="19" t="s">
        <v>1696</v>
      </c>
      <c r="I838" s="18" t="s">
        <v>104</v>
      </c>
      <c r="J838" s="20">
        <v>1</v>
      </c>
      <c r="K838" s="20">
        <v>1.1499999999999999</v>
      </c>
      <c r="L838" s="21" t="s">
        <v>28</v>
      </c>
      <c r="M838" s="22">
        <v>0.192</v>
      </c>
      <c r="N838" s="22">
        <v>1.54E-2</v>
      </c>
      <c r="O838" s="22">
        <v>1052.3689999999999</v>
      </c>
      <c r="P838" s="22">
        <f t="shared" si="121"/>
        <v>232.36307519999997</v>
      </c>
      <c r="Q838" s="22">
        <v>2757.7041798239825</v>
      </c>
      <c r="R838" s="22">
        <f t="shared" si="122"/>
        <v>48.838941024682725</v>
      </c>
      <c r="S838" s="22">
        <f t="shared" si="123"/>
        <v>281.20201622468267</v>
      </c>
      <c r="T838" s="23">
        <v>0.55859868298040061</v>
      </c>
      <c r="U838" s="24">
        <v>0.1</v>
      </c>
      <c r="V838" s="25">
        <f t="shared" si="120"/>
        <v>482.10920135314609</v>
      </c>
      <c r="W838" s="26" t="s">
        <v>29</v>
      </c>
    </row>
    <row r="839" spans="1:23" ht="89.25" x14ac:dyDescent="0.25">
      <c r="A839" s="17">
        <f t="shared" ca="1" si="124"/>
        <v>835</v>
      </c>
      <c r="B839" s="18" t="s">
        <v>1453</v>
      </c>
      <c r="C839" s="18" t="s">
        <v>1697</v>
      </c>
      <c r="D839" s="18"/>
      <c r="E839" s="18"/>
      <c r="F839" s="18"/>
      <c r="G839" s="18"/>
      <c r="H839" s="19" t="s">
        <v>1698</v>
      </c>
      <c r="I839" s="18" t="s">
        <v>104</v>
      </c>
      <c r="J839" s="20">
        <v>1</v>
      </c>
      <c r="K839" s="20">
        <v>1.1499999999999999</v>
      </c>
      <c r="L839" s="21" t="s">
        <v>28</v>
      </c>
      <c r="M839" s="22">
        <v>0.16160000000000002</v>
      </c>
      <c r="N839" s="22">
        <v>1.5399999999999999E-2</v>
      </c>
      <c r="O839" s="22">
        <v>1052.3689999999999</v>
      </c>
      <c r="P839" s="22">
        <f t="shared" si="121"/>
        <v>195.57225495999998</v>
      </c>
      <c r="Q839" s="22">
        <v>2757.7041798239825</v>
      </c>
      <c r="R839" s="22">
        <f t="shared" si="122"/>
        <v>48.838941024682725</v>
      </c>
      <c r="S839" s="22">
        <f t="shared" si="123"/>
        <v>244.41119598468271</v>
      </c>
      <c r="T839" s="23">
        <v>0.55859868298040061</v>
      </c>
      <c r="U839" s="24">
        <v>0.1</v>
      </c>
      <c r="V839" s="25">
        <f t="shared" si="120"/>
        <v>419.03286498413019</v>
      </c>
      <c r="W839" s="26" t="s">
        <v>29</v>
      </c>
    </row>
    <row r="840" spans="1:23" ht="89.25" x14ac:dyDescent="0.25">
      <c r="A840" s="17">
        <f t="shared" ca="1" si="124"/>
        <v>836</v>
      </c>
      <c r="B840" s="18" t="s">
        <v>1453</v>
      </c>
      <c r="C840" s="18" t="s">
        <v>1699</v>
      </c>
      <c r="D840" s="18"/>
      <c r="E840" s="18"/>
      <c r="F840" s="18"/>
      <c r="G840" s="18"/>
      <c r="H840" s="19" t="s">
        <v>1700</v>
      </c>
      <c r="I840" s="18" t="s">
        <v>104</v>
      </c>
      <c r="J840" s="20">
        <v>1</v>
      </c>
      <c r="K840" s="20">
        <v>1.1499999999999999</v>
      </c>
      <c r="L840" s="21" t="s">
        <v>28</v>
      </c>
      <c r="M840" s="22">
        <v>0.192</v>
      </c>
      <c r="N840" s="22">
        <v>1.54E-2</v>
      </c>
      <c r="O840" s="22">
        <v>1052.3689999999999</v>
      </c>
      <c r="P840" s="22">
        <f t="shared" si="121"/>
        <v>232.36307519999997</v>
      </c>
      <c r="Q840" s="22">
        <v>2757.7041798239825</v>
      </c>
      <c r="R840" s="22">
        <f t="shared" si="122"/>
        <v>48.838941024682725</v>
      </c>
      <c r="S840" s="22">
        <f t="shared" si="123"/>
        <v>281.20201622468267</v>
      </c>
      <c r="T840" s="23">
        <v>0.55859868298040061</v>
      </c>
      <c r="U840" s="24">
        <v>0.1</v>
      </c>
      <c r="V840" s="25">
        <f t="shared" si="120"/>
        <v>482.10920135314609</v>
      </c>
      <c r="W840" s="26" t="s">
        <v>29</v>
      </c>
    </row>
    <row r="841" spans="1:23" ht="89.25" x14ac:dyDescent="0.25">
      <c r="A841" s="17">
        <f t="shared" ca="1" si="124"/>
        <v>837</v>
      </c>
      <c r="B841" s="18" t="s">
        <v>1453</v>
      </c>
      <c r="C841" s="18" t="s">
        <v>1701</v>
      </c>
      <c r="D841" s="18"/>
      <c r="E841" s="18"/>
      <c r="F841" s="18"/>
      <c r="G841" s="18"/>
      <c r="H841" s="19" t="s">
        <v>1702</v>
      </c>
      <c r="I841" s="18" t="s">
        <v>104</v>
      </c>
      <c r="J841" s="20">
        <v>1</v>
      </c>
      <c r="K841" s="20">
        <v>1.1499999999999999</v>
      </c>
      <c r="L841" s="21" t="s">
        <v>28</v>
      </c>
      <c r="M841" s="22">
        <v>0.16160000000000002</v>
      </c>
      <c r="N841" s="22">
        <v>1.5399999999999999E-2</v>
      </c>
      <c r="O841" s="22">
        <v>1052.3689999999999</v>
      </c>
      <c r="P841" s="22">
        <f t="shared" si="121"/>
        <v>195.57225495999998</v>
      </c>
      <c r="Q841" s="22">
        <v>2757.7041798239825</v>
      </c>
      <c r="R841" s="22">
        <f t="shared" si="122"/>
        <v>48.838941024682725</v>
      </c>
      <c r="S841" s="22">
        <f t="shared" si="123"/>
        <v>244.41119598468271</v>
      </c>
      <c r="T841" s="23">
        <v>0.55859868298040061</v>
      </c>
      <c r="U841" s="24">
        <v>0.1</v>
      </c>
      <c r="V841" s="25">
        <f t="shared" si="120"/>
        <v>419.03286498413019</v>
      </c>
      <c r="W841" s="26" t="s">
        <v>29</v>
      </c>
    </row>
    <row r="842" spans="1:23" ht="89.25" x14ac:dyDescent="0.25">
      <c r="A842" s="17">
        <f t="shared" ca="1" si="124"/>
        <v>838</v>
      </c>
      <c r="B842" s="18" t="s">
        <v>1453</v>
      </c>
      <c r="C842" s="18" t="s">
        <v>1703</v>
      </c>
      <c r="D842" s="18"/>
      <c r="E842" s="18"/>
      <c r="F842" s="18"/>
      <c r="G842" s="18"/>
      <c r="H842" s="19" t="s">
        <v>1704</v>
      </c>
      <c r="I842" s="18" t="s">
        <v>104</v>
      </c>
      <c r="J842" s="20">
        <v>1</v>
      </c>
      <c r="K842" s="20">
        <v>1.1499999999999999</v>
      </c>
      <c r="L842" s="21" t="s">
        <v>28</v>
      </c>
      <c r="M842" s="22">
        <v>0.192</v>
      </c>
      <c r="N842" s="22">
        <v>1.54E-2</v>
      </c>
      <c r="O842" s="22">
        <v>1052.3689999999999</v>
      </c>
      <c r="P842" s="22">
        <f t="shared" si="121"/>
        <v>232.36307519999997</v>
      </c>
      <c r="Q842" s="22">
        <v>2757.7041798239825</v>
      </c>
      <c r="R842" s="22">
        <f t="shared" si="122"/>
        <v>48.838941024682725</v>
      </c>
      <c r="S842" s="22">
        <f t="shared" si="123"/>
        <v>281.20201622468267</v>
      </c>
      <c r="T842" s="23">
        <v>0.55859868298040061</v>
      </c>
      <c r="U842" s="24">
        <v>0.1</v>
      </c>
      <c r="V842" s="25">
        <f t="shared" si="120"/>
        <v>482.10920135314609</v>
      </c>
      <c r="W842" s="26" t="s">
        <v>29</v>
      </c>
    </row>
    <row r="843" spans="1:23" ht="89.25" x14ac:dyDescent="0.25">
      <c r="A843" s="17">
        <f t="shared" ca="1" si="124"/>
        <v>839</v>
      </c>
      <c r="B843" s="18" t="s">
        <v>1453</v>
      </c>
      <c r="C843" s="18" t="s">
        <v>1705</v>
      </c>
      <c r="D843" s="18"/>
      <c r="E843" s="18"/>
      <c r="F843" s="18"/>
      <c r="G843" s="18"/>
      <c r="H843" s="19" t="s">
        <v>1706</v>
      </c>
      <c r="I843" s="18" t="s">
        <v>104</v>
      </c>
      <c r="J843" s="20">
        <v>1</v>
      </c>
      <c r="K843" s="20">
        <v>1.1499999999999999</v>
      </c>
      <c r="L843" s="21" t="s">
        <v>28</v>
      </c>
      <c r="M843" s="22">
        <v>0.16160000000000002</v>
      </c>
      <c r="N843" s="22">
        <v>1.5399999999999999E-2</v>
      </c>
      <c r="O843" s="22">
        <v>1052.3689999999999</v>
      </c>
      <c r="P843" s="22">
        <f t="shared" si="121"/>
        <v>195.57225495999998</v>
      </c>
      <c r="Q843" s="22">
        <v>2757.7041798239825</v>
      </c>
      <c r="R843" s="22">
        <f t="shared" si="122"/>
        <v>48.838941024682725</v>
      </c>
      <c r="S843" s="22">
        <f t="shared" si="123"/>
        <v>244.41119598468271</v>
      </c>
      <c r="T843" s="23">
        <v>0.55859868298040061</v>
      </c>
      <c r="U843" s="24">
        <v>0.1</v>
      </c>
      <c r="V843" s="25">
        <f t="shared" si="120"/>
        <v>419.03286498413019</v>
      </c>
      <c r="W843" s="26" t="s">
        <v>29</v>
      </c>
    </row>
    <row r="844" spans="1:23" ht="89.25" x14ac:dyDescent="0.25">
      <c r="A844" s="17">
        <f t="shared" ca="1" si="124"/>
        <v>840</v>
      </c>
      <c r="B844" s="18" t="s">
        <v>1453</v>
      </c>
      <c r="C844" s="18" t="s">
        <v>1707</v>
      </c>
      <c r="D844" s="18"/>
      <c r="E844" s="18"/>
      <c r="F844" s="18"/>
      <c r="G844" s="18"/>
      <c r="H844" s="19" t="s">
        <v>1708</v>
      </c>
      <c r="I844" s="18" t="s">
        <v>104</v>
      </c>
      <c r="J844" s="20">
        <v>1</v>
      </c>
      <c r="K844" s="20">
        <v>1.1499999999999999</v>
      </c>
      <c r="L844" s="21" t="s">
        <v>28</v>
      </c>
      <c r="M844" s="22">
        <v>0.192</v>
      </c>
      <c r="N844" s="22">
        <v>1.54E-2</v>
      </c>
      <c r="O844" s="22">
        <v>1052.3689999999999</v>
      </c>
      <c r="P844" s="22">
        <f t="shared" si="121"/>
        <v>232.36307519999997</v>
      </c>
      <c r="Q844" s="22">
        <v>2757.7041798239825</v>
      </c>
      <c r="R844" s="22">
        <f t="shared" si="122"/>
        <v>48.838941024682725</v>
      </c>
      <c r="S844" s="22">
        <f t="shared" si="123"/>
        <v>281.20201622468267</v>
      </c>
      <c r="T844" s="23">
        <v>0.55859868298040061</v>
      </c>
      <c r="U844" s="24">
        <v>0.1</v>
      </c>
      <c r="V844" s="25">
        <f t="shared" si="120"/>
        <v>482.10920135314609</v>
      </c>
      <c r="W844" s="26" t="s">
        <v>29</v>
      </c>
    </row>
    <row r="845" spans="1:23" ht="89.25" x14ac:dyDescent="0.25">
      <c r="A845" s="17">
        <f t="shared" ca="1" si="124"/>
        <v>841</v>
      </c>
      <c r="B845" s="18" t="s">
        <v>1453</v>
      </c>
      <c r="C845" s="18" t="s">
        <v>1709</v>
      </c>
      <c r="D845" s="18"/>
      <c r="E845" s="18"/>
      <c r="F845" s="18"/>
      <c r="G845" s="18"/>
      <c r="H845" s="19" t="s">
        <v>1710</v>
      </c>
      <c r="I845" s="18" t="s">
        <v>104</v>
      </c>
      <c r="J845" s="20">
        <v>1</v>
      </c>
      <c r="K845" s="20">
        <v>1.1499999999999999</v>
      </c>
      <c r="L845" s="21" t="s">
        <v>28</v>
      </c>
      <c r="M845" s="22">
        <v>0.16160000000000002</v>
      </c>
      <c r="N845" s="22">
        <v>1.5399999999999999E-2</v>
      </c>
      <c r="O845" s="22">
        <v>1052.3689999999999</v>
      </c>
      <c r="P845" s="22">
        <f t="shared" si="121"/>
        <v>195.57225495999998</v>
      </c>
      <c r="Q845" s="22">
        <v>2757.7041798239825</v>
      </c>
      <c r="R845" s="22">
        <f t="shared" si="122"/>
        <v>48.838941024682725</v>
      </c>
      <c r="S845" s="22">
        <f t="shared" si="123"/>
        <v>244.41119598468271</v>
      </c>
      <c r="T845" s="23">
        <v>0.55859868298040061</v>
      </c>
      <c r="U845" s="24">
        <v>0.1</v>
      </c>
      <c r="V845" s="25">
        <f t="shared" si="120"/>
        <v>419.03286498413019</v>
      </c>
      <c r="W845" s="26" t="s">
        <v>29</v>
      </c>
    </row>
    <row r="846" spans="1:23" ht="89.25" x14ac:dyDescent="0.25">
      <c r="A846" s="17">
        <f t="shared" ca="1" si="124"/>
        <v>842</v>
      </c>
      <c r="B846" s="18" t="s">
        <v>1453</v>
      </c>
      <c r="C846" s="18" t="s">
        <v>1711</v>
      </c>
      <c r="D846" s="18"/>
      <c r="E846" s="18"/>
      <c r="F846" s="18"/>
      <c r="G846" s="18"/>
      <c r="H846" s="19" t="s">
        <v>1712</v>
      </c>
      <c r="I846" s="18" t="s">
        <v>104</v>
      </c>
      <c r="J846" s="20">
        <v>1</v>
      </c>
      <c r="K846" s="20">
        <v>1.1499999999999999</v>
      </c>
      <c r="L846" s="21" t="s">
        <v>28</v>
      </c>
      <c r="M846" s="22">
        <v>0.192</v>
      </c>
      <c r="N846" s="22">
        <v>1.54E-2</v>
      </c>
      <c r="O846" s="22">
        <v>1052.3689999999999</v>
      </c>
      <c r="P846" s="22">
        <f t="shared" si="121"/>
        <v>232.36307519999997</v>
      </c>
      <c r="Q846" s="22">
        <v>2757.7041798239825</v>
      </c>
      <c r="R846" s="22">
        <f t="shared" si="122"/>
        <v>48.838941024682725</v>
      </c>
      <c r="S846" s="22">
        <f t="shared" si="123"/>
        <v>281.20201622468267</v>
      </c>
      <c r="T846" s="23">
        <v>0.55859868298040061</v>
      </c>
      <c r="U846" s="24">
        <v>0.1</v>
      </c>
      <c r="V846" s="25">
        <f t="shared" si="120"/>
        <v>482.10920135314609</v>
      </c>
      <c r="W846" s="26" t="s">
        <v>29</v>
      </c>
    </row>
    <row r="847" spans="1:23" ht="89.25" x14ac:dyDescent="0.25">
      <c r="A847" s="17">
        <f t="shared" ca="1" si="124"/>
        <v>843</v>
      </c>
      <c r="B847" s="18" t="s">
        <v>1453</v>
      </c>
      <c r="C847" s="18" t="s">
        <v>1713</v>
      </c>
      <c r="D847" s="18"/>
      <c r="E847" s="18"/>
      <c r="F847" s="18"/>
      <c r="G847" s="18"/>
      <c r="H847" s="19" t="s">
        <v>1714</v>
      </c>
      <c r="I847" s="18" t="s">
        <v>104</v>
      </c>
      <c r="J847" s="20">
        <v>1</v>
      </c>
      <c r="K847" s="20">
        <v>1.1499999999999999</v>
      </c>
      <c r="L847" s="21" t="s">
        <v>28</v>
      </c>
      <c r="M847" s="22">
        <v>0.16160000000000002</v>
      </c>
      <c r="N847" s="22">
        <v>1.5399999999999999E-2</v>
      </c>
      <c r="O847" s="22">
        <v>1052.3689999999999</v>
      </c>
      <c r="P847" s="22">
        <f t="shared" si="121"/>
        <v>195.57225495999998</v>
      </c>
      <c r="Q847" s="22">
        <v>2757.7041798239825</v>
      </c>
      <c r="R847" s="22">
        <f t="shared" si="122"/>
        <v>48.838941024682725</v>
      </c>
      <c r="S847" s="22">
        <f t="shared" si="123"/>
        <v>244.41119598468271</v>
      </c>
      <c r="T847" s="23">
        <v>0.55859868298040061</v>
      </c>
      <c r="U847" s="24">
        <v>0.1</v>
      </c>
      <c r="V847" s="25">
        <f t="shared" si="120"/>
        <v>419.03286498413019</v>
      </c>
      <c r="W847" s="26" t="s">
        <v>29</v>
      </c>
    </row>
    <row r="848" spans="1:23" ht="89.25" x14ac:dyDescent="0.25">
      <c r="A848" s="17">
        <f t="shared" ca="1" si="124"/>
        <v>844</v>
      </c>
      <c r="B848" s="18" t="s">
        <v>1453</v>
      </c>
      <c r="C848" s="18" t="s">
        <v>1715</v>
      </c>
      <c r="D848" s="18"/>
      <c r="E848" s="18"/>
      <c r="F848" s="18"/>
      <c r="G848" s="18"/>
      <c r="H848" s="19" t="s">
        <v>1716</v>
      </c>
      <c r="I848" s="18" t="s">
        <v>104</v>
      </c>
      <c r="J848" s="20">
        <v>1</v>
      </c>
      <c r="K848" s="20">
        <v>1.1499999999999999</v>
      </c>
      <c r="L848" s="21" t="s">
        <v>28</v>
      </c>
      <c r="M848" s="22">
        <v>0.19840000000000002</v>
      </c>
      <c r="N848" s="22">
        <v>1.7499999999999998E-2</v>
      </c>
      <c r="O848" s="22">
        <v>1052.3689999999999</v>
      </c>
      <c r="P848" s="22">
        <f t="shared" si="121"/>
        <v>240.10851104</v>
      </c>
      <c r="Q848" s="22">
        <v>2757.7041798239825</v>
      </c>
      <c r="R848" s="22">
        <f t="shared" si="122"/>
        <v>55.498796618957634</v>
      </c>
      <c r="S848" s="22">
        <f t="shared" si="123"/>
        <v>295.60730765895761</v>
      </c>
      <c r="T848" s="23">
        <v>0.55859868298040061</v>
      </c>
      <c r="U848" s="24">
        <v>0.1</v>
      </c>
      <c r="V848" s="25">
        <f t="shared" si="120"/>
        <v>506.80647643629675</v>
      </c>
      <c r="W848" s="26" t="s">
        <v>29</v>
      </c>
    </row>
    <row r="849" spans="1:23" x14ac:dyDescent="0.25">
      <c r="A849" s="12">
        <f t="shared" ca="1" si="124"/>
        <v>845</v>
      </c>
      <c r="B849" s="13" t="s">
        <v>1453</v>
      </c>
      <c r="C849" s="13" t="s">
        <v>1717</v>
      </c>
      <c r="D849" s="13"/>
      <c r="E849" s="13"/>
      <c r="F849" s="13"/>
      <c r="G849" s="13"/>
      <c r="H849" s="15" t="s">
        <v>1718</v>
      </c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27"/>
      <c r="U849" s="16"/>
      <c r="V849" s="13"/>
      <c r="W849" s="13"/>
    </row>
    <row r="850" spans="1:23" ht="89.25" x14ac:dyDescent="0.25">
      <c r="A850" s="17">
        <f t="shared" ca="1" si="124"/>
        <v>846</v>
      </c>
      <c r="B850" s="18" t="s">
        <v>1453</v>
      </c>
      <c r="C850" s="18" t="s">
        <v>1719</v>
      </c>
      <c r="D850" s="18"/>
      <c r="E850" s="18"/>
      <c r="F850" s="18"/>
      <c r="G850" s="18"/>
      <c r="H850" s="19" t="s">
        <v>1720</v>
      </c>
      <c r="I850" s="18" t="s">
        <v>104</v>
      </c>
      <c r="J850" s="20">
        <v>1</v>
      </c>
      <c r="K850" s="20">
        <v>1.1499999999999999</v>
      </c>
      <c r="L850" s="21" t="s">
        <v>28</v>
      </c>
      <c r="M850" s="22">
        <v>0.20050000000000001</v>
      </c>
      <c r="N850" s="22">
        <v>4.011E-2</v>
      </c>
      <c r="O850" s="22">
        <v>1052.3689999999999</v>
      </c>
      <c r="P850" s="22">
        <f t="shared" si="121"/>
        <v>242.64998217499996</v>
      </c>
      <c r="Q850" s="22">
        <v>2757.7041798239825</v>
      </c>
      <c r="R850" s="22">
        <f t="shared" si="122"/>
        <v>127.20324185065093</v>
      </c>
      <c r="S850" s="22">
        <f t="shared" si="123"/>
        <v>369.85322402565089</v>
      </c>
      <c r="T850" s="23">
        <v>0.55859868298040061</v>
      </c>
      <c r="U850" s="24">
        <v>0.1</v>
      </c>
      <c r="V850" s="25">
        <f t="shared" ref="V850:V853" si="125">S850+S850*T850+(S850+S850*T850)*U850</f>
        <v>634.09802264867801</v>
      </c>
      <c r="W850" s="26" t="s">
        <v>29</v>
      </c>
    </row>
    <row r="851" spans="1:23" ht="89.25" x14ac:dyDescent="0.25">
      <c r="A851" s="17">
        <f t="shared" ca="1" si="124"/>
        <v>847</v>
      </c>
      <c r="B851" s="18" t="s">
        <v>1453</v>
      </c>
      <c r="C851" s="18" t="s">
        <v>1721</v>
      </c>
      <c r="D851" s="18"/>
      <c r="E851" s="18"/>
      <c r="F851" s="18"/>
      <c r="G851" s="18"/>
      <c r="H851" s="19" t="s">
        <v>1722</v>
      </c>
      <c r="I851" s="18" t="s">
        <v>104</v>
      </c>
      <c r="J851" s="20">
        <v>1</v>
      </c>
      <c r="K851" s="20">
        <v>1.1499999999999999</v>
      </c>
      <c r="L851" s="21" t="s">
        <v>28</v>
      </c>
      <c r="M851" s="22">
        <v>0.2198</v>
      </c>
      <c r="N851" s="22">
        <v>3.3424999999999996E-2</v>
      </c>
      <c r="O851" s="22">
        <v>1052.3689999999999</v>
      </c>
      <c r="P851" s="22">
        <f t="shared" si="121"/>
        <v>266.00731212999995</v>
      </c>
      <c r="Q851" s="22">
        <v>2757.7041798239825</v>
      </c>
      <c r="R851" s="22">
        <f t="shared" si="122"/>
        <v>106.00270154220908</v>
      </c>
      <c r="S851" s="22">
        <f t="shared" si="123"/>
        <v>372.01001367220903</v>
      </c>
      <c r="T851" s="23">
        <v>0.55859868298040061</v>
      </c>
      <c r="U851" s="24">
        <v>0.1</v>
      </c>
      <c r="V851" s="25">
        <f t="shared" si="125"/>
        <v>637.79574910152837</v>
      </c>
      <c r="W851" s="26" t="s">
        <v>29</v>
      </c>
    </row>
    <row r="852" spans="1:23" ht="89.25" x14ac:dyDescent="0.25">
      <c r="A852" s="17">
        <f t="shared" ca="1" si="124"/>
        <v>848</v>
      </c>
      <c r="B852" s="18" t="s">
        <v>1453</v>
      </c>
      <c r="C852" s="18" t="s">
        <v>1723</v>
      </c>
      <c r="D852" s="18"/>
      <c r="E852" s="18"/>
      <c r="F852" s="18"/>
      <c r="G852" s="18"/>
      <c r="H852" s="19" t="s">
        <v>1724</v>
      </c>
      <c r="I852" s="18" t="s">
        <v>104</v>
      </c>
      <c r="J852" s="20">
        <v>1</v>
      </c>
      <c r="K852" s="20">
        <v>1.1499999999999999</v>
      </c>
      <c r="L852" s="21" t="s">
        <v>28</v>
      </c>
      <c r="M852" s="22">
        <v>0.25089999999999996</v>
      </c>
      <c r="N852" s="22">
        <v>3.3424999999999996E-2</v>
      </c>
      <c r="O852" s="22">
        <v>1052.3689999999999</v>
      </c>
      <c r="P852" s="22">
        <f t="shared" si="121"/>
        <v>303.64528941499992</v>
      </c>
      <c r="Q852" s="22">
        <v>2757.7041798239825</v>
      </c>
      <c r="R852" s="22">
        <f t="shared" si="122"/>
        <v>106.00270154220908</v>
      </c>
      <c r="S852" s="22">
        <f t="shared" si="123"/>
        <v>409.647990957209</v>
      </c>
      <c r="T852" s="23">
        <v>0.55859868298040061</v>
      </c>
      <c r="U852" s="24">
        <v>0.1</v>
      </c>
      <c r="V852" s="25">
        <f t="shared" si="125"/>
        <v>702.32450111062019</v>
      </c>
      <c r="W852" s="26" t="s">
        <v>29</v>
      </c>
    </row>
    <row r="853" spans="1:23" ht="89.25" x14ac:dyDescent="0.25">
      <c r="A853" s="17">
        <f t="shared" ca="1" si="124"/>
        <v>849</v>
      </c>
      <c r="B853" s="18" t="s">
        <v>1453</v>
      </c>
      <c r="C853" s="18" t="s">
        <v>1725</v>
      </c>
      <c r="D853" s="18"/>
      <c r="E853" s="18"/>
      <c r="F853" s="18"/>
      <c r="G853" s="18"/>
      <c r="H853" s="19" t="s">
        <v>1726</v>
      </c>
      <c r="I853" s="18" t="s">
        <v>104</v>
      </c>
      <c r="J853" s="20">
        <v>1</v>
      </c>
      <c r="K853" s="20">
        <v>1.1499999999999999</v>
      </c>
      <c r="L853" s="21" t="s">
        <v>28</v>
      </c>
      <c r="M853" s="22">
        <v>0.27439999999999998</v>
      </c>
      <c r="N853" s="22">
        <v>3.3424999999999996E-2</v>
      </c>
      <c r="O853" s="22">
        <v>1052.3689999999999</v>
      </c>
      <c r="P853" s="22">
        <f t="shared" si="121"/>
        <v>332.08556163999987</v>
      </c>
      <c r="Q853" s="22">
        <v>2757.7041798239825</v>
      </c>
      <c r="R853" s="22">
        <f t="shared" si="122"/>
        <v>106.00270154220908</v>
      </c>
      <c r="S853" s="22">
        <f t="shared" si="123"/>
        <v>438.08826318220895</v>
      </c>
      <c r="T853" s="23">
        <v>0.55859868298040061</v>
      </c>
      <c r="U853" s="24">
        <v>0.1</v>
      </c>
      <c r="V853" s="25">
        <f t="shared" si="125"/>
        <v>751.08416902745807</v>
      </c>
      <c r="W853" s="26" t="s">
        <v>29</v>
      </c>
    </row>
    <row r="854" spans="1:23" x14ac:dyDescent="0.25">
      <c r="A854" s="12">
        <f t="shared" ca="1" si="124"/>
        <v>850</v>
      </c>
      <c r="B854" s="13" t="s">
        <v>1453</v>
      </c>
      <c r="C854" s="13" t="s">
        <v>1727</v>
      </c>
      <c r="D854" s="13"/>
      <c r="E854" s="13"/>
      <c r="F854" s="13"/>
      <c r="G854" s="13"/>
      <c r="H854" s="15" t="s">
        <v>1728</v>
      </c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27"/>
      <c r="U854" s="16"/>
      <c r="V854" s="13"/>
      <c r="W854" s="13"/>
    </row>
    <row r="855" spans="1:23" ht="89.25" x14ac:dyDescent="0.25">
      <c r="A855" s="17">
        <f t="shared" ca="1" si="124"/>
        <v>851</v>
      </c>
      <c r="B855" s="18" t="s">
        <v>1453</v>
      </c>
      <c r="C855" s="18" t="s">
        <v>1729</v>
      </c>
      <c r="D855" s="18"/>
      <c r="E855" s="18"/>
      <c r="F855" s="18"/>
      <c r="G855" s="18"/>
      <c r="H855" s="19" t="s">
        <v>1730</v>
      </c>
      <c r="I855" s="18" t="s">
        <v>104</v>
      </c>
      <c r="J855" s="20">
        <v>1</v>
      </c>
      <c r="K855" s="20">
        <v>1.1499999999999999</v>
      </c>
      <c r="L855" s="21" t="s">
        <v>28</v>
      </c>
      <c r="M855" s="22">
        <v>0.20050000000000001</v>
      </c>
      <c r="N855" s="22">
        <v>3.3424999999999996E-2</v>
      </c>
      <c r="O855" s="22">
        <v>1052.3689999999999</v>
      </c>
      <c r="P855" s="22">
        <f t="shared" si="121"/>
        <v>242.64998217499996</v>
      </c>
      <c r="Q855" s="22">
        <v>2757.7041798239825</v>
      </c>
      <c r="R855" s="22">
        <f t="shared" si="122"/>
        <v>106.00270154220908</v>
      </c>
      <c r="S855" s="22">
        <f t="shared" si="123"/>
        <v>348.65268371720902</v>
      </c>
      <c r="T855" s="23">
        <v>0.55859868298040061</v>
      </c>
      <c r="U855" s="24">
        <v>0.1</v>
      </c>
      <c r="V855" s="25">
        <f t="shared" ref="V855:V858" si="126">S855+S855*T855+(S855+S855*T855)*U855</f>
        <v>597.75057502514653</v>
      </c>
      <c r="W855" s="26" t="s">
        <v>29</v>
      </c>
    </row>
    <row r="856" spans="1:23" ht="89.25" x14ac:dyDescent="0.25">
      <c r="A856" s="17">
        <f t="shared" ca="1" si="124"/>
        <v>852</v>
      </c>
      <c r="B856" s="18" t="s">
        <v>1453</v>
      </c>
      <c r="C856" s="18" t="s">
        <v>1731</v>
      </c>
      <c r="D856" s="18"/>
      <c r="E856" s="18"/>
      <c r="F856" s="18"/>
      <c r="G856" s="18"/>
      <c r="H856" s="19" t="s">
        <v>1732</v>
      </c>
      <c r="I856" s="18" t="s">
        <v>104</v>
      </c>
      <c r="J856" s="20">
        <v>1</v>
      </c>
      <c r="K856" s="20">
        <v>1.1499999999999999</v>
      </c>
      <c r="L856" s="21" t="s">
        <v>28</v>
      </c>
      <c r="M856" s="22">
        <v>0.2198</v>
      </c>
      <c r="N856" s="22">
        <v>3.3424999999999996E-2</v>
      </c>
      <c r="O856" s="22">
        <v>1052.3689999999999</v>
      </c>
      <c r="P856" s="22">
        <f t="shared" si="121"/>
        <v>266.00731212999995</v>
      </c>
      <c r="Q856" s="22">
        <v>2757.7041798239825</v>
      </c>
      <c r="R856" s="22">
        <f t="shared" si="122"/>
        <v>106.00270154220908</v>
      </c>
      <c r="S856" s="22">
        <f t="shared" si="123"/>
        <v>372.01001367220903</v>
      </c>
      <c r="T856" s="23">
        <v>0.55859868298040061</v>
      </c>
      <c r="U856" s="24">
        <v>0.1</v>
      </c>
      <c r="V856" s="25">
        <f t="shared" si="126"/>
        <v>637.79574910152837</v>
      </c>
      <c r="W856" s="26" t="s">
        <v>29</v>
      </c>
    </row>
    <row r="857" spans="1:23" ht="89.25" x14ac:dyDescent="0.25">
      <c r="A857" s="17">
        <f t="shared" ca="1" si="124"/>
        <v>853</v>
      </c>
      <c r="B857" s="18" t="s">
        <v>1453</v>
      </c>
      <c r="C857" s="18" t="s">
        <v>1733</v>
      </c>
      <c r="D857" s="18"/>
      <c r="E857" s="18"/>
      <c r="F857" s="18"/>
      <c r="G857" s="18"/>
      <c r="H857" s="19" t="s">
        <v>1734</v>
      </c>
      <c r="I857" s="18" t="s">
        <v>104</v>
      </c>
      <c r="J857" s="20">
        <v>1</v>
      </c>
      <c r="K857" s="20">
        <v>1.1499999999999999</v>
      </c>
      <c r="L857" s="21" t="s">
        <v>28</v>
      </c>
      <c r="M857" s="22">
        <v>0.25089999999999996</v>
      </c>
      <c r="N857" s="22">
        <v>3.3424999999999996E-2</v>
      </c>
      <c r="O857" s="22">
        <v>1052.3689999999999</v>
      </c>
      <c r="P857" s="22">
        <f t="shared" si="121"/>
        <v>303.64528941499992</v>
      </c>
      <c r="Q857" s="22">
        <v>2757.7041798239825</v>
      </c>
      <c r="R857" s="22">
        <f t="shared" si="122"/>
        <v>106.00270154220908</v>
      </c>
      <c r="S857" s="22">
        <f t="shared" si="123"/>
        <v>409.647990957209</v>
      </c>
      <c r="T857" s="23">
        <v>0.55859868298040061</v>
      </c>
      <c r="U857" s="24">
        <v>0.1</v>
      </c>
      <c r="V857" s="25">
        <f t="shared" si="126"/>
        <v>702.32450111062019</v>
      </c>
      <c r="W857" s="26" t="s">
        <v>29</v>
      </c>
    </row>
    <row r="858" spans="1:23" ht="89.25" x14ac:dyDescent="0.25">
      <c r="A858" s="17">
        <f t="shared" ca="1" si="124"/>
        <v>854</v>
      </c>
      <c r="B858" s="18" t="s">
        <v>1453</v>
      </c>
      <c r="C858" s="18" t="s">
        <v>1735</v>
      </c>
      <c r="D858" s="18"/>
      <c r="E858" s="18"/>
      <c r="F858" s="18"/>
      <c r="G858" s="18"/>
      <c r="H858" s="19" t="s">
        <v>1736</v>
      </c>
      <c r="I858" s="18" t="s">
        <v>104</v>
      </c>
      <c r="J858" s="20">
        <v>1</v>
      </c>
      <c r="K858" s="20">
        <v>1.1499999999999999</v>
      </c>
      <c r="L858" s="21" t="s">
        <v>28</v>
      </c>
      <c r="M858" s="22">
        <v>0.27439999999999998</v>
      </c>
      <c r="N858" s="22">
        <v>3.3424999999999996E-2</v>
      </c>
      <c r="O858" s="22">
        <v>1052.3689999999999</v>
      </c>
      <c r="P858" s="22">
        <f t="shared" si="121"/>
        <v>332.08556163999987</v>
      </c>
      <c r="Q858" s="22">
        <v>2757.7041798239825</v>
      </c>
      <c r="R858" s="22">
        <f t="shared" si="122"/>
        <v>106.00270154220908</v>
      </c>
      <c r="S858" s="22">
        <f t="shared" si="123"/>
        <v>438.08826318220895</v>
      </c>
      <c r="T858" s="23">
        <v>0.55859868298040061</v>
      </c>
      <c r="U858" s="24">
        <v>0.1</v>
      </c>
      <c r="V858" s="25">
        <f t="shared" si="126"/>
        <v>751.08416902745807</v>
      </c>
      <c r="W858" s="26" t="s">
        <v>29</v>
      </c>
    </row>
    <row r="859" spans="1:23" x14ac:dyDescent="0.25">
      <c r="A859" s="12">
        <f t="shared" ca="1" si="124"/>
        <v>855</v>
      </c>
      <c r="B859" s="13" t="s">
        <v>1453</v>
      </c>
      <c r="C859" s="13" t="s">
        <v>1737</v>
      </c>
      <c r="D859" s="13"/>
      <c r="E859" s="13"/>
      <c r="F859" s="13"/>
      <c r="G859" s="13"/>
      <c r="H859" s="15" t="s">
        <v>1738</v>
      </c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27"/>
      <c r="U859" s="16"/>
      <c r="V859" s="13"/>
      <c r="W859" s="13"/>
    </row>
    <row r="860" spans="1:23" ht="89.25" x14ac:dyDescent="0.25">
      <c r="A860" s="17">
        <f t="shared" ca="1" si="124"/>
        <v>856</v>
      </c>
      <c r="B860" s="18" t="s">
        <v>1453</v>
      </c>
      <c r="C860" s="18" t="s">
        <v>1739</v>
      </c>
      <c r="D860" s="18"/>
      <c r="E860" s="18"/>
      <c r="F860" s="18"/>
      <c r="G860" s="18"/>
      <c r="H860" s="19" t="s">
        <v>1740</v>
      </c>
      <c r="I860" s="18" t="s">
        <v>104</v>
      </c>
      <c r="J860" s="20">
        <v>1</v>
      </c>
      <c r="K860" s="20">
        <v>1.1499999999999999</v>
      </c>
      <c r="L860" s="21" t="s">
        <v>28</v>
      </c>
      <c r="M860" s="22">
        <v>0.19525000000000003</v>
      </c>
      <c r="N860" s="22">
        <v>7.0000000000000007E-2</v>
      </c>
      <c r="O860" s="22">
        <v>1052.3689999999999</v>
      </c>
      <c r="P860" s="22">
        <f t="shared" si="121"/>
        <v>236.2963043375</v>
      </c>
      <c r="Q860" s="22">
        <v>2757.7041798239825</v>
      </c>
      <c r="R860" s="22">
        <f t="shared" si="122"/>
        <v>221.99518647583059</v>
      </c>
      <c r="S860" s="22">
        <f t="shared" si="123"/>
        <v>458.2914908133306</v>
      </c>
      <c r="T860" s="23">
        <v>0.55859868298040061</v>
      </c>
      <c r="U860" s="24">
        <v>0.1</v>
      </c>
      <c r="V860" s="25">
        <f t="shared" ref="V860:V863" si="127">S860+S860*T860+(S860+S860*T860)*U860</f>
        <v>785.72176540305963</v>
      </c>
      <c r="W860" s="26" t="s">
        <v>29</v>
      </c>
    </row>
    <row r="861" spans="1:23" ht="89.25" x14ac:dyDescent="0.25">
      <c r="A861" s="17">
        <f t="shared" ca="1" si="124"/>
        <v>857</v>
      </c>
      <c r="B861" s="18" t="s">
        <v>1453</v>
      </c>
      <c r="C861" s="18" t="s">
        <v>1741</v>
      </c>
      <c r="D861" s="18"/>
      <c r="E861" s="18"/>
      <c r="F861" s="18"/>
      <c r="G861" s="18"/>
      <c r="H861" s="19" t="s">
        <v>1742</v>
      </c>
      <c r="I861" s="18" t="s">
        <v>104</v>
      </c>
      <c r="J861" s="20">
        <v>1</v>
      </c>
      <c r="K861" s="20">
        <v>1.1499999999999999</v>
      </c>
      <c r="L861" s="21" t="s">
        <v>28</v>
      </c>
      <c r="M861" s="22">
        <v>0.2049</v>
      </c>
      <c r="N861" s="22">
        <v>7.0000000000000007E-2</v>
      </c>
      <c r="O861" s="22">
        <v>1052.3689999999999</v>
      </c>
      <c r="P861" s="22">
        <f t="shared" si="121"/>
        <v>247.97496931499995</v>
      </c>
      <c r="Q861" s="22">
        <v>2757.7041798239825</v>
      </c>
      <c r="R861" s="22">
        <f t="shared" si="122"/>
        <v>221.99518647583059</v>
      </c>
      <c r="S861" s="22">
        <f t="shared" si="123"/>
        <v>469.97015579083052</v>
      </c>
      <c r="T861" s="23">
        <v>0.55859868298040061</v>
      </c>
      <c r="U861" s="24">
        <v>0.1</v>
      </c>
      <c r="V861" s="25">
        <f t="shared" si="127"/>
        <v>805.74435244125027</v>
      </c>
      <c r="W861" s="26" t="s">
        <v>29</v>
      </c>
    </row>
    <row r="862" spans="1:23" ht="89.25" x14ac:dyDescent="0.25">
      <c r="A862" s="17">
        <f t="shared" ca="1" si="124"/>
        <v>858</v>
      </c>
      <c r="B862" s="18" t="s">
        <v>1453</v>
      </c>
      <c r="C862" s="18" t="s">
        <v>1743</v>
      </c>
      <c r="D862" s="18"/>
      <c r="E862" s="18"/>
      <c r="F862" s="18"/>
      <c r="G862" s="18"/>
      <c r="H862" s="19" t="s">
        <v>1744</v>
      </c>
      <c r="I862" s="18" t="s">
        <v>104</v>
      </c>
      <c r="J862" s="20">
        <v>1</v>
      </c>
      <c r="K862" s="20">
        <v>1.1499999999999999</v>
      </c>
      <c r="L862" s="21" t="s">
        <v>28</v>
      </c>
      <c r="M862" s="22">
        <v>0.20369999999999999</v>
      </c>
      <c r="N862" s="22">
        <v>7.0000000000000007E-2</v>
      </c>
      <c r="O862" s="22">
        <v>1052.3689999999999</v>
      </c>
      <c r="P862" s="22">
        <f t="shared" si="121"/>
        <v>246.52270009499995</v>
      </c>
      <c r="Q862" s="22">
        <v>2757.7041798239825</v>
      </c>
      <c r="R862" s="22">
        <f t="shared" si="122"/>
        <v>221.99518647583059</v>
      </c>
      <c r="S862" s="22">
        <f t="shared" si="123"/>
        <v>468.51788657083057</v>
      </c>
      <c r="T862" s="23">
        <v>0.55859868298040061</v>
      </c>
      <c r="U862" s="24">
        <v>0.1</v>
      </c>
      <c r="V862" s="25">
        <f t="shared" si="127"/>
        <v>803.25449705826293</v>
      </c>
      <c r="W862" s="26" t="s">
        <v>29</v>
      </c>
    </row>
    <row r="863" spans="1:23" ht="89.25" x14ac:dyDescent="0.25">
      <c r="A863" s="17">
        <f t="shared" ca="1" si="124"/>
        <v>859</v>
      </c>
      <c r="B863" s="18" t="s">
        <v>1453</v>
      </c>
      <c r="C863" s="18" t="s">
        <v>1745</v>
      </c>
      <c r="D863" s="18"/>
      <c r="E863" s="18"/>
      <c r="F863" s="18"/>
      <c r="G863" s="18"/>
      <c r="H863" s="19" t="s">
        <v>1746</v>
      </c>
      <c r="I863" s="18" t="s">
        <v>104</v>
      </c>
      <c r="J863" s="20">
        <v>1</v>
      </c>
      <c r="K863" s="20">
        <v>1.1499999999999999</v>
      </c>
      <c r="L863" s="21" t="s">
        <v>28</v>
      </c>
      <c r="M863" s="22">
        <v>0.21532000000000001</v>
      </c>
      <c r="N863" s="22">
        <v>7.0000000000000007E-2</v>
      </c>
      <c r="O863" s="22">
        <v>1052.3689999999999</v>
      </c>
      <c r="P863" s="22">
        <f t="shared" si="121"/>
        <v>260.58550704199996</v>
      </c>
      <c r="Q863" s="22">
        <v>2757.7041798239825</v>
      </c>
      <c r="R863" s="22">
        <f t="shared" si="122"/>
        <v>221.99518647583059</v>
      </c>
      <c r="S863" s="22">
        <f t="shared" si="123"/>
        <v>482.58069351783058</v>
      </c>
      <c r="T863" s="23">
        <v>0.55859868298040061</v>
      </c>
      <c r="U863" s="24">
        <v>0.1</v>
      </c>
      <c r="V863" s="25">
        <f t="shared" si="127"/>
        <v>827.36459668352506</v>
      </c>
      <c r="W863" s="26" t="s">
        <v>29</v>
      </c>
    </row>
    <row r="864" spans="1:23" x14ac:dyDescent="0.25">
      <c r="A864" s="12">
        <f t="shared" ca="1" si="124"/>
        <v>860</v>
      </c>
      <c r="B864" s="13" t="s">
        <v>1453</v>
      </c>
      <c r="C864" s="13" t="s">
        <v>1747</v>
      </c>
      <c r="D864" s="13"/>
      <c r="E864" s="13"/>
      <c r="F864" s="13"/>
      <c r="G864" s="13"/>
      <c r="H864" s="15" t="s">
        <v>1748</v>
      </c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27"/>
      <c r="U864" s="16"/>
      <c r="V864" s="13"/>
      <c r="W864" s="13"/>
    </row>
    <row r="865" spans="1:23" ht="89.25" x14ac:dyDescent="0.25">
      <c r="A865" s="17">
        <f t="shared" ca="1" si="124"/>
        <v>861</v>
      </c>
      <c r="B865" s="18" t="s">
        <v>1453</v>
      </c>
      <c r="C865" s="18" t="s">
        <v>1749</v>
      </c>
      <c r="D865" s="18"/>
      <c r="E865" s="18"/>
      <c r="F865" s="18"/>
      <c r="G865" s="18"/>
      <c r="H865" s="19" t="s">
        <v>1750</v>
      </c>
      <c r="I865" s="18" t="s">
        <v>104</v>
      </c>
      <c r="J865" s="20">
        <v>1</v>
      </c>
      <c r="K865" s="20">
        <v>1.1499999999999999</v>
      </c>
      <c r="L865" s="21" t="s">
        <v>28</v>
      </c>
      <c r="M865" s="22">
        <v>0.19525000000000003</v>
      </c>
      <c r="N865" s="22">
        <v>7.0000000000000007E-2</v>
      </c>
      <c r="O865" s="22">
        <v>1052.3689999999999</v>
      </c>
      <c r="P865" s="22">
        <f t="shared" si="121"/>
        <v>236.2963043375</v>
      </c>
      <c r="Q865" s="22">
        <v>2757.7041798239825</v>
      </c>
      <c r="R865" s="22">
        <f t="shared" si="122"/>
        <v>221.99518647583059</v>
      </c>
      <c r="S865" s="22">
        <f t="shared" si="123"/>
        <v>458.2914908133306</v>
      </c>
      <c r="T865" s="23">
        <v>0.55859868298040061</v>
      </c>
      <c r="U865" s="24">
        <v>0.1</v>
      </c>
      <c r="V865" s="25">
        <f t="shared" ref="V865:V868" si="128">S865+S865*T865+(S865+S865*T865)*U865</f>
        <v>785.72176540305963</v>
      </c>
      <c r="W865" s="26" t="s">
        <v>29</v>
      </c>
    </row>
    <row r="866" spans="1:23" ht="89.25" x14ac:dyDescent="0.25">
      <c r="A866" s="17">
        <f t="shared" ca="1" si="124"/>
        <v>862</v>
      </c>
      <c r="B866" s="18" t="s">
        <v>1453</v>
      </c>
      <c r="C866" s="18" t="s">
        <v>1751</v>
      </c>
      <c r="D866" s="18"/>
      <c r="E866" s="18"/>
      <c r="F866" s="18"/>
      <c r="G866" s="18"/>
      <c r="H866" s="19" t="s">
        <v>1752</v>
      </c>
      <c r="I866" s="18" t="s">
        <v>104</v>
      </c>
      <c r="J866" s="20">
        <v>1</v>
      </c>
      <c r="K866" s="20">
        <v>1.1499999999999999</v>
      </c>
      <c r="L866" s="21" t="s">
        <v>28</v>
      </c>
      <c r="M866" s="22">
        <v>0.2049</v>
      </c>
      <c r="N866" s="22">
        <v>7.0000000000000007E-2</v>
      </c>
      <c r="O866" s="22">
        <v>1052.3689999999999</v>
      </c>
      <c r="P866" s="22">
        <f t="shared" si="121"/>
        <v>247.97496931499995</v>
      </c>
      <c r="Q866" s="22">
        <v>2757.7041798239825</v>
      </c>
      <c r="R866" s="22">
        <f t="shared" si="122"/>
        <v>221.99518647583059</v>
      </c>
      <c r="S866" s="22">
        <f t="shared" si="123"/>
        <v>469.97015579083052</v>
      </c>
      <c r="T866" s="23">
        <v>0.55859868298040061</v>
      </c>
      <c r="U866" s="24">
        <v>0.1</v>
      </c>
      <c r="V866" s="25">
        <f t="shared" si="128"/>
        <v>805.74435244125027</v>
      </c>
      <c r="W866" s="26" t="s">
        <v>29</v>
      </c>
    </row>
    <row r="867" spans="1:23" ht="89.25" x14ac:dyDescent="0.25">
      <c r="A867" s="17">
        <f t="shared" ca="1" si="124"/>
        <v>863</v>
      </c>
      <c r="B867" s="18" t="s">
        <v>1453</v>
      </c>
      <c r="C867" s="18" t="s">
        <v>1753</v>
      </c>
      <c r="D867" s="18"/>
      <c r="E867" s="18"/>
      <c r="F867" s="18"/>
      <c r="G867" s="18"/>
      <c r="H867" s="19" t="s">
        <v>1754</v>
      </c>
      <c r="I867" s="18" t="s">
        <v>104</v>
      </c>
      <c r="J867" s="20">
        <v>1</v>
      </c>
      <c r="K867" s="20">
        <v>1.1499999999999999</v>
      </c>
      <c r="L867" s="21" t="s">
        <v>28</v>
      </c>
      <c r="M867" s="22">
        <v>0.20369999999999999</v>
      </c>
      <c r="N867" s="22">
        <v>7.0000000000000007E-2</v>
      </c>
      <c r="O867" s="22">
        <v>1052.3689999999999</v>
      </c>
      <c r="P867" s="22">
        <f t="shared" si="121"/>
        <v>246.52270009499995</v>
      </c>
      <c r="Q867" s="22">
        <v>2757.7041798239825</v>
      </c>
      <c r="R867" s="22">
        <f t="shared" si="122"/>
        <v>221.99518647583059</v>
      </c>
      <c r="S867" s="22">
        <f t="shared" si="123"/>
        <v>468.51788657083057</v>
      </c>
      <c r="T867" s="23">
        <v>0.55859868298040061</v>
      </c>
      <c r="U867" s="24">
        <v>0.1</v>
      </c>
      <c r="V867" s="25">
        <f t="shared" si="128"/>
        <v>803.25449705826293</v>
      </c>
      <c r="W867" s="26" t="s">
        <v>29</v>
      </c>
    </row>
    <row r="868" spans="1:23" ht="89.25" x14ac:dyDescent="0.25">
      <c r="A868" s="17">
        <f t="shared" ca="1" si="124"/>
        <v>864</v>
      </c>
      <c r="B868" s="18" t="s">
        <v>1453</v>
      </c>
      <c r="C868" s="18" t="s">
        <v>1755</v>
      </c>
      <c r="D868" s="18"/>
      <c r="E868" s="18"/>
      <c r="F868" s="18"/>
      <c r="G868" s="18"/>
      <c r="H868" s="19" t="s">
        <v>1756</v>
      </c>
      <c r="I868" s="18" t="s">
        <v>104</v>
      </c>
      <c r="J868" s="20">
        <v>1</v>
      </c>
      <c r="K868" s="20">
        <v>1.1499999999999999</v>
      </c>
      <c r="L868" s="21" t="s">
        <v>28</v>
      </c>
      <c r="M868" s="22">
        <v>0.21532000000000001</v>
      </c>
      <c r="N868" s="22">
        <v>7.0000000000000007E-2</v>
      </c>
      <c r="O868" s="22">
        <v>1052.3689999999999</v>
      </c>
      <c r="P868" s="22">
        <f t="shared" si="121"/>
        <v>260.58550704199996</v>
      </c>
      <c r="Q868" s="22">
        <v>2757.7041798239825</v>
      </c>
      <c r="R868" s="22">
        <f t="shared" si="122"/>
        <v>221.99518647583059</v>
      </c>
      <c r="S868" s="22">
        <f t="shared" si="123"/>
        <v>482.58069351783058</v>
      </c>
      <c r="T868" s="23">
        <v>0.55859868298040061</v>
      </c>
      <c r="U868" s="24">
        <v>0.1</v>
      </c>
      <c r="V868" s="25">
        <f t="shared" si="128"/>
        <v>827.36459668352506</v>
      </c>
      <c r="W868" s="26" t="s">
        <v>29</v>
      </c>
    </row>
    <row r="869" spans="1:23" x14ac:dyDescent="0.25">
      <c r="A869" s="12">
        <f t="shared" ca="1" si="124"/>
        <v>865</v>
      </c>
      <c r="B869" s="13" t="s">
        <v>1453</v>
      </c>
      <c r="C869" s="13" t="s">
        <v>1757</v>
      </c>
      <c r="D869" s="13"/>
      <c r="E869" s="13"/>
      <c r="F869" s="13"/>
      <c r="G869" s="13"/>
      <c r="H869" s="15" t="s">
        <v>1758</v>
      </c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27"/>
      <c r="U869" s="16"/>
      <c r="V869" s="13"/>
      <c r="W869" s="13"/>
    </row>
    <row r="870" spans="1:23" ht="89.25" x14ac:dyDescent="0.25">
      <c r="A870" s="17">
        <f t="shared" ca="1" si="124"/>
        <v>866</v>
      </c>
      <c r="B870" s="18" t="s">
        <v>1453</v>
      </c>
      <c r="C870" s="18" t="s">
        <v>1759</v>
      </c>
      <c r="D870" s="18"/>
      <c r="E870" s="18"/>
      <c r="F870" s="18"/>
      <c r="G870" s="18"/>
      <c r="H870" s="19" t="s">
        <v>1760</v>
      </c>
      <c r="I870" s="18" t="s">
        <v>161</v>
      </c>
      <c r="J870" s="20">
        <v>1</v>
      </c>
      <c r="K870" s="20">
        <v>1.1499999999999999</v>
      </c>
      <c r="L870" s="21" t="s">
        <v>28</v>
      </c>
      <c r="M870" s="22">
        <v>0.54271999999999998</v>
      </c>
      <c r="N870" s="22">
        <v>0</v>
      </c>
      <c r="O870" s="22">
        <v>1052.3689999999999</v>
      </c>
      <c r="P870" s="22">
        <f t="shared" si="121"/>
        <v>656.81295923199991</v>
      </c>
      <c r="Q870" s="22">
        <v>2757.7041798239825</v>
      </c>
      <c r="R870" s="22">
        <f t="shared" si="122"/>
        <v>0</v>
      </c>
      <c r="S870" s="22">
        <f t="shared" si="123"/>
        <v>656.81295923199991</v>
      </c>
      <c r="T870" s="23">
        <v>0.55859868298040061</v>
      </c>
      <c r="U870" s="24">
        <v>0.1</v>
      </c>
      <c r="V870" s="25">
        <f t="shared" ref="V870:V876" si="129">S870+S870*T870+(S870+S870*T870)*U870</f>
        <v>1126.0785945458001</v>
      </c>
      <c r="W870" s="26" t="s">
        <v>29</v>
      </c>
    </row>
    <row r="871" spans="1:23" ht="89.25" x14ac:dyDescent="0.25">
      <c r="A871" s="17">
        <f t="shared" ca="1" si="124"/>
        <v>867</v>
      </c>
      <c r="B871" s="18" t="s">
        <v>1453</v>
      </c>
      <c r="C871" s="18" t="s">
        <v>1761</v>
      </c>
      <c r="D871" s="18"/>
      <c r="E871" s="18"/>
      <c r="F871" s="18"/>
      <c r="G871" s="18"/>
      <c r="H871" s="19" t="s">
        <v>1762</v>
      </c>
      <c r="I871" s="18" t="s">
        <v>161</v>
      </c>
      <c r="J871" s="20">
        <v>1</v>
      </c>
      <c r="K871" s="20">
        <v>1.1499999999999999</v>
      </c>
      <c r="L871" s="21" t="s">
        <v>28</v>
      </c>
      <c r="M871" s="22">
        <v>1.08544</v>
      </c>
      <c r="N871" s="22">
        <v>1.5216399295999999E-2</v>
      </c>
      <c r="O871" s="22">
        <v>1052.3689999999999</v>
      </c>
      <c r="P871" s="22">
        <f t="shared" si="121"/>
        <v>1313.6259184639998</v>
      </c>
      <c r="Q871" s="22">
        <v>2757.7041798239825</v>
      </c>
      <c r="R871" s="22">
        <f t="shared" si="122"/>
        <v>48.256677131517385</v>
      </c>
      <c r="S871" s="22">
        <f t="shared" si="123"/>
        <v>1361.8825955955172</v>
      </c>
      <c r="T871" s="23">
        <v>0.55859868298040061</v>
      </c>
      <c r="U871" s="24">
        <v>0.1</v>
      </c>
      <c r="V871" s="25">
        <f t="shared" si="129"/>
        <v>2334.891261856013</v>
      </c>
      <c r="W871" s="26" t="s">
        <v>29</v>
      </c>
    </row>
    <row r="872" spans="1:23" ht="89.25" x14ac:dyDescent="0.25">
      <c r="A872" s="17">
        <f t="shared" ca="1" si="124"/>
        <v>868</v>
      </c>
      <c r="B872" s="18" t="s">
        <v>1453</v>
      </c>
      <c r="C872" s="18" t="s">
        <v>1763</v>
      </c>
      <c r="D872" s="18"/>
      <c r="E872" s="18"/>
      <c r="F872" s="18"/>
      <c r="G872" s="18"/>
      <c r="H872" s="19" t="s">
        <v>1764</v>
      </c>
      <c r="I872" s="18" t="s">
        <v>161</v>
      </c>
      <c r="J872" s="20">
        <v>1</v>
      </c>
      <c r="K872" s="20">
        <v>1.1499999999999999</v>
      </c>
      <c r="L872" s="21" t="s">
        <v>28</v>
      </c>
      <c r="M872" s="22">
        <v>2.1708799999999999</v>
      </c>
      <c r="N872" s="22">
        <v>1.5216399295999999E-2</v>
      </c>
      <c r="O872" s="22">
        <v>1052.3689999999999</v>
      </c>
      <c r="P872" s="22">
        <f t="shared" si="121"/>
        <v>2627.2518369279996</v>
      </c>
      <c r="Q872" s="22">
        <v>2757.7041798239825</v>
      </c>
      <c r="R872" s="22">
        <f t="shared" si="122"/>
        <v>48.256677131517385</v>
      </c>
      <c r="S872" s="22">
        <f t="shared" si="123"/>
        <v>2675.508514059517</v>
      </c>
      <c r="T872" s="23">
        <v>0.55859868298040061</v>
      </c>
      <c r="U872" s="24">
        <v>0.1</v>
      </c>
      <c r="V872" s="25">
        <f t="shared" si="129"/>
        <v>4587.0484509476137</v>
      </c>
      <c r="W872" s="26" t="s">
        <v>29</v>
      </c>
    </row>
    <row r="873" spans="1:23" ht="89.25" x14ac:dyDescent="0.25">
      <c r="A873" s="17">
        <f t="shared" ca="1" si="124"/>
        <v>869</v>
      </c>
      <c r="B873" s="18" t="s">
        <v>1453</v>
      </c>
      <c r="C873" s="18" t="s">
        <v>1765</v>
      </c>
      <c r="D873" s="18"/>
      <c r="E873" s="18"/>
      <c r="F873" s="18"/>
      <c r="G873" s="18"/>
      <c r="H873" s="19" t="s">
        <v>1766</v>
      </c>
      <c r="I873" s="18" t="s">
        <v>161</v>
      </c>
      <c r="J873" s="20">
        <v>1</v>
      </c>
      <c r="K873" s="20">
        <v>1.1499999999999999</v>
      </c>
      <c r="L873" s="21" t="s">
        <v>28</v>
      </c>
      <c r="M873" s="22">
        <v>5.4272</v>
      </c>
      <c r="N873" s="22">
        <v>1.5216399295999999E-2</v>
      </c>
      <c r="O873" s="22">
        <v>1052.3689999999999</v>
      </c>
      <c r="P873" s="22">
        <f t="shared" si="121"/>
        <v>6568.1295923199987</v>
      </c>
      <c r="Q873" s="22">
        <v>2757.7041798239825</v>
      </c>
      <c r="R873" s="22">
        <f t="shared" si="122"/>
        <v>48.256677131517385</v>
      </c>
      <c r="S873" s="22">
        <f t="shared" si="123"/>
        <v>6616.3862694515165</v>
      </c>
      <c r="T873" s="23">
        <v>0.55859868298040061</v>
      </c>
      <c r="U873" s="24">
        <v>0.1</v>
      </c>
      <c r="V873" s="25">
        <f t="shared" si="129"/>
        <v>11343.520018222414</v>
      </c>
      <c r="W873" s="26" t="s">
        <v>29</v>
      </c>
    </row>
    <row r="874" spans="1:23" ht="89.25" x14ac:dyDescent="0.25">
      <c r="A874" s="17">
        <f t="shared" ca="1" si="124"/>
        <v>870</v>
      </c>
      <c r="B874" s="18" t="s">
        <v>1453</v>
      </c>
      <c r="C874" s="18" t="s">
        <v>1767</v>
      </c>
      <c r="D874" s="18"/>
      <c r="E874" s="18"/>
      <c r="F874" s="18"/>
      <c r="G874" s="18"/>
      <c r="H874" s="19" t="s">
        <v>1768</v>
      </c>
      <c r="I874" s="18" t="s">
        <v>161</v>
      </c>
      <c r="J874" s="20">
        <v>1</v>
      </c>
      <c r="K874" s="20">
        <v>1.1499999999999999</v>
      </c>
      <c r="L874" s="21" t="s">
        <v>28</v>
      </c>
      <c r="M874" s="22">
        <v>10.8544</v>
      </c>
      <c r="N874" s="22">
        <v>1.5216399295999999E-2</v>
      </c>
      <c r="O874" s="22">
        <v>1052.3689999999999</v>
      </c>
      <c r="P874" s="22">
        <f t="shared" si="121"/>
        <v>13136.259184639997</v>
      </c>
      <c r="Q874" s="22">
        <v>2757.7041798239825</v>
      </c>
      <c r="R874" s="22">
        <f t="shared" si="122"/>
        <v>48.256677131517385</v>
      </c>
      <c r="S874" s="22">
        <f t="shared" si="123"/>
        <v>13184.515861771515</v>
      </c>
      <c r="T874" s="23">
        <v>0.55859868298040061</v>
      </c>
      <c r="U874" s="24">
        <v>0.1</v>
      </c>
      <c r="V874" s="25">
        <f t="shared" si="129"/>
        <v>22604.305963680414</v>
      </c>
      <c r="W874" s="26" t="s">
        <v>29</v>
      </c>
    </row>
    <row r="875" spans="1:23" ht="89.25" x14ac:dyDescent="0.25">
      <c r="A875" s="17">
        <f t="shared" ca="1" si="124"/>
        <v>871</v>
      </c>
      <c r="B875" s="18" t="s">
        <v>1453</v>
      </c>
      <c r="C875" s="18" t="s">
        <v>1769</v>
      </c>
      <c r="D875" s="18"/>
      <c r="E875" s="18"/>
      <c r="F875" s="18"/>
      <c r="G875" s="18"/>
      <c r="H875" s="19" t="s">
        <v>1770</v>
      </c>
      <c r="I875" s="18" t="s">
        <v>161</v>
      </c>
      <c r="J875" s="20">
        <v>1</v>
      </c>
      <c r="K875" s="20">
        <v>1.1499999999999999</v>
      </c>
      <c r="L875" s="21" t="s">
        <v>28</v>
      </c>
      <c r="M875" s="22">
        <v>16.281600000000001</v>
      </c>
      <c r="N875" s="22">
        <v>1.5216399295999999E-2</v>
      </c>
      <c r="O875" s="22">
        <v>1052.3689999999999</v>
      </c>
      <c r="P875" s="22">
        <f t="shared" si="121"/>
        <v>19704.388776960001</v>
      </c>
      <c r="Q875" s="22">
        <v>2757.7041798239825</v>
      </c>
      <c r="R875" s="22">
        <f t="shared" si="122"/>
        <v>48.256677131517385</v>
      </c>
      <c r="S875" s="22">
        <f t="shared" si="123"/>
        <v>19752.645454091518</v>
      </c>
      <c r="T875" s="23">
        <v>0.55859868298040061</v>
      </c>
      <c r="U875" s="24">
        <v>0.1</v>
      </c>
      <c r="V875" s="25">
        <f t="shared" si="129"/>
        <v>33865.09190913842</v>
      </c>
      <c r="W875" s="26" t="s">
        <v>29</v>
      </c>
    </row>
    <row r="876" spans="1:23" ht="89.25" x14ac:dyDescent="0.25">
      <c r="A876" s="17">
        <f t="shared" ca="1" si="124"/>
        <v>872</v>
      </c>
      <c r="B876" s="18" t="s">
        <v>1453</v>
      </c>
      <c r="C876" s="18" t="s">
        <v>1771</v>
      </c>
      <c r="D876" s="18"/>
      <c r="E876" s="18"/>
      <c r="F876" s="18"/>
      <c r="G876" s="18"/>
      <c r="H876" s="19" t="s">
        <v>1772</v>
      </c>
      <c r="I876" s="18" t="s">
        <v>161</v>
      </c>
      <c r="J876" s="20">
        <v>1</v>
      </c>
      <c r="K876" s="20">
        <v>1.1499999999999999</v>
      </c>
      <c r="L876" s="21" t="s">
        <v>28</v>
      </c>
      <c r="M876" s="22">
        <v>21.7088</v>
      </c>
      <c r="N876" s="22">
        <v>1.5216399295999999E-2</v>
      </c>
      <c r="O876" s="22">
        <v>1052.3689999999999</v>
      </c>
      <c r="P876" s="22">
        <f t="shared" si="121"/>
        <v>26272.518369279995</v>
      </c>
      <c r="Q876" s="22">
        <v>2757.7041798239825</v>
      </c>
      <c r="R876" s="22">
        <f t="shared" si="122"/>
        <v>48.256677131517385</v>
      </c>
      <c r="S876" s="22">
        <f t="shared" si="123"/>
        <v>26320.775046411512</v>
      </c>
      <c r="T876" s="23">
        <v>0.55859868298040061</v>
      </c>
      <c r="U876" s="24">
        <v>0.1</v>
      </c>
      <c r="V876" s="25">
        <f t="shared" si="129"/>
        <v>45125.877854596416</v>
      </c>
      <c r="W876" s="26" t="s">
        <v>29</v>
      </c>
    </row>
    <row r="877" spans="1:23" x14ac:dyDescent="0.25">
      <c r="A877" s="28">
        <f t="shared" ca="1" si="124"/>
        <v>873</v>
      </c>
      <c r="B877" s="9" t="s">
        <v>1453</v>
      </c>
      <c r="C877" s="9" t="s">
        <v>1773</v>
      </c>
      <c r="D877" s="9"/>
      <c r="E877" s="9"/>
      <c r="F877" s="9"/>
      <c r="G877" s="9"/>
      <c r="H877" s="10" t="s">
        <v>1774</v>
      </c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29"/>
      <c r="U877" s="11"/>
      <c r="V877" s="9"/>
      <c r="W877" s="9"/>
    </row>
    <row r="878" spans="1:23" x14ac:dyDescent="0.25">
      <c r="A878" s="12">
        <f t="shared" ca="1" si="124"/>
        <v>874</v>
      </c>
      <c r="B878" s="13" t="s">
        <v>1453</v>
      </c>
      <c r="C878" s="13" t="s">
        <v>1775</v>
      </c>
      <c r="D878" s="13"/>
      <c r="E878" s="13"/>
      <c r="F878" s="13"/>
      <c r="G878" s="13"/>
      <c r="H878" s="15" t="s">
        <v>1776</v>
      </c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27"/>
      <c r="U878" s="16"/>
      <c r="V878" s="13"/>
      <c r="W878" s="13"/>
    </row>
    <row r="879" spans="1:23" ht="89.25" x14ac:dyDescent="0.25">
      <c r="A879" s="17">
        <f t="shared" ca="1" si="124"/>
        <v>875</v>
      </c>
      <c r="B879" s="18" t="s">
        <v>1453</v>
      </c>
      <c r="C879" s="18" t="s">
        <v>1777</v>
      </c>
      <c r="D879" s="18"/>
      <c r="E879" s="18"/>
      <c r="F879" s="18"/>
      <c r="G879" s="18"/>
      <c r="H879" s="19" t="s">
        <v>1778</v>
      </c>
      <c r="I879" s="18" t="s">
        <v>161</v>
      </c>
      <c r="J879" s="20">
        <v>1</v>
      </c>
      <c r="K879" s="20">
        <v>1.1499999999999999</v>
      </c>
      <c r="L879" s="21" t="s">
        <v>28</v>
      </c>
      <c r="M879" s="22">
        <v>0.71440000000000003</v>
      </c>
      <c r="N879" s="22">
        <v>5.2499999999999998E-2</v>
      </c>
      <c r="O879" s="22">
        <v>1052.3689999999999</v>
      </c>
      <c r="P879" s="22">
        <f t="shared" si="121"/>
        <v>864.58427563999999</v>
      </c>
      <c r="Q879" s="22">
        <v>2757.7041798239825</v>
      </c>
      <c r="R879" s="22">
        <f t="shared" si="122"/>
        <v>166.49638985687292</v>
      </c>
      <c r="S879" s="22">
        <f t="shared" si="123"/>
        <v>1031.0806654968728</v>
      </c>
      <c r="T879" s="23">
        <v>0.55859868298040061</v>
      </c>
      <c r="U879" s="24">
        <v>0.1</v>
      </c>
      <c r="V879" s="25">
        <f t="shared" ref="V879:V910" si="130">S879+S879*T879+(S879+S879*T879)*U879</f>
        <v>1767.7450640189791</v>
      </c>
      <c r="W879" s="26" t="s">
        <v>29</v>
      </c>
    </row>
    <row r="880" spans="1:23" ht="89.25" x14ac:dyDescent="0.25">
      <c r="A880" s="17">
        <f t="shared" ca="1" si="124"/>
        <v>876</v>
      </c>
      <c r="B880" s="18" t="s">
        <v>1453</v>
      </c>
      <c r="C880" s="18" t="s">
        <v>1779</v>
      </c>
      <c r="D880" s="18"/>
      <c r="E880" s="18"/>
      <c r="F880" s="18"/>
      <c r="G880" s="18"/>
      <c r="H880" s="19" t="s">
        <v>1780</v>
      </c>
      <c r="I880" s="18" t="s">
        <v>161</v>
      </c>
      <c r="J880" s="20">
        <v>1</v>
      </c>
      <c r="K880" s="20">
        <v>1.1499999999999999</v>
      </c>
      <c r="L880" s="21" t="s">
        <v>28</v>
      </c>
      <c r="M880" s="22">
        <v>1.3815999999999999</v>
      </c>
      <c r="N880" s="22">
        <v>5.2499999999999998E-2</v>
      </c>
      <c r="O880" s="22">
        <v>1052.3689999999999</v>
      </c>
      <c r="P880" s="22">
        <f t="shared" si="121"/>
        <v>1672.0459619599997</v>
      </c>
      <c r="Q880" s="22">
        <v>2757.7041798239825</v>
      </c>
      <c r="R880" s="22">
        <f t="shared" si="122"/>
        <v>166.49638985687292</v>
      </c>
      <c r="S880" s="22">
        <f t="shared" si="123"/>
        <v>1838.5423518168725</v>
      </c>
      <c r="T880" s="23">
        <v>0.55859868298040061</v>
      </c>
      <c r="U880" s="24">
        <v>0.1</v>
      </c>
      <c r="V880" s="25">
        <f t="shared" si="130"/>
        <v>3152.1046569600121</v>
      </c>
      <c r="W880" s="26" t="s">
        <v>29</v>
      </c>
    </row>
    <row r="881" spans="1:23" ht="89.25" x14ac:dyDescent="0.25">
      <c r="A881" s="17">
        <f t="shared" ca="1" si="124"/>
        <v>877</v>
      </c>
      <c r="B881" s="18" t="s">
        <v>1453</v>
      </c>
      <c r="C881" s="18" t="s">
        <v>1781</v>
      </c>
      <c r="D881" s="18"/>
      <c r="E881" s="18"/>
      <c r="F881" s="18"/>
      <c r="G881" s="18"/>
      <c r="H881" s="19" t="s">
        <v>1782</v>
      </c>
      <c r="I881" s="18" t="s">
        <v>161</v>
      </c>
      <c r="J881" s="20">
        <v>1</v>
      </c>
      <c r="K881" s="20">
        <v>1.1499999999999999</v>
      </c>
      <c r="L881" s="21" t="s">
        <v>28</v>
      </c>
      <c r="M881" s="22">
        <v>2.2239999999999998</v>
      </c>
      <c r="N881" s="22">
        <v>5.2499999999999998E-2</v>
      </c>
      <c r="O881" s="22">
        <v>1052.3689999999999</v>
      </c>
      <c r="P881" s="22">
        <f t="shared" si="121"/>
        <v>2691.5389543999991</v>
      </c>
      <c r="Q881" s="22">
        <v>2757.7041798239825</v>
      </c>
      <c r="R881" s="22">
        <f t="shared" si="122"/>
        <v>166.49638985687292</v>
      </c>
      <c r="S881" s="22">
        <f t="shared" si="123"/>
        <v>2858.0353442568721</v>
      </c>
      <c r="T881" s="23">
        <v>0.55859868298040061</v>
      </c>
      <c r="U881" s="24">
        <v>0.1</v>
      </c>
      <c r="V881" s="25">
        <f t="shared" si="130"/>
        <v>4899.983135817216</v>
      </c>
      <c r="W881" s="26" t="s">
        <v>29</v>
      </c>
    </row>
    <row r="882" spans="1:23" ht="89.25" x14ac:dyDescent="0.25">
      <c r="A882" s="17">
        <f t="shared" ca="1" si="124"/>
        <v>878</v>
      </c>
      <c r="B882" s="18" t="s">
        <v>1453</v>
      </c>
      <c r="C882" s="18" t="s">
        <v>1783</v>
      </c>
      <c r="D882" s="18"/>
      <c r="E882" s="18"/>
      <c r="F882" s="18"/>
      <c r="G882" s="18"/>
      <c r="H882" s="19" t="s">
        <v>1784</v>
      </c>
      <c r="I882" s="18" t="s">
        <v>161</v>
      </c>
      <c r="J882" s="20">
        <v>1</v>
      </c>
      <c r="K882" s="20">
        <v>1.1499999999999999</v>
      </c>
      <c r="L882" s="21" t="s">
        <v>28</v>
      </c>
      <c r="M882" s="22">
        <v>2.3703999999999996</v>
      </c>
      <c r="N882" s="22">
        <v>5.2499999999999998E-2</v>
      </c>
      <c r="O882" s="22">
        <v>1052.3689999999999</v>
      </c>
      <c r="P882" s="22">
        <f t="shared" si="121"/>
        <v>2868.7157992399993</v>
      </c>
      <c r="Q882" s="22">
        <v>2757.7041798239825</v>
      </c>
      <c r="R882" s="22">
        <f t="shared" si="122"/>
        <v>166.49638985687292</v>
      </c>
      <c r="S882" s="22">
        <f t="shared" si="123"/>
        <v>3035.2121890968724</v>
      </c>
      <c r="T882" s="23">
        <v>0.55859868298040061</v>
      </c>
      <c r="U882" s="24">
        <v>0.1</v>
      </c>
      <c r="V882" s="25">
        <f t="shared" si="130"/>
        <v>5203.7454925416878</v>
      </c>
      <c r="W882" s="26" t="s">
        <v>29</v>
      </c>
    </row>
    <row r="883" spans="1:23" ht="89.25" x14ac:dyDescent="0.25">
      <c r="A883" s="17">
        <f t="shared" ca="1" si="124"/>
        <v>879</v>
      </c>
      <c r="B883" s="18" t="s">
        <v>1453</v>
      </c>
      <c r="C883" s="18" t="s">
        <v>1785</v>
      </c>
      <c r="D883" s="18"/>
      <c r="E883" s="18"/>
      <c r="F883" s="18"/>
      <c r="G883" s="18"/>
      <c r="H883" s="19" t="s">
        <v>1786</v>
      </c>
      <c r="I883" s="18" t="s">
        <v>161</v>
      </c>
      <c r="J883" s="20">
        <v>1</v>
      </c>
      <c r="K883" s="20">
        <v>1.1499999999999999</v>
      </c>
      <c r="L883" s="21" t="s">
        <v>28</v>
      </c>
      <c r="M883" s="22">
        <v>2.4287999999999998</v>
      </c>
      <c r="N883" s="22">
        <v>5.2499999999999998E-2</v>
      </c>
      <c r="O883" s="22">
        <v>1052.3689999999999</v>
      </c>
      <c r="P883" s="22">
        <f t="shared" si="121"/>
        <v>2939.392901279999</v>
      </c>
      <c r="Q883" s="22">
        <v>2757.7041798239825</v>
      </c>
      <c r="R883" s="22">
        <f t="shared" si="122"/>
        <v>166.49638985687292</v>
      </c>
      <c r="S883" s="22">
        <f t="shared" si="123"/>
        <v>3105.8892911368721</v>
      </c>
      <c r="T883" s="23">
        <v>0.55859868298040061</v>
      </c>
      <c r="U883" s="24">
        <v>0.1</v>
      </c>
      <c r="V883" s="25">
        <f t="shared" si="130"/>
        <v>5324.9184545137441</v>
      </c>
      <c r="W883" s="26" t="s">
        <v>29</v>
      </c>
    </row>
    <row r="884" spans="1:23" ht="89.25" x14ac:dyDescent="0.25">
      <c r="A884" s="17">
        <f t="shared" ca="1" si="124"/>
        <v>880</v>
      </c>
      <c r="B884" s="18" t="s">
        <v>1453</v>
      </c>
      <c r="C884" s="18" t="s">
        <v>1787</v>
      </c>
      <c r="D884" s="18"/>
      <c r="E884" s="18"/>
      <c r="F884" s="18"/>
      <c r="G884" s="18"/>
      <c r="H884" s="19" t="s">
        <v>1788</v>
      </c>
      <c r="I884" s="18" t="s">
        <v>161</v>
      </c>
      <c r="J884" s="20">
        <v>1</v>
      </c>
      <c r="K884" s="20">
        <v>1.1499999999999999</v>
      </c>
      <c r="L884" s="21" t="s">
        <v>28</v>
      </c>
      <c r="M884" s="22">
        <v>2.6487999999999996</v>
      </c>
      <c r="N884" s="22">
        <v>5.2499999999999998E-2</v>
      </c>
      <c r="O884" s="22">
        <v>1052.3689999999999</v>
      </c>
      <c r="P884" s="22">
        <f t="shared" si="121"/>
        <v>3205.6422582799987</v>
      </c>
      <c r="Q884" s="22">
        <v>2757.7041798239825</v>
      </c>
      <c r="R884" s="22">
        <f t="shared" si="122"/>
        <v>166.49638985687292</v>
      </c>
      <c r="S884" s="22">
        <f t="shared" si="123"/>
        <v>3372.1386481368718</v>
      </c>
      <c r="T884" s="23">
        <v>0.55859868298040061</v>
      </c>
      <c r="U884" s="24">
        <v>0.1</v>
      </c>
      <c r="V884" s="25">
        <f t="shared" si="130"/>
        <v>5781.3919413947806</v>
      </c>
      <c r="W884" s="26" t="s">
        <v>29</v>
      </c>
    </row>
    <row r="885" spans="1:23" ht="89.25" x14ac:dyDescent="0.25">
      <c r="A885" s="17">
        <f t="shared" ca="1" si="124"/>
        <v>881</v>
      </c>
      <c r="B885" s="18" t="s">
        <v>1453</v>
      </c>
      <c r="C885" s="18" t="s">
        <v>1789</v>
      </c>
      <c r="D885" s="18"/>
      <c r="E885" s="18"/>
      <c r="F885" s="18"/>
      <c r="G885" s="18"/>
      <c r="H885" s="19" t="s">
        <v>1790</v>
      </c>
      <c r="I885" s="18" t="s">
        <v>161</v>
      </c>
      <c r="J885" s="20">
        <v>1</v>
      </c>
      <c r="K885" s="20">
        <v>1.1499999999999999</v>
      </c>
      <c r="L885" s="21" t="s">
        <v>28</v>
      </c>
      <c r="M885" s="22">
        <v>2.6335999999999999</v>
      </c>
      <c r="N885" s="22">
        <v>5.2499999999999998E-2</v>
      </c>
      <c r="O885" s="22">
        <v>1052.3689999999999</v>
      </c>
      <c r="P885" s="22">
        <f t="shared" si="121"/>
        <v>3187.2468481599994</v>
      </c>
      <c r="Q885" s="22">
        <v>2757.7041798239825</v>
      </c>
      <c r="R885" s="22">
        <f t="shared" si="122"/>
        <v>166.49638985687292</v>
      </c>
      <c r="S885" s="22">
        <f t="shared" si="123"/>
        <v>3353.7432380168725</v>
      </c>
      <c r="T885" s="23">
        <v>0.55859868298040061</v>
      </c>
      <c r="U885" s="24">
        <v>0.1</v>
      </c>
      <c r="V885" s="25">
        <f t="shared" si="130"/>
        <v>5749.8537732102741</v>
      </c>
      <c r="W885" s="26" t="s">
        <v>29</v>
      </c>
    </row>
    <row r="886" spans="1:23" ht="89.25" x14ac:dyDescent="0.25">
      <c r="A886" s="17">
        <f t="shared" ca="1" si="124"/>
        <v>882</v>
      </c>
      <c r="B886" s="18" t="s">
        <v>1453</v>
      </c>
      <c r="C886" s="18" t="s">
        <v>1791</v>
      </c>
      <c r="D886" s="18"/>
      <c r="E886" s="18"/>
      <c r="F886" s="18"/>
      <c r="G886" s="18"/>
      <c r="H886" s="19" t="s">
        <v>1792</v>
      </c>
      <c r="I886" s="18" t="s">
        <v>161</v>
      </c>
      <c r="J886" s="20">
        <v>1</v>
      </c>
      <c r="K886" s="20">
        <v>1.1499999999999999</v>
      </c>
      <c r="L886" s="21" t="s">
        <v>28</v>
      </c>
      <c r="M886" s="22">
        <v>2.9272</v>
      </c>
      <c r="N886" s="22">
        <v>5.2499999999999998E-2</v>
      </c>
      <c r="O886" s="22">
        <v>1052.3689999999999</v>
      </c>
      <c r="P886" s="22">
        <f t="shared" si="121"/>
        <v>3542.5687173199995</v>
      </c>
      <c r="Q886" s="22">
        <v>2757.7041798239825</v>
      </c>
      <c r="R886" s="22">
        <f t="shared" si="122"/>
        <v>166.49638985687292</v>
      </c>
      <c r="S886" s="22">
        <f t="shared" si="123"/>
        <v>3709.0651071768725</v>
      </c>
      <c r="T886" s="23">
        <v>0.55859868298040061</v>
      </c>
      <c r="U886" s="24">
        <v>0.1</v>
      </c>
      <c r="V886" s="25">
        <f t="shared" si="130"/>
        <v>6359.0383902478761</v>
      </c>
      <c r="W886" s="26" t="s">
        <v>29</v>
      </c>
    </row>
    <row r="887" spans="1:23" ht="89.25" x14ac:dyDescent="0.25">
      <c r="A887" s="17">
        <f t="shared" ca="1" si="124"/>
        <v>883</v>
      </c>
      <c r="B887" s="18" t="s">
        <v>1453</v>
      </c>
      <c r="C887" s="18" t="s">
        <v>1793</v>
      </c>
      <c r="D887" s="18"/>
      <c r="E887" s="18"/>
      <c r="F887" s="18"/>
      <c r="G887" s="18"/>
      <c r="H887" s="19" t="s">
        <v>1794</v>
      </c>
      <c r="I887" s="18" t="s">
        <v>161</v>
      </c>
      <c r="J887" s="20">
        <v>1</v>
      </c>
      <c r="K887" s="20">
        <v>1.1499999999999999</v>
      </c>
      <c r="L887" s="21" t="s">
        <v>28</v>
      </c>
      <c r="M887" s="22">
        <v>2.8384</v>
      </c>
      <c r="N887" s="22">
        <v>5.2499999999999998E-2</v>
      </c>
      <c r="O887" s="22">
        <v>1052.3689999999999</v>
      </c>
      <c r="P887" s="22">
        <f t="shared" si="121"/>
        <v>3435.1007950399994</v>
      </c>
      <c r="Q887" s="22">
        <v>2757.7041798239825</v>
      </c>
      <c r="R887" s="22">
        <f t="shared" si="122"/>
        <v>166.49638985687292</v>
      </c>
      <c r="S887" s="22">
        <f t="shared" si="123"/>
        <v>3601.5971848968725</v>
      </c>
      <c r="T887" s="23">
        <v>0.55859868298040061</v>
      </c>
      <c r="U887" s="24">
        <v>0.1</v>
      </c>
      <c r="V887" s="25">
        <f t="shared" si="130"/>
        <v>6174.7890919068022</v>
      </c>
      <c r="W887" s="26" t="s">
        <v>29</v>
      </c>
    </row>
    <row r="888" spans="1:23" ht="89.25" x14ac:dyDescent="0.25">
      <c r="A888" s="17">
        <f t="shared" ca="1" si="124"/>
        <v>884</v>
      </c>
      <c r="B888" s="18" t="s">
        <v>1453</v>
      </c>
      <c r="C888" s="18" t="s">
        <v>1795</v>
      </c>
      <c r="D888" s="18"/>
      <c r="E888" s="18"/>
      <c r="F888" s="18"/>
      <c r="G888" s="18"/>
      <c r="H888" s="19" t="s">
        <v>1796</v>
      </c>
      <c r="I888" s="18" t="s">
        <v>161</v>
      </c>
      <c r="J888" s="20">
        <v>1</v>
      </c>
      <c r="K888" s="20">
        <v>1.1499999999999999</v>
      </c>
      <c r="L888" s="21" t="s">
        <v>28</v>
      </c>
      <c r="M888" s="22">
        <v>3.2048000000000005</v>
      </c>
      <c r="N888" s="22">
        <v>5.2499999999999998E-2</v>
      </c>
      <c r="O888" s="22">
        <v>1052.3689999999999</v>
      </c>
      <c r="P888" s="22">
        <f t="shared" si="121"/>
        <v>3878.5269968800003</v>
      </c>
      <c r="Q888" s="22">
        <v>2757.7041798239825</v>
      </c>
      <c r="R888" s="22">
        <f t="shared" si="122"/>
        <v>166.49638985687292</v>
      </c>
      <c r="S888" s="22">
        <f t="shared" si="123"/>
        <v>4045.0233867368734</v>
      </c>
      <c r="T888" s="23">
        <v>0.55859868298040061</v>
      </c>
      <c r="U888" s="24">
        <v>0.1</v>
      </c>
      <c r="V888" s="25">
        <f t="shared" si="130"/>
        <v>6935.0249355123115</v>
      </c>
      <c r="W888" s="26" t="s">
        <v>29</v>
      </c>
    </row>
    <row r="889" spans="1:23" ht="89.25" x14ac:dyDescent="0.25">
      <c r="A889" s="17">
        <f t="shared" ca="1" si="124"/>
        <v>885</v>
      </c>
      <c r="B889" s="18" t="s">
        <v>1453</v>
      </c>
      <c r="C889" s="18" t="s">
        <v>1797</v>
      </c>
      <c r="D889" s="18"/>
      <c r="E889" s="18"/>
      <c r="F889" s="18"/>
      <c r="G889" s="18"/>
      <c r="H889" s="19" t="s">
        <v>1798</v>
      </c>
      <c r="I889" s="18" t="s">
        <v>161</v>
      </c>
      <c r="J889" s="20">
        <v>1</v>
      </c>
      <c r="K889" s="20">
        <v>1.1499999999999999</v>
      </c>
      <c r="L889" s="21" t="s">
        <v>28</v>
      </c>
      <c r="M889" s="22">
        <v>3.0432000000000001</v>
      </c>
      <c r="N889" s="22">
        <v>5.2499999999999998E-2</v>
      </c>
      <c r="O889" s="22">
        <v>1052.3689999999999</v>
      </c>
      <c r="P889" s="22">
        <f t="shared" si="121"/>
        <v>3682.9547419199994</v>
      </c>
      <c r="Q889" s="22">
        <v>2757.7041798239825</v>
      </c>
      <c r="R889" s="22">
        <f t="shared" si="122"/>
        <v>166.49638985687292</v>
      </c>
      <c r="S889" s="22">
        <f t="shared" si="123"/>
        <v>3849.4511317768724</v>
      </c>
      <c r="T889" s="23">
        <v>0.55859868298040061</v>
      </c>
      <c r="U889" s="24">
        <v>0.1</v>
      </c>
      <c r="V889" s="25">
        <f t="shared" si="130"/>
        <v>6599.7244106033304</v>
      </c>
      <c r="W889" s="26" t="s">
        <v>29</v>
      </c>
    </row>
    <row r="890" spans="1:23" ht="89.25" x14ac:dyDescent="0.25">
      <c r="A890" s="17">
        <f t="shared" ca="1" si="124"/>
        <v>886</v>
      </c>
      <c r="B890" s="18" t="s">
        <v>1453</v>
      </c>
      <c r="C890" s="18" t="s">
        <v>1799</v>
      </c>
      <c r="D890" s="18"/>
      <c r="E890" s="18"/>
      <c r="F890" s="18"/>
      <c r="G890" s="18"/>
      <c r="H890" s="19" t="s">
        <v>1800</v>
      </c>
      <c r="I890" s="18" t="s">
        <v>161</v>
      </c>
      <c r="J890" s="20">
        <v>1</v>
      </c>
      <c r="K890" s="20">
        <v>1.1499999999999999</v>
      </c>
      <c r="L890" s="21" t="s">
        <v>28</v>
      </c>
      <c r="M890" s="22">
        <v>3.4832000000000001</v>
      </c>
      <c r="N890" s="22">
        <v>5.2499999999999998E-2</v>
      </c>
      <c r="O890" s="22">
        <v>1052.3689999999999</v>
      </c>
      <c r="P890" s="22">
        <f t="shared" si="121"/>
        <v>4215.4534559199992</v>
      </c>
      <c r="Q890" s="22">
        <v>2757.7041798239825</v>
      </c>
      <c r="R890" s="22">
        <f t="shared" si="122"/>
        <v>166.49638985687292</v>
      </c>
      <c r="S890" s="22">
        <f t="shared" si="123"/>
        <v>4381.9498457768723</v>
      </c>
      <c r="T890" s="23">
        <v>0.55859868298040061</v>
      </c>
      <c r="U890" s="24">
        <v>0.1</v>
      </c>
      <c r="V890" s="25">
        <f t="shared" si="130"/>
        <v>7512.6713843654034</v>
      </c>
      <c r="W890" s="26" t="s">
        <v>29</v>
      </c>
    </row>
    <row r="891" spans="1:23" ht="89.25" x14ac:dyDescent="0.25">
      <c r="A891" s="17">
        <f t="shared" ca="1" si="124"/>
        <v>887</v>
      </c>
      <c r="B891" s="18" t="s">
        <v>1453</v>
      </c>
      <c r="C891" s="18" t="s">
        <v>1801</v>
      </c>
      <c r="D891" s="18"/>
      <c r="E891" s="18"/>
      <c r="F891" s="18"/>
      <c r="G891" s="18"/>
      <c r="H891" s="19" t="s">
        <v>1802</v>
      </c>
      <c r="I891" s="18" t="s">
        <v>161</v>
      </c>
      <c r="J891" s="20">
        <v>1</v>
      </c>
      <c r="K891" s="20">
        <v>1.1499999999999999</v>
      </c>
      <c r="L891" s="21" t="s">
        <v>28</v>
      </c>
      <c r="M891" s="22">
        <v>3.2479999999999998</v>
      </c>
      <c r="N891" s="22">
        <v>5.2499999999999998E-2</v>
      </c>
      <c r="O891" s="22">
        <v>1052.3689999999999</v>
      </c>
      <c r="P891" s="22">
        <f t="shared" si="121"/>
        <v>3930.8086887999993</v>
      </c>
      <c r="Q891" s="22">
        <v>2757.7041798239825</v>
      </c>
      <c r="R891" s="22">
        <f t="shared" si="122"/>
        <v>166.49638985687292</v>
      </c>
      <c r="S891" s="22">
        <f t="shared" si="123"/>
        <v>4097.305078656872</v>
      </c>
      <c r="T891" s="23">
        <v>0.55859868298040061</v>
      </c>
      <c r="U891" s="24">
        <v>0.1</v>
      </c>
      <c r="V891" s="25">
        <f t="shared" si="130"/>
        <v>7024.6597292998576</v>
      </c>
      <c r="W891" s="26" t="s">
        <v>29</v>
      </c>
    </row>
    <row r="892" spans="1:23" ht="89.25" x14ac:dyDescent="0.25">
      <c r="A892" s="17">
        <f t="shared" ca="1" si="124"/>
        <v>888</v>
      </c>
      <c r="B892" s="18" t="s">
        <v>1453</v>
      </c>
      <c r="C892" s="18" t="s">
        <v>1803</v>
      </c>
      <c r="D892" s="18"/>
      <c r="E892" s="18"/>
      <c r="F892" s="18"/>
      <c r="G892" s="18"/>
      <c r="H892" s="19" t="s">
        <v>1804</v>
      </c>
      <c r="I892" s="18" t="s">
        <v>161</v>
      </c>
      <c r="J892" s="20">
        <v>1</v>
      </c>
      <c r="K892" s="20">
        <v>1.1499999999999999</v>
      </c>
      <c r="L892" s="21" t="s">
        <v>28</v>
      </c>
      <c r="M892" s="22">
        <v>4.4720000000000004</v>
      </c>
      <c r="N892" s="22">
        <v>5.2499999999999998E-2</v>
      </c>
      <c r="O892" s="22">
        <v>1052.3689999999999</v>
      </c>
      <c r="P892" s="22">
        <f t="shared" si="121"/>
        <v>5412.1232931999994</v>
      </c>
      <c r="Q892" s="22">
        <v>2757.7041798239825</v>
      </c>
      <c r="R892" s="22">
        <f t="shared" si="122"/>
        <v>166.49638985687292</v>
      </c>
      <c r="S892" s="22">
        <f t="shared" si="123"/>
        <v>5578.6196830568724</v>
      </c>
      <c r="T892" s="23">
        <v>0.55859868298040061</v>
      </c>
      <c r="U892" s="24">
        <v>0.1</v>
      </c>
      <c r="V892" s="25">
        <f t="shared" si="130"/>
        <v>9564.3122199470781</v>
      </c>
      <c r="W892" s="26" t="s">
        <v>29</v>
      </c>
    </row>
    <row r="893" spans="1:23" ht="89.25" x14ac:dyDescent="0.25">
      <c r="A893" s="17">
        <f t="shared" ca="1" si="124"/>
        <v>889</v>
      </c>
      <c r="B893" s="18" t="s">
        <v>1453</v>
      </c>
      <c r="C893" s="18" t="s">
        <v>1805</v>
      </c>
      <c r="D893" s="18"/>
      <c r="E893" s="18"/>
      <c r="F893" s="18"/>
      <c r="G893" s="18"/>
      <c r="H893" s="19" t="s">
        <v>1806</v>
      </c>
      <c r="I893" s="18" t="s">
        <v>161</v>
      </c>
      <c r="J893" s="20">
        <v>1</v>
      </c>
      <c r="K893" s="20">
        <v>1.1499999999999999</v>
      </c>
      <c r="L893" s="21" t="s">
        <v>28</v>
      </c>
      <c r="M893" s="22">
        <v>3.4527999999999999</v>
      </c>
      <c r="N893" s="22">
        <v>5.2499999999999998E-2</v>
      </c>
      <c r="O893" s="22">
        <v>1052.3689999999999</v>
      </c>
      <c r="P893" s="22">
        <f t="shared" si="121"/>
        <v>4178.6626356799989</v>
      </c>
      <c r="Q893" s="22">
        <v>2757.7041798239825</v>
      </c>
      <c r="R893" s="22">
        <f t="shared" si="122"/>
        <v>166.49638985687292</v>
      </c>
      <c r="S893" s="22">
        <f t="shared" si="123"/>
        <v>4345.1590255368719</v>
      </c>
      <c r="T893" s="23">
        <v>0.55859868298040061</v>
      </c>
      <c r="U893" s="24">
        <v>0.1</v>
      </c>
      <c r="V893" s="25">
        <f t="shared" si="130"/>
        <v>7449.5950479963867</v>
      </c>
      <c r="W893" s="26" t="s">
        <v>29</v>
      </c>
    </row>
    <row r="894" spans="1:23" ht="89.25" x14ac:dyDescent="0.25">
      <c r="A894" s="17">
        <f t="shared" ca="1" si="124"/>
        <v>890</v>
      </c>
      <c r="B894" s="18" t="s">
        <v>1453</v>
      </c>
      <c r="C894" s="18" t="s">
        <v>1807</v>
      </c>
      <c r="D894" s="18"/>
      <c r="E894" s="18"/>
      <c r="F894" s="18"/>
      <c r="G894" s="18"/>
      <c r="H894" s="19" t="s">
        <v>1808</v>
      </c>
      <c r="I894" s="18" t="s">
        <v>161</v>
      </c>
      <c r="J894" s="20">
        <v>1</v>
      </c>
      <c r="K894" s="20">
        <v>1.1499999999999999</v>
      </c>
      <c r="L894" s="21" t="s">
        <v>28</v>
      </c>
      <c r="M894" s="22">
        <v>4.7504</v>
      </c>
      <c r="N894" s="22">
        <v>5.2499999999999998E-2</v>
      </c>
      <c r="O894" s="22">
        <v>1052.3689999999999</v>
      </c>
      <c r="P894" s="22">
        <f t="shared" si="121"/>
        <v>5749.0497522399992</v>
      </c>
      <c r="Q894" s="22">
        <v>2757.7041798239825</v>
      </c>
      <c r="R894" s="22">
        <f t="shared" si="122"/>
        <v>166.49638985687292</v>
      </c>
      <c r="S894" s="22">
        <f t="shared" si="123"/>
        <v>5915.5461420968722</v>
      </c>
      <c r="T894" s="23">
        <v>0.55859868298040061</v>
      </c>
      <c r="U894" s="24">
        <v>0.1</v>
      </c>
      <c r="V894" s="25">
        <f t="shared" si="130"/>
        <v>10141.958668800173</v>
      </c>
      <c r="W894" s="26" t="s">
        <v>29</v>
      </c>
    </row>
    <row r="895" spans="1:23" ht="89.25" x14ac:dyDescent="0.25">
      <c r="A895" s="17">
        <f t="shared" ca="1" si="124"/>
        <v>891</v>
      </c>
      <c r="B895" s="18" t="s">
        <v>1453</v>
      </c>
      <c r="C895" s="18" t="s">
        <v>1809</v>
      </c>
      <c r="D895" s="18"/>
      <c r="E895" s="18"/>
      <c r="F895" s="18"/>
      <c r="G895" s="18"/>
      <c r="H895" s="19" t="s">
        <v>1810</v>
      </c>
      <c r="I895" s="18" t="s">
        <v>161</v>
      </c>
      <c r="J895" s="20">
        <v>1</v>
      </c>
      <c r="K895" s="20">
        <v>1.1499999999999999</v>
      </c>
      <c r="L895" s="21" t="s">
        <v>28</v>
      </c>
      <c r="M895" s="22">
        <v>3.6576000000000004</v>
      </c>
      <c r="N895" s="22">
        <v>5.2499999999999998E-2</v>
      </c>
      <c r="O895" s="22">
        <v>1052.3689999999999</v>
      </c>
      <c r="P895" s="22">
        <f t="shared" ref="P895:P958" si="131">O895*M895*K895</f>
        <v>4426.5165825599997</v>
      </c>
      <c r="Q895" s="22">
        <v>2757.7041798239825</v>
      </c>
      <c r="R895" s="22">
        <f t="shared" ref="R895:R958" si="132">N895*Q895*K895</f>
        <v>166.49638985687292</v>
      </c>
      <c r="S895" s="22">
        <f t="shared" ref="S895:S958" si="133">P895+R895</f>
        <v>4593.0129724168728</v>
      </c>
      <c r="T895" s="23">
        <v>0.55859868298040061</v>
      </c>
      <c r="U895" s="24">
        <v>0.1</v>
      </c>
      <c r="V895" s="25">
        <f t="shared" si="130"/>
        <v>7874.5303666929158</v>
      </c>
      <c r="W895" s="26" t="s">
        <v>29</v>
      </c>
    </row>
    <row r="896" spans="1:23" ht="89.25" x14ac:dyDescent="0.25">
      <c r="A896" s="17">
        <f t="shared" ca="1" si="124"/>
        <v>892</v>
      </c>
      <c r="B896" s="18" t="s">
        <v>1453</v>
      </c>
      <c r="C896" s="18" t="s">
        <v>1811</v>
      </c>
      <c r="D896" s="18"/>
      <c r="E896" s="18"/>
      <c r="F896" s="18"/>
      <c r="G896" s="18"/>
      <c r="H896" s="19" t="s">
        <v>1812</v>
      </c>
      <c r="I896" s="18" t="s">
        <v>161</v>
      </c>
      <c r="J896" s="20">
        <v>1</v>
      </c>
      <c r="K896" s="20">
        <v>1.1499999999999999</v>
      </c>
      <c r="L896" s="21" t="s">
        <v>28</v>
      </c>
      <c r="M896" s="22">
        <v>5.0280000000000005</v>
      </c>
      <c r="N896" s="22">
        <v>5.2499999999999998E-2</v>
      </c>
      <c r="O896" s="22">
        <v>1052.3689999999999</v>
      </c>
      <c r="P896" s="22">
        <f t="shared" si="131"/>
        <v>6085.0080318</v>
      </c>
      <c r="Q896" s="22">
        <v>2757.7041798239825</v>
      </c>
      <c r="R896" s="22">
        <f t="shared" si="132"/>
        <v>166.49638985687292</v>
      </c>
      <c r="S896" s="22">
        <f t="shared" si="133"/>
        <v>6251.5044216568731</v>
      </c>
      <c r="T896" s="23">
        <v>0.55859868298040061</v>
      </c>
      <c r="U896" s="24">
        <v>0.1</v>
      </c>
      <c r="V896" s="25">
        <f t="shared" si="130"/>
        <v>10717.945214064608</v>
      </c>
      <c r="W896" s="26" t="s">
        <v>29</v>
      </c>
    </row>
    <row r="897" spans="1:23" ht="89.25" x14ac:dyDescent="0.25">
      <c r="A897" s="17">
        <f t="shared" ca="1" si="124"/>
        <v>893</v>
      </c>
      <c r="B897" s="18" t="s">
        <v>1453</v>
      </c>
      <c r="C897" s="18" t="s">
        <v>1813</v>
      </c>
      <c r="D897" s="18"/>
      <c r="E897" s="18"/>
      <c r="F897" s="18"/>
      <c r="G897" s="18"/>
      <c r="H897" s="19" t="s">
        <v>1814</v>
      </c>
      <c r="I897" s="18" t="s">
        <v>161</v>
      </c>
      <c r="J897" s="20">
        <v>1</v>
      </c>
      <c r="K897" s="20">
        <v>1.1499999999999999</v>
      </c>
      <c r="L897" s="21" t="s">
        <v>28</v>
      </c>
      <c r="M897" s="22">
        <v>4.5736000000000008</v>
      </c>
      <c r="N897" s="22">
        <v>5.2499999999999998E-2</v>
      </c>
      <c r="O897" s="22">
        <v>1052.3689999999999</v>
      </c>
      <c r="P897" s="22">
        <f t="shared" si="131"/>
        <v>5535.0820871599999</v>
      </c>
      <c r="Q897" s="22">
        <v>2757.7041798239825</v>
      </c>
      <c r="R897" s="22">
        <f t="shared" si="132"/>
        <v>166.49638985687292</v>
      </c>
      <c r="S897" s="22">
        <f t="shared" si="133"/>
        <v>5701.578477016873</v>
      </c>
      <c r="T897" s="23">
        <v>0.55859868298040061</v>
      </c>
      <c r="U897" s="24">
        <v>0.1</v>
      </c>
      <c r="V897" s="25">
        <f t="shared" si="130"/>
        <v>9775.1199757066861</v>
      </c>
      <c r="W897" s="26" t="s">
        <v>29</v>
      </c>
    </row>
    <row r="898" spans="1:23" ht="89.25" x14ac:dyDescent="0.25">
      <c r="A898" s="17">
        <f t="shared" ca="1" si="124"/>
        <v>894</v>
      </c>
      <c r="B898" s="18" t="s">
        <v>1453</v>
      </c>
      <c r="C898" s="18" t="s">
        <v>1815</v>
      </c>
      <c r="D898" s="18"/>
      <c r="E898" s="18"/>
      <c r="F898" s="18"/>
      <c r="G898" s="18"/>
      <c r="H898" s="19" t="s">
        <v>1816</v>
      </c>
      <c r="I898" s="18" t="s">
        <v>161</v>
      </c>
      <c r="J898" s="20">
        <v>1</v>
      </c>
      <c r="K898" s="20">
        <v>1.1499999999999999</v>
      </c>
      <c r="L898" s="21" t="s">
        <v>28</v>
      </c>
      <c r="M898" s="22">
        <v>5.3064</v>
      </c>
      <c r="N898" s="22">
        <v>5.2499999999999998E-2</v>
      </c>
      <c r="O898" s="22">
        <v>1052.3689999999999</v>
      </c>
      <c r="P898" s="22">
        <f t="shared" si="131"/>
        <v>6421.9344908399989</v>
      </c>
      <c r="Q898" s="22">
        <v>2757.7041798239825</v>
      </c>
      <c r="R898" s="22">
        <f t="shared" si="132"/>
        <v>166.49638985687292</v>
      </c>
      <c r="S898" s="22">
        <f t="shared" si="133"/>
        <v>6588.430880696872</v>
      </c>
      <c r="T898" s="23">
        <v>0.55859868298040061</v>
      </c>
      <c r="U898" s="24">
        <v>0.1</v>
      </c>
      <c r="V898" s="25">
        <f t="shared" si="130"/>
        <v>11295.591662917701</v>
      </c>
      <c r="W898" s="26" t="s">
        <v>29</v>
      </c>
    </row>
    <row r="899" spans="1:23" ht="89.25" x14ac:dyDescent="0.25">
      <c r="A899" s="17">
        <f t="shared" ref="A899:A962" ca="1" si="134">CELL("строка",A899)-4</f>
        <v>895</v>
      </c>
      <c r="B899" s="18" t="s">
        <v>1453</v>
      </c>
      <c r="C899" s="18" t="s">
        <v>1817</v>
      </c>
      <c r="D899" s="18"/>
      <c r="E899" s="18"/>
      <c r="F899" s="18"/>
      <c r="G899" s="18"/>
      <c r="H899" s="19" t="s">
        <v>1818</v>
      </c>
      <c r="I899" s="18" t="s">
        <v>161</v>
      </c>
      <c r="J899" s="20">
        <v>1</v>
      </c>
      <c r="K899" s="20">
        <v>1.1499999999999999</v>
      </c>
      <c r="L899" s="21" t="s">
        <v>28</v>
      </c>
      <c r="M899" s="22">
        <v>4.7784000000000004</v>
      </c>
      <c r="N899" s="22">
        <v>5.2499999999999998E-2</v>
      </c>
      <c r="O899" s="22">
        <v>1052.3689999999999</v>
      </c>
      <c r="P899" s="22">
        <f t="shared" si="131"/>
        <v>5782.9360340399999</v>
      </c>
      <c r="Q899" s="22">
        <v>2757.7041798239825</v>
      </c>
      <c r="R899" s="22">
        <f t="shared" si="132"/>
        <v>166.49638985687292</v>
      </c>
      <c r="S899" s="22">
        <f t="shared" si="133"/>
        <v>5949.4324238968729</v>
      </c>
      <c r="T899" s="23">
        <v>0.55859868298040061</v>
      </c>
      <c r="U899" s="24">
        <v>0.1</v>
      </c>
      <c r="V899" s="25">
        <f t="shared" si="130"/>
        <v>10200.055294403213</v>
      </c>
      <c r="W899" s="26" t="s">
        <v>29</v>
      </c>
    </row>
    <row r="900" spans="1:23" ht="89.25" x14ac:dyDescent="0.25">
      <c r="A900" s="17">
        <f t="shared" ca="1" si="134"/>
        <v>896</v>
      </c>
      <c r="B900" s="18" t="s">
        <v>1453</v>
      </c>
      <c r="C900" s="18" t="s">
        <v>1819</v>
      </c>
      <c r="D900" s="18"/>
      <c r="E900" s="18"/>
      <c r="F900" s="18"/>
      <c r="G900" s="18"/>
      <c r="H900" s="19" t="s">
        <v>1820</v>
      </c>
      <c r="I900" s="18" t="s">
        <v>161</v>
      </c>
      <c r="J900" s="20">
        <v>1</v>
      </c>
      <c r="K900" s="20">
        <v>1.1499999999999999</v>
      </c>
      <c r="L900" s="21" t="s">
        <v>28</v>
      </c>
      <c r="M900" s="22">
        <v>5.5848000000000004</v>
      </c>
      <c r="N900" s="22">
        <v>5.2499999999999998E-2</v>
      </c>
      <c r="O900" s="22">
        <v>1052.3689999999999</v>
      </c>
      <c r="P900" s="22">
        <f t="shared" si="131"/>
        <v>6758.8609498799988</v>
      </c>
      <c r="Q900" s="22">
        <v>2757.7041798239825</v>
      </c>
      <c r="R900" s="22">
        <f t="shared" si="132"/>
        <v>166.49638985687292</v>
      </c>
      <c r="S900" s="22">
        <f t="shared" si="133"/>
        <v>6925.3573397368718</v>
      </c>
      <c r="T900" s="23">
        <v>0.55859868298040061</v>
      </c>
      <c r="U900" s="24">
        <v>0.1</v>
      </c>
      <c r="V900" s="25">
        <f t="shared" si="130"/>
        <v>11873.238111770794</v>
      </c>
      <c r="W900" s="26" t="s">
        <v>29</v>
      </c>
    </row>
    <row r="901" spans="1:23" ht="89.25" x14ac:dyDescent="0.25">
      <c r="A901" s="17">
        <f t="shared" ca="1" si="134"/>
        <v>897</v>
      </c>
      <c r="B901" s="18" t="s">
        <v>1453</v>
      </c>
      <c r="C901" s="18" t="s">
        <v>1821</v>
      </c>
      <c r="D901" s="18"/>
      <c r="E901" s="18"/>
      <c r="F901" s="18"/>
      <c r="G901" s="18"/>
      <c r="H901" s="19" t="s">
        <v>1822</v>
      </c>
      <c r="I901" s="18" t="s">
        <v>161</v>
      </c>
      <c r="J901" s="20">
        <v>1</v>
      </c>
      <c r="K901" s="20">
        <v>1.1499999999999999</v>
      </c>
      <c r="L901" s="21" t="s">
        <v>28</v>
      </c>
      <c r="M901" s="22">
        <v>4.9832000000000001</v>
      </c>
      <c r="N901" s="22">
        <v>5.2499999999999998E-2</v>
      </c>
      <c r="O901" s="22">
        <v>1052.3689999999999</v>
      </c>
      <c r="P901" s="22">
        <f t="shared" si="131"/>
        <v>6030.7899809199998</v>
      </c>
      <c r="Q901" s="22">
        <v>2757.7041798239825</v>
      </c>
      <c r="R901" s="22">
        <f t="shared" si="132"/>
        <v>166.49638985687292</v>
      </c>
      <c r="S901" s="22">
        <f t="shared" si="133"/>
        <v>6197.2863707768729</v>
      </c>
      <c r="T901" s="23">
        <v>0.55859868298040061</v>
      </c>
      <c r="U901" s="24">
        <v>0.1</v>
      </c>
      <c r="V901" s="25">
        <f t="shared" si="130"/>
        <v>10624.990613099742</v>
      </c>
      <c r="W901" s="26" t="s">
        <v>29</v>
      </c>
    </row>
    <row r="902" spans="1:23" ht="89.25" x14ac:dyDescent="0.25">
      <c r="A902" s="17">
        <f t="shared" ca="1" si="134"/>
        <v>898</v>
      </c>
      <c r="B902" s="18" t="s">
        <v>1453</v>
      </c>
      <c r="C902" s="18" t="s">
        <v>1823</v>
      </c>
      <c r="D902" s="18"/>
      <c r="E902" s="18"/>
      <c r="F902" s="18"/>
      <c r="G902" s="18"/>
      <c r="H902" s="19" t="s">
        <v>1824</v>
      </c>
      <c r="I902" s="18" t="s">
        <v>161</v>
      </c>
      <c r="J902" s="20">
        <v>1</v>
      </c>
      <c r="K902" s="20">
        <v>1.1499999999999999</v>
      </c>
      <c r="L902" s="21" t="s">
        <v>28</v>
      </c>
      <c r="M902" s="22">
        <v>5.8624000000000009</v>
      </c>
      <c r="N902" s="22">
        <v>5.2499999999999998E-2</v>
      </c>
      <c r="O902" s="22">
        <v>1052.3689999999999</v>
      </c>
      <c r="P902" s="22">
        <f t="shared" si="131"/>
        <v>7094.8192294400005</v>
      </c>
      <c r="Q902" s="22">
        <v>2757.7041798239825</v>
      </c>
      <c r="R902" s="22">
        <f t="shared" si="132"/>
        <v>166.49638985687292</v>
      </c>
      <c r="S902" s="22">
        <f t="shared" si="133"/>
        <v>7261.3156192968736</v>
      </c>
      <c r="T902" s="23">
        <v>0.55859868298040061</v>
      </c>
      <c r="U902" s="24">
        <v>0.1</v>
      </c>
      <c r="V902" s="25">
        <f t="shared" si="130"/>
        <v>12449.224657035231</v>
      </c>
      <c r="W902" s="26" t="s">
        <v>29</v>
      </c>
    </row>
    <row r="903" spans="1:23" ht="89.25" x14ac:dyDescent="0.25">
      <c r="A903" s="17">
        <f t="shared" ca="1" si="134"/>
        <v>899</v>
      </c>
      <c r="B903" s="18" t="s">
        <v>1453</v>
      </c>
      <c r="C903" s="18" t="s">
        <v>1825</v>
      </c>
      <c r="D903" s="18"/>
      <c r="E903" s="18"/>
      <c r="F903" s="18"/>
      <c r="G903" s="18"/>
      <c r="H903" s="19" t="s">
        <v>1826</v>
      </c>
      <c r="I903" s="18" t="s">
        <v>161</v>
      </c>
      <c r="J903" s="20">
        <v>1</v>
      </c>
      <c r="K903" s="20">
        <v>1.1499999999999999</v>
      </c>
      <c r="L903" s="21" t="s">
        <v>28</v>
      </c>
      <c r="M903" s="22">
        <v>5.1880000000000006</v>
      </c>
      <c r="N903" s="22">
        <v>5.2499999999999998E-2</v>
      </c>
      <c r="O903" s="22">
        <v>1052.3689999999999</v>
      </c>
      <c r="P903" s="22">
        <f t="shared" si="131"/>
        <v>6278.6439277999998</v>
      </c>
      <c r="Q903" s="22">
        <v>2757.7041798239825</v>
      </c>
      <c r="R903" s="22">
        <f t="shared" si="132"/>
        <v>166.49638985687292</v>
      </c>
      <c r="S903" s="22">
        <f t="shared" si="133"/>
        <v>6445.1403176568729</v>
      </c>
      <c r="T903" s="23">
        <v>0.55859868298040061</v>
      </c>
      <c r="U903" s="24">
        <v>0.1</v>
      </c>
      <c r="V903" s="25">
        <f t="shared" si="130"/>
        <v>11049.92593179627</v>
      </c>
      <c r="W903" s="26" t="s">
        <v>29</v>
      </c>
    </row>
    <row r="904" spans="1:23" ht="89.25" x14ac:dyDescent="0.25">
      <c r="A904" s="17">
        <f t="shared" ca="1" si="134"/>
        <v>900</v>
      </c>
      <c r="B904" s="18" t="s">
        <v>1453</v>
      </c>
      <c r="C904" s="18" t="s">
        <v>1827</v>
      </c>
      <c r="D904" s="18"/>
      <c r="E904" s="18"/>
      <c r="F904" s="18"/>
      <c r="G904" s="18"/>
      <c r="H904" s="19" t="s">
        <v>1828</v>
      </c>
      <c r="I904" s="18" t="s">
        <v>161</v>
      </c>
      <c r="J904" s="20">
        <v>1</v>
      </c>
      <c r="K904" s="20">
        <v>1.1499999999999999</v>
      </c>
      <c r="L904" s="21" t="s">
        <v>28</v>
      </c>
      <c r="M904" s="22">
        <v>6.1408000000000005</v>
      </c>
      <c r="N904" s="22">
        <v>5.2499999999999998E-2</v>
      </c>
      <c r="O904" s="22">
        <v>1052.3689999999999</v>
      </c>
      <c r="P904" s="22">
        <f t="shared" si="131"/>
        <v>7431.7456884799994</v>
      </c>
      <c r="Q904" s="22">
        <v>2757.7041798239825</v>
      </c>
      <c r="R904" s="22">
        <f t="shared" si="132"/>
        <v>166.49638985687292</v>
      </c>
      <c r="S904" s="22">
        <f t="shared" si="133"/>
        <v>7598.2420783368725</v>
      </c>
      <c r="T904" s="23">
        <v>0.55859868298040061</v>
      </c>
      <c r="U904" s="24">
        <v>0.1</v>
      </c>
      <c r="V904" s="25">
        <f t="shared" si="130"/>
        <v>13026.871105888322</v>
      </c>
      <c r="W904" s="26" t="s">
        <v>29</v>
      </c>
    </row>
    <row r="905" spans="1:23" ht="89.25" x14ac:dyDescent="0.25">
      <c r="A905" s="17">
        <f t="shared" ca="1" si="134"/>
        <v>901</v>
      </c>
      <c r="B905" s="18" t="s">
        <v>1453</v>
      </c>
      <c r="C905" s="18" t="s">
        <v>1829</v>
      </c>
      <c r="D905" s="18"/>
      <c r="E905" s="18"/>
      <c r="F905" s="18"/>
      <c r="G905" s="18"/>
      <c r="H905" s="19" t="s">
        <v>1830</v>
      </c>
      <c r="I905" s="18" t="s">
        <v>161</v>
      </c>
      <c r="J905" s="20">
        <v>1</v>
      </c>
      <c r="K905" s="20">
        <v>1.1499999999999999</v>
      </c>
      <c r="L905" s="21" t="s">
        <v>28</v>
      </c>
      <c r="M905" s="22">
        <v>5.3928000000000011</v>
      </c>
      <c r="N905" s="22">
        <v>5.2499999999999998E-2</v>
      </c>
      <c r="O905" s="22">
        <v>1052.3689999999999</v>
      </c>
      <c r="P905" s="22">
        <f t="shared" si="131"/>
        <v>6526.4978746800007</v>
      </c>
      <c r="Q905" s="22">
        <v>2757.7041798239825</v>
      </c>
      <c r="R905" s="22">
        <f t="shared" si="132"/>
        <v>166.49638985687292</v>
      </c>
      <c r="S905" s="22">
        <f t="shared" si="133"/>
        <v>6692.9942645368737</v>
      </c>
      <c r="T905" s="23">
        <v>0.55859868298040061</v>
      </c>
      <c r="U905" s="24">
        <v>0.1</v>
      </c>
      <c r="V905" s="25">
        <f t="shared" si="130"/>
        <v>11474.861250492801</v>
      </c>
      <c r="W905" s="26" t="s">
        <v>29</v>
      </c>
    </row>
    <row r="906" spans="1:23" ht="89.25" x14ac:dyDescent="0.25">
      <c r="A906" s="17">
        <f t="shared" ca="1" si="134"/>
        <v>902</v>
      </c>
      <c r="B906" s="18" t="s">
        <v>1453</v>
      </c>
      <c r="C906" s="18" t="s">
        <v>1831</v>
      </c>
      <c r="D906" s="18"/>
      <c r="E906" s="18"/>
      <c r="F906" s="18"/>
      <c r="G906" s="18"/>
      <c r="H906" s="19" t="s">
        <v>1832</v>
      </c>
      <c r="I906" s="18" t="s">
        <v>161</v>
      </c>
      <c r="J906" s="20">
        <v>1</v>
      </c>
      <c r="K906" s="20">
        <v>1.1499999999999999</v>
      </c>
      <c r="L906" s="21" t="s">
        <v>28</v>
      </c>
      <c r="M906" s="22">
        <v>6.4192000000000009</v>
      </c>
      <c r="N906" s="22">
        <v>5.2499999999999998E-2</v>
      </c>
      <c r="O906" s="22">
        <v>1052.3689999999999</v>
      </c>
      <c r="P906" s="22">
        <f t="shared" si="131"/>
        <v>7768.6721475199993</v>
      </c>
      <c r="Q906" s="22">
        <v>2757.7041798239825</v>
      </c>
      <c r="R906" s="22">
        <f t="shared" si="132"/>
        <v>166.49638985687292</v>
      </c>
      <c r="S906" s="22">
        <f t="shared" si="133"/>
        <v>7935.1685373768723</v>
      </c>
      <c r="T906" s="23">
        <v>0.55859868298040061</v>
      </c>
      <c r="U906" s="24">
        <v>0.1</v>
      </c>
      <c r="V906" s="25">
        <f t="shared" si="130"/>
        <v>13604.517554741415</v>
      </c>
      <c r="W906" s="26" t="s">
        <v>29</v>
      </c>
    </row>
    <row r="907" spans="1:23" ht="89.25" x14ac:dyDescent="0.25">
      <c r="A907" s="17">
        <f t="shared" ca="1" si="134"/>
        <v>903</v>
      </c>
      <c r="B907" s="18" t="s">
        <v>1453</v>
      </c>
      <c r="C907" s="18" t="s">
        <v>1833</v>
      </c>
      <c r="D907" s="18"/>
      <c r="E907" s="18"/>
      <c r="F907" s="18"/>
      <c r="G907" s="18"/>
      <c r="H907" s="19" t="s">
        <v>1834</v>
      </c>
      <c r="I907" s="18" t="s">
        <v>161</v>
      </c>
      <c r="J907" s="20">
        <v>1</v>
      </c>
      <c r="K907" s="20">
        <v>1.1499999999999999</v>
      </c>
      <c r="L907" s="21" t="s">
        <v>28</v>
      </c>
      <c r="M907" s="22">
        <v>5.5975999999999999</v>
      </c>
      <c r="N907" s="22">
        <v>5.2499999999999998E-2</v>
      </c>
      <c r="O907" s="22">
        <v>1052.3689999999999</v>
      </c>
      <c r="P907" s="22">
        <f t="shared" si="131"/>
        <v>6774.3518215599979</v>
      </c>
      <c r="Q907" s="22">
        <v>2757.7041798239825</v>
      </c>
      <c r="R907" s="22">
        <f t="shared" si="132"/>
        <v>166.49638985687292</v>
      </c>
      <c r="S907" s="22">
        <f t="shared" si="133"/>
        <v>6940.848211416871</v>
      </c>
      <c r="T907" s="23">
        <v>0.55859868298040061</v>
      </c>
      <c r="U907" s="24">
        <v>0.1</v>
      </c>
      <c r="V907" s="25">
        <f t="shared" si="130"/>
        <v>11899.796569189324</v>
      </c>
      <c r="W907" s="26" t="s">
        <v>29</v>
      </c>
    </row>
    <row r="908" spans="1:23" ht="89.25" x14ac:dyDescent="0.25">
      <c r="A908" s="17">
        <f t="shared" ca="1" si="134"/>
        <v>904</v>
      </c>
      <c r="B908" s="18" t="s">
        <v>1453</v>
      </c>
      <c r="C908" s="18" t="s">
        <v>1835</v>
      </c>
      <c r="D908" s="18"/>
      <c r="E908" s="18"/>
      <c r="F908" s="18"/>
      <c r="G908" s="18"/>
      <c r="H908" s="19" t="s">
        <v>1836</v>
      </c>
      <c r="I908" s="18" t="s">
        <v>161</v>
      </c>
      <c r="J908" s="20">
        <v>1</v>
      </c>
      <c r="K908" s="20">
        <v>1.1499999999999999</v>
      </c>
      <c r="L908" s="21" t="s">
        <v>28</v>
      </c>
      <c r="M908" s="22">
        <v>6.6967999999999996</v>
      </c>
      <c r="N908" s="22">
        <v>5.2499999999999998E-2</v>
      </c>
      <c r="O908" s="22">
        <v>1052.3689999999999</v>
      </c>
      <c r="P908" s="22">
        <f t="shared" si="131"/>
        <v>8104.6304270799983</v>
      </c>
      <c r="Q908" s="22">
        <v>2757.7041798239825</v>
      </c>
      <c r="R908" s="22">
        <f t="shared" si="132"/>
        <v>166.49638985687292</v>
      </c>
      <c r="S908" s="22">
        <f t="shared" si="133"/>
        <v>8271.1268169368705</v>
      </c>
      <c r="T908" s="23">
        <v>0.55859868298040061</v>
      </c>
      <c r="U908" s="24">
        <v>0.1</v>
      </c>
      <c r="V908" s="25">
        <f t="shared" si="130"/>
        <v>14180.504100005846</v>
      </c>
      <c r="W908" s="26" t="s">
        <v>29</v>
      </c>
    </row>
    <row r="909" spans="1:23" ht="89.25" x14ac:dyDescent="0.25">
      <c r="A909" s="17">
        <f t="shared" ca="1" si="134"/>
        <v>905</v>
      </c>
      <c r="B909" s="18" t="s">
        <v>1453</v>
      </c>
      <c r="C909" s="18" t="s">
        <v>1837</v>
      </c>
      <c r="D909" s="18"/>
      <c r="E909" s="18"/>
      <c r="F909" s="18"/>
      <c r="G909" s="18"/>
      <c r="H909" s="19" t="s">
        <v>1838</v>
      </c>
      <c r="I909" s="18" t="s">
        <v>161</v>
      </c>
      <c r="J909" s="20">
        <v>1</v>
      </c>
      <c r="K909" s="20">
        <v>1.1499999999999999</v>
      </c>
      <c r="L909" s="21" t="s">
        <v>28</v>
      </c>
      <c r="M909" s="22">
        <v>5.8024000000000004</v>
      </c>
      <c r="N909" s="22">
        <v>5.2499999999999998E-2</v>
      </c>
      <c r="O909" s="22">
        <v>1052.3689999999999</v>
      </c>
      <c r="P909" s="22">
        <f t="shared" si="131"/>
        <v>7022.2057684399997</v>
      </c>
      <c r="Q909" s="22">
        <v>2757.7041798239825</v>
      </c>
      <c r="R909" s="22">
        <f t="shared" si="132"/>
        <v>166.49638985687292</v>
      </c>
      <c r="S909" s="22">
        <f t="shared" si="133"/>
        <v>7188.7021582968728</v>
      </c>
      <c r="T909" s="23">
        <v>0.55859868298040061</v>
      </c>
      <c r="U909" s="24">
        <v>0.1</v>
      </c>
      <c r="V909" s="25">
        <f t="shared" si="130"/>
        <v>12324.731887885857</v>
      </c>
      <c r="W909" s="26" t="s">
        <v>29</v>
      </c>
    </row>
    <row r="910" spans="1:23" ht="89.25" x14ac:dyDescent="0.25">
      <c r="A910" s="17">
        <f t="shared" ca="1" si="134"/>
        <v>906</v>
      </c>
      <c r="B910" s="18" t="s">
        <v>1453</v>
      </c>
      <c r="C910" s="18" t="s">
        <v>1839</v>
      </c>
      <c r="D910" s="18"/>
      <c r="E910" s="18"/>
      <c r="F910" s="18"/>
      <c r="G910" s="18"/>
      <c r="H910" s="19" t="s">
        <v>1840</v>
      </c>
      <c r="I910" s="18" t="s">
        <v>161</v>
      </c>
      <c r="J910" s="20">
        <v>1</v>
      </c>
      <c r="K910" s="20">
        <v>1.1499999999999999</v>
      </c>
      <c r="L910" s="21" t="s">
        <v>28</v>
      </c>
      <c r="M910" s="22">
        <v>6.9752000000000001</v>
      </c>
      <c r="N910" s="22">
        <v>5.2499999999999998E-2</v>
      </c>
      <c r="O910" s="22">
        <v>1052.3689999999999</v>
      </c>
      <c r="P910" s="22">
        <f t="shared" si="131"/>
        <v>8441.556886119999</v>
      </c>
      <c r="Q910" s="22">
        <v>2757.7041798239825</v>
      </c>
      <c r="R910" s="22">
        <f t="shared" si="132"/>
        <v>166.49638985687292</v>
      </c>
      <c r="S910" s="22">
        <f t="shared" si="133"/>
        <v>8608.0532759768721</v>
      </c>
      <c r="T910" s="23">
        <v>0.55859868298040061</v>
      </c>
      <c r="U910" s="24">
        <v>0.1</v>
      </c>
      <c r="V910" s="25">
        <f t="shared" si="130"/>
        <v>14758.150548858943</v>
      </c>
      <c r="W910" s="26" t="s">
        <v>29</v>
      </c>
    </row>
    <row r="911" spans="1:23" x14ac:dyDescent="0.25">
      <c r="A911" s="12">
        <f t="shared" ca="1" si="134"/>
        <v>907</v>
      </c>
      <c r="B911" s="13" t="s">
        <v>1453</v>
      </c>
      <c r="C911" s="13" t="s">
        <v>1841</v>
      </c>
      <c r="D911" s="13"/>
      <c r="E911" s="13"/>
      <c r="F911" s="13"/>
      <c r="G911" s="13"/>
      <c r="H911" s="15" t="s">
        <v>1842</v>
      </c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27"/>
      <c r="U911" s="16"/>
      <c r="V911" s="13"/>
      <c r="W911" s="13"/>
    </row>
    <row r="912" spans="1:23" ht="89.25" x14ac:dyDescent="0.25">
      <c r="A912" s="17">
        <f t="shared" ca="1" si="134"/>
        <v>908</v>
      </c>
      <c r="B912" s="18" t="s">
        <v>1453</v>
      </c>
      <c r="C912" s="18" t="s">
        <v>1843</v>
      </c>
      <c r="D912" s="18"/>
      <c r="E912" s="18"/>
      <c r="F912" s="18"/>
      <c r="G912" s="18"/>
      <c r="H912" s="19" t="s">
        <v>1844</v>
      </c>
      <c r="I912" s="18" t="s">
        <v>161</v>
      </c>
      <c r="J912" s="20">
        <v>1</v>
      </c>
      <c r="K912" s="20">
        <v>1.1499999999999999</v>
      </c>
      <c r="L912" s="21" t="s">
        <v>28</v>
      </c>
      <c r="M912" s="22">
        <v>0.72080000000000011</v>
      </c>
      <c r="N912" s="22">
        <v>5.2499999999999998E-2</v>
      </c>
      <c r="O912" s="22">
        <v>1052.3689999999999</v>
      </c>
      <c r="P912" s="22">
        <f t="shared" si="131"/>
        <v>872.32971148000001</v>
      </c>
      <c r="Q912" s="22">
        <v>2757.7041798239825</v>
      </c>
      <c r="R912" s="22">
        <f t="shared" si="132"/>
        <v>166.49638985687292</v>
      </c>
      <c r="S912" s="22">
        <f t="shared" si="133"/>
        <v>1038.8261013368729</v>
      </c>
      <c r="T912" s="23">
        <v>0.55859868298040061</v>
      </c>
      <c r="U912" s="24">
        <v>0.1</v>
      </c>
      <c r="V912" s="25">
        <f t="shared" ref="V912:V943" si="135">S912+S912*T912+(S912+S912*T912)*U912</f>
        <v>1781.0242927282457</v>
      </c>
      <c r="W912" s="26" t="s">
        <v>29</v>
      </c>
    </row>
    <row r="913" spans="1:23" ht="89.25" x14ac:dyDescent="0.25">
      <c r="A913" s="17">
        <f t="shared" ca="1" si="134"/>
        <v>909</v>
      </c>
      <c r="B913" s="18" t="s">
        <v>1453</v>
      </c>
      <c r="C913" s="18" t="s">
        <v>1845</v>
      </c>
      <c r="D913" s="18"/>
      <c r="E913" s="18"/>
      <c r="F913" s="18"/>
      <c r="G913" s="18"/>
      <c r="H913" s="19" t="s">
        <v>1846</v>
      </c>
      <c r="I913" s="18" t="s">
        <v>161</v>
      </c>
      <c r="J913" s="20">
        <v>1</v>
      </c>
      <c r="K913" s="20">
        <v>1.1499999999999999</v>
      </c>
      <c r="L913" s="21" t="s">
        <v>28</v>
      </c>
      <c r="M913" s="22">
        <v>2.1055999999999999</v>
      </c>
      <c r="N913" s="22">
        <v>5.2499999999999998E-2</v>
      </c>
      <c r="O913" s="22">
        <v>1052.3689999999999</v>
      </c>
      <c r="P913" s="22">
        <f t="shared" si="131"/>
        <v>2548.2483913599995</v>
      </c>
      <c r="Q913" s="22">
        <v>2757.7041798239825</v>
      </c>
      <c r="R913" s="22">
        <f t="shared" si="132"/>
        <v>166.49638985687292</v>
      </c>
      <c r="S913" s="22">
        <f t="shared" si="133"/>
        <v>2714.7447812168725</v>
      </c>
      <c r="T913" s="23">
        <v>0.55859868298040061</v>
      </c>
      <c r="U913" s="24">
        <v>0.1</v>
      </c>
      <c r="V913" s="25">
        <f t="shared" si="135"/>
        <v>4654.3174046957865</v>
      </c>
      <c r="W913" s="26" t="s">
        <v>29</v>
      </c>
    </row>
    <row r="914" spans="1:23" ht="89.25" x14ac:dyDescent="0.25">
      <c r="A914" s="17">
        <f t="shared" ca="1" si="134"/>
        <v>910</v>
      </c>
      <c r="B914" s="18" t="s">
        <v>1453</v>
      </c>
      <c r="C914" s="18" t="s">
        <v>1847</v>
      </c>
      <c r="D914" s="18"/>
      <c r="E914" s="18"/>
      <c r="F914" s="18"/>
      <c r="G914" s="18"/>
      <c r="H914" s="19" t="s">
        <v>1848</v>
      </c>
      <c r="I914" s="18" t="s">
        <v>161</v>
      </c>
      <c r="J914" s="20">
        <v>1</v>
      </c>
      <c r="K914" s="20">
        <v>1.1499999999999999</v>
      </c>
      <c r="L914" s="21" t="s">
        <v>28</v>
      </c>
      <c r="M914" s="22">
        <v>2.2496</v>
      </c>
      <c r="N914" s="22">
        <v>5.2499999999999998E-2</v>
      </c>
      <c r="O914" s="22">
        <v>1052.3689999999999</v>
      </c>
      <c r="P914" s="22">
        <f t="shared" si="131"/>
        <v>2722.5206977599996</v>
      </c>
      <c r="Q914" s="22">
        <v>2757.7041798239825</v>
      </c>
      <c r="R914" s="22">
        <f t="shared" si="132"/>
        <v>166.49638985687292</v>
      </c>
      <c r="S914" s="22">
        <f t="shared" si="133"/>
        <v>2889.0170876168727</v>
      </c>
      <c r="T914" s="23">
        <v>0.55859868298040061</v>
      </c>
      <c r="U914" s="24">
        <v>0.1</v>
      </c>
      <c r="V914" s="25">
        <f t="shared" si="135"/>
        <v>4953.1000506542832</v>
      </c>
      <c r="W914" s="26" t="s">
        <v>29</v>
      </c>
    </row>
    <row r="915" spans="1:23" ht="89.25" x14ac:dyDescent="0.25">
      <c r="A915" s="17">
        <f t="shared" ca="1" si="134"/>
        <v>911</v>
      </c>
      <c r="B915" s="18" t="s">
        <v>1453</v>
      </c>
      <c r="C915" s="18" t="s">
        <v>1849</v>
      </c>
      <c r="D915" s="18"/>
      <c r="E915" s="18"/>
      <c r="F915" s="18"/>
      <c r="G915" s="18"/>
      <c r="H915" s="19" t="s">
        <v>1850</v>
      </c>
      <c r="I915" s="18" t="s">
        <v>161</v>
      </c>
      <c r="J915" s="20">
        <v>1</v>
      </c>
      <c r="K915" s="20">
        <v>1.1499999999999999</v>
      </c>
      <c r="L915" s="21" t="s">
        <v>28</v>
      </c>
      <c r="M915" s="22">
        <v>2.3959999999999999</v>
      </c>
      <c r="N915" s="22">
        <v>5.2499999999999998E-2</v>
      </c>
      <c r="O915" s="22">
        <v>1052.3689999999999</v>
      </c>
      <c r="P915" s="22">
        <f t="shared" si="131"/>
        <v>2899.6975425999995</v>
      </c>
      <c r="Q915" s="22">
        <v>2757.7041798239825</v>
      </c>
      <c r="R915" s="22">
        <f t="shared" si="132"/>
        <v>166.49638985687292</v>
      </c>
      <c r="S915" s="22">
        <f t="shared" si="133"/>
        <v>3066.1939324568725</v>
      </c>
      <c r="T915" s="23">
        <v>0.55859868298040061</v>
      </c>
      <c r="U915" s="24">
        <v>0.1</v>
      </c>
      <c r="V915" s="25">
        <f t="shared" si="135"/>
        <v>5256.8624073787541</v>
      </c>
      <c r="W915" s="26" t="s">
        <v>29</v>
      </c>
    </row>
    <row r="916" spans="1:23" ht="89.25" x14ac:dyDescent="0.25">
      <c r="A916" s="17">
        <f t="shared" ca="1" si="134"/>
        <v>912</v>
      </c>
      <c r="B916" s="18" t="s">
        <v>1453</v>
      </c>
      <c r="C916" s="18" t="s">
        <v>1851</v>
      </c>
      <c r="D916" s="18"/>
      <c r="E916" s="18"/>
      <c r="F916" s="18"/>
      <c r="G916" s="18"/>
      <c r="H916" s="19" t="s">
        <v>1852</v>
      </c>
      <c r="I916" s="18" t="s">
        <v>161</v>
      </c>
      <c r="J916" s="20">
        <v>1</v>
      </c>
      <c r="K916" s="20">
        <v>1.1499999999999999</v>
      </c>
      <c r="L916" s="21" t="s">
        <v>28</v>
      </c>
      <c r="M916" s="22">
        <v>2.4672000000000001</v>
      </c>
      <c r="N916" s="22">
        <v>5.2499999999999998E-2</v>
      </c>
      <c r="O916" s="22">
        <v>1052.3689999999999</v>
      </c>
      <c r="P916" s="22">
        <f t="shared" si="131"/>
        <v>2985.8655163199996</v>
      </c>
      <c r="Q916" s="22">
        <v>2757.7041798239825</v>
      </c>
      <c r="R916" s="22">
        <f t="shared" si="132"/>
        <v>166.49638985687292</v>
      </c>
      <c r="S916" s="22">
        <f t="shared" si="133"/>
        <v>3152.3619061768727</v>
      </c>
      <c r="T916" s="23">
        <v>0.55859868298040061</v>
      </c>
      <c r="U916" s="24">
        <v>0.1</v>
      </c>
      <c r="V916" s="25">
        <f t="shared" si="135"/>
        <v>5404.5938267693455</v>
      </c>
      <c r="W916" s="26" t="s">
        <v>29</v>
      </c>
    </row>
    <row r="917" spans="1:23" ht="89.25" x14ac:dyDescent="0.25">
      <c r="A917" s="17">
        <f t="shared" ca="1" si="134"/>
        <v>913</v>
      </c>
      <c r="B917" s="18" t="s">
        <v>1453</v>
      </c>
      <c r="C917" s="18" t="s">
        <v>1853</v>
      </c>
      <c r="D917" s="18"/>
      <c r="E917" s="18"/>
      <c r="F917" s="18"/>
      <c r="G917" s="18"/>
      <c r="H917" s="19" t="s">
        <v>1854</v>
      </c>
      <c r="I917" s="18" t="s">
        <v>161</v>
      </c>
      <c r="J917" s="20">
        <v>1</v>
      </c>
      <c r="K917" s="20">
        <v>1.1499999999999999</v>
      </c>
      <c r="L917" s="21" t="s">
        <v>28</v>
      </c>
      <c r="M917" s="22">
        <v>2.6871999999999998</v>
      </c>
      <c r="N917" s="22">
        <v>5.2499999999999998E-2</v>
      </c>
      <c r="O917" s="22">
        <v>1052.3689999999999</v>
      </c>
      <c r="P917" s="22">
        <f t="shared" si="131"/>
        <v>3252.1148733199993</v>
      </c>
      <c r="Q917" s="22">
        <v>2757.7041798239825</v>
      </c>
      <c r="R917" s="22">
        <f t="shared" si="132"/>
        <v>166.49638985687292</v>
      </c>
      <c r="S917" s="22">
        <f t="shared" si="133"/>
        <v>3418.6112631768724</v>
      </c>
      <c r="T917" s="23">
        <v>0.55859868298040061</v>
      </c>
      <c r="U917" s="24">
        <v>0.1</v>
      </c>
      <c r="V917" s="25">
        <f t="shared" si="135"/>
        <v>5861.067313650381</v>
      </c>
      <c r="W917" s="26" t="s">
        <v>29</v>
      </c>
    </row>
    <row r="918" spans="1:23" ht="89.25" x14ac:dyDescent="0.25">
      <c r="A918" s="17">
        <f t="shared" ca="1" si="134"/>
        <v>914</v>
      </c>
      <c r="B918" s="18" t="s">
        <v>1453</v>
      </c>
      <c r="C918" s="18" t="s">
        <v>1855</v>
      </c>
      <c r="D918" s="18"/>
      <c r="E918" s="18"/>
      <c r="F918" s="18"/>
      <c r="G918" s="18"/>
      <c r="H918" s="19" t="s">
        <v>1856</v>
      </c>
      <c r="I918" s="18" t="s">
        <v>161</v>
      </c>
      <c r="J918" s="20">
        <v>1</v>
      </c>
      <c r="K918" s="20">
        <v>1.1499999999999999</v>
      </c>
      <c r="L918" s="21" t="s">
        <v>28</v>
      </c>
      <c r="M918" s="22">
        <v>2.6848000000000001</v>
      </c>
      <c r="N918" s="22">
        <v>5.2499999999999998E-2</v>
      </c>
      <c r="O918" s="22">
        <v>1052.3689999999999</v>
      </c>
      <c r="P918" s="22">
        <f t="shared" si="131"/>
        <v>3249.2103348799992</v>
      </c>
      <c r="Q918" s="22">
        <v>2757.7041798239825</v>
      </c>
      <c r="R918" s="22">
        <f t="shared" si="132"/>
        <v>166.49638985687292</v>
      </c>
      <c r="S918" s="22">
        <f t="shared" si="133"/>
        <v>3415.7067247368723</v>
      </c>
      <c r="T918" s="23">
        <v>0.55859868298040061</v>
      </c>
      <c r="U918" s="24">
        <v>0.1</v>
      </c>
      <c r="V918" s="25">
        <f t="shared" si="135"/>
        <v>5856.087602884405</v>
      </c>
      <c r="W918" s="26" t="s">
        <v>29</v>
      </c>
    </row>
    <row r="919" spans="1:23" ht="89.25" x14ac:dyDescent="0.25">
      <c r="A919" s="17">
        <f t="shared" ca="1" si="134"/>
        <v>915</v>
      </c>
      <c r="B919" s="18" t="s">
        <v>1453</v>
      </c>
      <c r="C919" s="18" t="s">
        <v>1857</v>
      </c>
      <c r="D919" s="18"/>
      <c r="E919" s="18"/>
      <c r="F919" s="18"/>
      <c r="G919" s="18"/>
      <c r="H919" s="19" t="s">
        <v>1858</v>
      </c>
      <c r="I919" s="18" t="s">
        <v>161</v>
      </c>
      <c r="J919" s="20">
        <v>1</v>
      </c>
      <c r="K919" s="20">
        <v>1.1499999999999999</v>
      </c>
      <c r="L919" s="21" t="s">
        <v>28</v>
      </c>
      <c r="M919" s="22">
        <v>2.9784000000000002</v>
      </c>
      <c r="N919" s="22">
        <v>5.2499999999999998E-2</v>
      </c>
      <c r="O919" s="22">
        <v>1052.3689999999999</v>
      </c>
      <c r="P919" s="22">
        <f t="shared" si="131"/>
        <v>3604.5322040399997</v>
      </c>
      <c r="Q919" s="22">
        <v>2757.7041798239825</v>
      </c>
      <c r="R919" s="22">
        <f t="shared" si="132"/>
        <v>166.49638985687292</v>
      </c>
      <c r="S919" s="22">
        <f t="shared" si="133"/>
        <v>3771.0285938968727</v>
      </c>
      <c r="T919" s="23">
        <v>0.55859868298040061</v>
      </c>
      <c r="U919" s="24">
        <v>0.1</v>
      </c>
      <c r="V919" s="25">
        <f t="shared" si="135"/>
        <v>6465.2722199220079</v>
      </c>
      <c r="W919" s="26" t="s">
        <v>29</v>
      </c>
    </row>
    <row r="920" spans="1:23" ht="89.25" x14ac:dyDescent="0.25">
      <c r="A920" s="17">
        <f t="shared" ca="1" si="134"/>
        <v>916</v>
      </c>
      <c r="B920" s="18" t="s">
        <v>1453</v>
      </c>
      <c r="C920" s="18" t="s">
        <v>1859</v>
      </c>
      <c r="D920" s="18"/>
      <c r="E920" s="18"/>
      <c r="F920" s="18"/>
      <c r="G920" s="18"/>
      <c r="H920" s="19" t="s">
        <v>1860</v>
      </c>
      <c r="I920" s="18" t="s">
        <v>161</v>
      </c>
      <c r="J920" s="20">
        <v>1</v>
      </c>
      <c r="K920" s="20">
        <v>1.1499999999999999</v>
      </c>
      <c r="L920" s="21" t="s">
        <v>28</v>
      </c>
      <c r="M920" s="22">
        <v>2.9024000000000001</v>
      </c>
      <c r="N920" s="22">
        <v>5.2499999999999998E-2</v>
      </c>
      <c r="O920" s="22">
        <v>1052.3689999999999</v>
      </c>
      <c r="P920" s="22">
        <f t="shared" si="131"/>
        <v>3512.5551534399992</v>
      </c>
      <c r="Q920" s="22">
        <v>2757.7041798239825</v>
      </c>
      <c r="R920" s="22">
        <f t="shared" si="132"/>
        <v>166.49638985687292</v>
      </c>
      <c r="S920" s="22">
        <f t="shared" si="133"/>
        <v>3679.0515432968723</v>
      </c>
      <c r="T920" s="23">
        <v>0.55859868298040061</v>
      </c>
      <c r="U920" s="24">
        <v>0.1</v>
      </c>
      <c r="V920" s="25">
        <f t="shared" si="135"/>
        <v>6307.5813789994663</v>
      </c>
      <c r="W920" s="26" t="s">
        <v>29</v>
      </c>
    </row>
    <row r="921" spans="1:23" ht="89.25" x14ac:dyDescent="0.25">
      <c r="A921" s="17">
        <f t="shared" ca="1" si="134"/>
        <v>917</v>
      </c>
      <c r="B921" s="18" t="s">
        <v>1453</v>
      </c>
      <c r="C921" s="18" t="s">
        <v>1861</v>
      </c>
      <c r="D921" s="18"/>
      <c r="E921" s="18"/>
      <c r="F921" s="18"/>
      <c r="G921" s="18"/>
      <c r="H921" s="19" t="s">
        <v>1862</v>
      </c>
      <c r="I921" s="18" t="s">
        <v>161</v>
      </c>
      <c r="J921" s="20">
        <v>1</v>
      </c>
      <c r="K921" s="20">
        <v>1.1499999999999999</v>
      </c>
      <c r="L921" s="21" t="s">
        <v>28</v>
      </c>
      <c r="M921" s="22">
        <v>3.9800000000000004</v>
      </c>
      <c r="N921" s="22">
        <v>5.2499999999999998E-2</v>
      </c>
      <c r="O921" s="22">
        <v>1052.3689999999999</v>
      </c>
      <c r="P921" s="22">
        <f t="shared" si="131"/>
        <v>4816.692912999999</v>
      </c>
      <c r="Q921" s="22">
        <v>2757.7041798239825</v>
      </c>
      <c r="R921" s="22">
        <f t="shared" si="132"/>
        <v>166.49638985687292</v>
      </c>
      <c r="S921" s="22">
        <f t="shared" si="133"/>
        <v>4983.189302856872</v>
      </c>
      <c r="T921" s="23">
        <v>0.55859868298040061</v>
      </c>
      <c r="U921" s="24">
        <v>0.1</v>
      </c>
      <c r="V921" s="25">
        <f t="shared" si="135"/>
        <v>8543.471512922215</v>
      </c>
      <c r="W921" s="26" t="s">
        <v>29</v>
      </c>
    </row>
    <row r="922" spans="1:23" ht="89.25" x14ac:dyDescent="0.25">
      <c r="A922" s="17">
        <f t="shared" ca="1" si="134"/>
        <v>918</v>
      </c>
      <c r="B922" s="18" t="s">
        <v>1453</v>
      </c>
      <c r="C922" s="18" t="s">
        <v>1863</v>
      </c>
      <c r="D922" s="18"/>
      <c r="E922" s="18"/>
      <c r="F922" s="18"/>
      <c r="G922" s="18"/>
      <c r="H922" s="19" t="s">
        <v>1864</v>
      </c>
      <c r="I922" s="18" t="s">
        <v>161</v>
      </c>
      <c r="J922" s="20">
        <v>1</v>
      </c>
      <c r="K922" s="20">
        <v>1.1499999999999999</v>
      </c>
      <c r="L922" s="21" t="s">
        <v>28</v>
      </c>
      <c r="M922" s="22">
        <v>3.12</v>
      </c>
      <c r="N922" s="22">
        <v>5.2499999999999998E-2</v>
      </c>
      <c r="O922" s="22">
        <v>1052.3689999999999</v>
      </c>
      <c r="P922" s="22">
        <f t="shared" si="131"/>
        <v>3775.8999719999997</v>
      </c>
      <c r="Q922" s="22">
        <v>2757.7041798239825</v>
      </c>
      <c r="R922" s="22">
        <f t="shared" si="132"/>
        <v>166.49638985687292</v>
      </c>
      <c r="S922" s="22">
        <f t="shared" si="133"/>
        <v>3942.3963618568728</v>
      </c>
      <c r="T922" s="23">
        <v>0.55859868298040061</v>
      </c>
      <c r="U922" s="24">
        <v>0.1</v>
      </c>
      <c r="V922" s="25">
        <f t="shared" si="135"/>
        <v>6759.0751551145286</v>
      </c>
      <c r="W922" s="26" t="s">
        <v>29</v>
      </c>
    </row>
    <row r="923" spans="1:23" ht="89.25" x14ac:dyDescent="0.25">
      <c r="A923" s="17">
        <f t="shared" ca="1" si="134"/>
        <v>919</v>
      </c>
      <c r="B923" s="18" t="s">
        <v>1453</v>
      </c>
      <c r="C923" s="18" t="s">
        <v>1865</v>
      </c>
      <c r="D923" s="18"/>
      <c r="E923" s="18"/>
      <c r="F923" s="18"/>
      <c r="G923" s="18"/>
      <c r="H923" s="19" t="s">
        <v>1866</v>
      </c>
      <c r="I923" s="18" t="s">
        <v>161</v>
      </c>
      <c r="J923" s="20">
        <v>1</v>
      </c>
      <c r="K923" s="20">
        <v>1.1499999999999999</v>
      </c>
      <c r="L923" s="21" t="s">
        <v>28</v>
      </c>
      <c r="M923" s="22">
        <v>4.2704000000000004</v>
      </c>
      <c r="N923" s="22">
        <v>5.2499999999999998E-2</v>
      </c>
      <c r="O923" s="22">
        <v>1052.3689999999999</v>
      </c>
      <c r="P923" s="22">
        <f t="shared" si="131"/>
        <v>5168.1420642399999</v>
      </c>
      <c r="Q923" s="22">
        <v>2757.7041798239825</v>
      </c>
      <c r="R923" s="22">
        <f t="shared" si="132"/>
        <v>166.49638985687292</v>
      </c>
      <c r="S923" s="22">
        <f t="shared" si="133"/>
        <v>5334.6384540968729</v>
      </c>
      <c r="T923" s="23">
        <v>0.55859868298040061</v>
      </c>
      <c r="U923" s="24">
        <v>0.1</v>
      </c>
      <c r="V923" s="25">
        <f t="shared" si="135"/>
        <v>9146.0165156051844</v>
      </c>
      <c r="W923" s="26" t="s">
        <v>29</v>
      </c>
    </row>
    <row r="924" spans="1:23" ht="89.25" x14ac:dyDescent="0.25">
      <c r="A924" s="17">
        <f t="shared" ca="1" si="134"/>
        <v>920</v>
      </c>
      <c r="B924" s="18" t="s">
        <v>1453</v>
      </c>
      <c r="C924" s="18" t="s">
        <v>1867</v>
      </c>
      <c r="D924" s="18"/>
      <c r="E924" s="18"/>
      <c r="F924" s="18"/>
      <c r="G924" s="18"/>
      <c r="H924" s="19" t="s">
        <v>1868</v>
      </c>
      <c r="I924" s="18" t="s">
        <v>161</v>
      </c>
      <c r="J924" s="20">
        <v>1</v>
      </c>
      <c r="K924" s="20">
        <v>1.1499999999999999</v>
      </c>
      <c r="L924" s="21" t="s">
        <v>28</v>
      </c>
      <c r="M924" s="22">
        <v>3.3376000000000001</v>
      </c>
      <c r="N924" s="22">
        <v>5.2499999999999998E-2</v>
      </c>
      <c r="O924" s="22">
        <v>1052.3689999999999</v>
      </c>
      <c r="P924" s="22">
        <f t="shared" si="131"/>
        <v>4039.2447905599997</v>
      </c>
      <c r="Q924" s="22">
        <v>2757.7041798239825</v>
      </c>
      <c r="R924" s="22">
        <f t="shared" si="132"/>
        <v>166.49638985687292</v>
      </c>
      <c r="S924" s="22">
        <f t="shared" si="133"/>
        <v>4205.7411804168723</v>
      </c>
      <c r="T924" s="23">
        <v>0.55859868298040061</v>
      </c>
      <c r="U924" s="24">
        <v>0.1</v>
      </c>
      <c r="V924" s="25">
        <f t="shared" si="135"/>
        <v>7210.568931229589</v>
      </c>
      <c r="W924" s="26" t="s">
        <v>29</v>
      </c>
    </row>
    <row r="925" spans="1:23" ht="89.25" x14ac:dyDescent="0.25">
      <c r="A925" s="17">
        <f t="shared" ca="1" si="134"/>
        <v>921</v>
      </c>
      <c r="B925" s="18" t="s">
        <v>1453</v>
      </c>
      <c r="C925" s="18" t="s">
        <v>1869</v>
      </c>
      <c r="D925" s="18"/>
      <c r="E925" s="18"/>
      <c r="F925" s="18"/>
      <c r="G925" s="18"/>
      <c r="H925" s="19" t="s">
        <v>1870</v>
      </c>
      <c r="I925" s="18" t="s">
        <v>161</v>
      </c>
      <c r="J925" s="20">
        <v>1</v>
      </c>
      <c r="K925" s="20">
        <v>1.1499999999999999</v>
      </c>
      <c r="L925" s="21" t="s">
        <v>28</v>
      </c>
      <c r="M925" s="22">
        <v>4.5616000000000003</v>
      </c>
      <c r="N925" s="22">
        <v>5.2499999999999998E-2</v>
      </c>
      <c r="O925" s="22">
        <v>1052.3689999999999</v>
      </c>
      <c r="P925" s="22">
        <f t="shared" si="131"/>
        <v>5520.5593949599997</v>
      </c>
      <c r="Q925" s="22">
        <v>2757.7041798239825</v>
      </c>
      <c r="R925" s="22">
        <f t="shared" si="132"/>
        <v>166.49638985687292</v>
      </c>
      <c r="S925" s="22">
        <f t="shared" si="133"/>
        <v>5687.0557848168728</v>
      </c>
      <c r="T925" s="23">
        <v>0.55859868298040061</v>
      </c>
      <c r="U925" s="24">
        <v>0.1</v>
      </c>
      <c r="V925" s="25">
        <f t="shared" si="135"/>
        <v>9750.2214218768113</v>
      </c>
      <c r="W925" s="26" t="s">
        <v>29</v>
      </c>
    </row>
    <row r="926" spans="1:23" ht="89.25" x14ac:dyDescent="0.25">
      <c r="A926" s="17">
        <f t="shared" ca="1" si="134"/>
        <v>922</v>
      </c>
      <c r="B926" s="18" t="s">
        <v>1453</v>
      </c>
      <c r="C926" s="18" t="s">
        <v>1871</v>
      </c>
      <c r="D926" s="18"/>
      <c r="E926" s="18"/>
      <c r="F926" s="18"/>
      <c r="G926" s="18"/>
      <c r="H926" s="19" t="s">
        <v>1872</v>
      </c>
      <c r="I926" s="18" t="s">
        <v>161</v>
      </c>
      <c r="J926" s="20">
        <v>1</v>
      </c>
      <c r="K926" s="20">
        <v>1.1499999999999999</v>
      </c>
      <c r="L926" s="21" t="s">
        <v>28</v>
      </c>
      <c r="M926" s="22">
        <v>4.2664</v>
      </c>
      <c r="N926" s="22">
        <v>5.2499999999999998E-2</v>
      </c>
      <c r="O926" s="22">
        <v>1052.3689999999999</v>
      </c>
      <c r="P926" s="22">
        <f t="shared" si="131"/>
        <v>5163.3011668399995</v>
      </c>
      <c r="Q926" s="22">
        <v>2757.7041798239825</v>
      </c>
      <c r="R926" s="22">
        <f t="shared" si="132"/>
        <v>166.49638985687292</v>
      </c>
      <c r="S926" s="22">
        <f t="shared" si="133"/>
        <v>5329.7975566968726</v>
      </c>
      <c r="T926" s="23">
        <v>0.55859868298040061</v>
      </c>
      <c r="U926" s="24">
        <v>0.1</v>
      </c>
      <c r="V926" s="25">
        <f t="shared" si="135"/>
        <v>9137.7169976618934</v>
      </c>
      <c r="W926" s="26" t="s">
        <v>29</v>
      </c>
    </row>
    <row r="927" spans="1:23" ht="89.25" x14ac:dyDescent="0.25">
      <c r="A927" s="17">
        <f t="shared" ca="1" si="134"/>
        <v>923</v>
      </c>
      <c r="B927" s="18" t="s">
        <v>1453</v>
      </c>
      <c r="C927" s="18" t="s">
        <v>1873</v>
      </c>
      <c r="D927" s="18"/>
      <c r="E927" s="18"/>
      <c r="F927" s="18"/>
      <c r="G927" s="18"/>
      <c r="H927" s="19" t="s">
        <v>1874</v>
      </c>
      <c r="I927" s="18" t="s">
        <v>161</v>
      </c>
      <c r="J927" s="20">
        <v>1</v>
      </c>
      <c r="K927" s="20">
        <v>1.1499999999999999</v>
      </c>
      <c r="L927" s="21" t="s">
        <v>28</v>
      </c>
      <c r="M927" s="22">
        <v>4.8528000000000002</v>
      </c>
      <c r="N927" s="22">
        <v>5.2499999999999998E-2</v>
      </c>
      <c r="O927" s="22">
        <v>1052.3689999999999</v>
      </c>
      <c r="P927" s="22">
        <f t="shared" si="131"/>
        <v>5872.9767256799996</v>
      </c>
      <c r="Q927" s="22">
        <v>2757.7041798239825</v>
      </c>
      <c r="R927" s="22">
        <f t="shared" si="132"/>
        <v>166.49638985687292</v>
      </c>
      <c r="S927" s="22">
        <f t="shared" si="133"/>
        <v>6039.4731155368727</v>
      </c>
      <c r="T927" s="23">
        <v>0.55859868298040061</v>
      </c>
      <c r="U927" s="24">
        <v>0.1</v>
      </c>
      <c r="V927" s="25">
        <f t="shared" si="135"/>
        <v>10354.426328148436</v>
      </c>
      <c r="W927" s="26" t="s">
        <v>29</v>
      </c>
    </row>
    <row r="928" spans="1:23" ht="89.25" x14ac:dyDescent="0.25">
      <c r="A928" s="17">
        <f t="shared" ca="1" si="134"/>
        <v>924</v>
      </c>
      <c r="B928" s="18" t="s">
        <v>1453</v>
      </c>
      <c r="C928" s="18" t="s">
        <v>1875</v>
      </c>
      <c r="D928" s="18"/>
      <c r="E928" s="18"/>
      <c r="F928" s="18"/>
      <c r="G928" s="18"/>
      <c r="H928" s="19" t="s">
        <v>1876</v>
      </c>
      <c r="I928" s="18" t="s">
        <v>161</v>
      </c>
      <c r="J928" s="20">
        <v>1</v>
      </c>
      <c r="K928" s="20">
        <v>1.1499999999999999</v>
      </c>
      <c r="L928" s="21" t="s">
        <v>28</v>
      </c>
      <c r="M928" s="22">
        <v>4.4840000000000009</v>
      </c>
      <c r="N928" s="22">
        <v>5.2499999999999998E-2</v>
      </c>
      <c r="O928" s="22">
        <v>1052.3689999999999</v>
      </c>
      <c r="P928" s="22">
        <f t="shared" si="131"/>
        <v>5426.6459854000004</v>
      </c>
      <c r="Q928" s="22">
        <v>2757.7041798239825</v>
      </c>
      <c r="R928" s="22">
        <f t="shared" si="132"/>
        <v>166.49638985687292</v>
      </c>
      <c r="S928" s="22">
        <f t="shared" si="133"/>
        <v>5593.1423752568735</v>
      </c>
      <c r="T928" s="23">
        <v>0.55859868298040061</v>
      </c>
      <c r="U928" s="24">
        <v>0.1</v>
      </c>
      <c r="V928" s="25">
        <f t="shared" si="135"/>
        <v>9589.2107737769547</v>
      </c>
      <c r="W928" s="26" t="s">
        <v>29</v>
      </c>
    </row>
    <row r="929" spans="1:23" ht="89.25" x14ac:dyDescent="0.25">
      <c r="A929" s="17">
        <f t="shared" ca="1" si="134"/>
        <v>925</v>
      </c>
      <c r="B929" s="18" t="s">
        <v>1453</v>
      </c>
      <c r="C929" s="18" t="s">
        <v>1877</v>
      </c>
      <c r="D929" s="18"/>
      <c r="E929" s="18"/>
      <c r="F929" s="18"/>
      <c r="G929" s="18"/>
      <c r="H929" s="19" t="s">
        <v>1878</v>
      </c>
      <c r="I929" s="18" t="s">
        <v>161</v>
      </c>
      <c r="J929" s="20">
        <v>1</v>
      </c>
      <c r="K929" s="20">
        <v>1.1499999999999999</v>
      </c>
      <c r="L929" s="21" t="s">
        <v>28</v>
      </c>
      <c r="M929" s="22">
        <v>5.1432000000000002</v>
      </c>
      <c r="N929" s="22">
        <v>5.2499999999999998E-2</v>
      </c>
      <c r="O929" s="22">
        <v>1052.3689999999999</v>
      </c>
      <c r="P929" s="22">
        <f t="shared" si="131"/>
        <v>6224.4258769199996</v>
      </c>
      <c r="Q929" s="22">
        <v>2757.7041798239825</v>
      </c>
      <c r="R929" s="22">
        <f t="shared" si="132"/>
        <v>166.49638985687292</v>
      </c>
      <c r="S929" s="22">
        <f t="shared" si="133"/>
        <v>6390.9222667768727</v>
      </c>
      <c r="T929" s="23">
        <v>0.55859868298040061</v>
      </c>
      <c r="U929" s="24">
        <v>0.1</v>
      </c>
      <c r="V929" s="25">
        <f t="shared" si="135"/>
        <v>10956.971330831406</v>
      </c>
      <c r="W929" s="26" t="s">
        <v>29</v>
      </c>
    </row>
    <row r="930" spans="1:23" ht="89.25" x14ac:dyDescent="0.25">
      <c r="A930" s="17">
        <f t="shared" ca="1" si="134"/>
        <v>926</v>
      </c>
      <c r="B930" s="18" t="s">
        <v>1453</v>
      </c>
      <c r="C930" s="18" t="s">
        <v>1879</v>
      </c>
      <c r="D930" s="18"/>
      <c r="E930" s="18"/>
      <c r="F930" s="18"/>
      <c r="G930" s="18"/>
      <c r="H930" s="19" t="s">
        <v>1880</v>
      </c>
      <c r="I930" s="18" t="s">
        <v>161</v>
      </c>
      <c r="J930" s="20">
        <v>1</v>
      </c>
      <c r="K930" s="20">
        <v>1.1499999999999999</v>
      </c>
      <c r="L930" s="21" t="s">
        <v>28</v>
      </c>
      <c r="M930" s="22">
        <v>4.7016</v>
      </c>
      <c r="N930" s="22">
        <v>5.2499999999999998E-2</v>
      </c>
      <c r="O930" s="22">
        <v>1052.3689999999999</v>
      </c>
      <c r="P930" s="22">
        <f t="shared" si="131"/>
        <v>5689.9908039599986</v>
      </c>
      <c r="Q930" s="22">
        <v>2757.7041798239825</v>
      </c>
      <c r="R930" s="22">
        <f t="shared" si="132"/>
        <v>166.49638985687292</v>
      </c>
      <c r="S930" s="22">
        <f t="shared" si="133"/>
        <v>5856.4871938168717</v>
      </c>
      <c r="T930" s="23">
        <v>0.55859868298040061</v>
      </c>
      <c r="U930" s="24">
        <v>0.1</v>
      </c>
      <c r="V930" s="25">
        <f t="shared" si="135"/>
        <v>10040.704549892014</v>
      </c>
      <c r="W930" s="26" t="s">
        <v>29</v>
      </c>
    </row>
    <row r="931" spans="1:23" ht="89.25" x14ac:dyDescent="0.25">
      <c r="A931" s="17">
        <f t="shared" ca="1" si="134"/>
        <v>927</v>
      </c>
      <c r="B931" s="18" t="s">
        <v>1453</v>
      </c>
      <c r="C931" s="18" t="s">
        <v>1881</v>
      </c>
      <c r="D931" s="18"/>
      <c r="E931" s="18"/>
      <c r="F931" s="18"/>
      <c r="G931" s="18"/>
      <c r="H931" s="19" t="s">
        <v>1882</v>
      </c>
      <c r="I931" s="18" t="s">
        <v>161</v>
      </c>
      <c r="J931" s="20">
        <v>1</v>
      </c>
      <c r="K931" s="20">
        <v>1.1499999999999999</v>
      </c>
      <c r="L931" s="21" t="s">
        <v>28</v>
      </c>
      <c r="M931" s="22">
        <v>5.4344000000000001</v>
      </c>
      <c r="N931" s="22">
        <v>5.2499999999999998E-2</v>
      </c>
      <c r="O931" s="22">
        <v>1052.3689999999999</v>
      </c>
      <c r="P931" s="22">
        <f t="shared" si="131"/>
        <v>6576.8432076399986</v>
      </c>
      <c r="Q931" s="22">
        <v>2757.7041798239825</v>
      </c>
      <c r="R931" s="22">
        <f t="shared" si="132"/>
        <v>166.49638985687292</v>
      </c>
      <c r="S931" s="22">
        <f t="shared" si="133"/>
        <v>6743.3395974968716</v>
      </c>
      <c r="T931" s="23">
        <v>0.55859868298040061</v>
      </c>
      <c r="U931" s="24">
        <v>0.1</v>
      </c>
      <c r="V931" s="25">
        <f t="shared" si="135"/>
        <v>11561.176237103029</v>
      </c>
      <c r="W931" s="26" t="s">
        <v>29</v>
      </c>
    </row>
    <row r="932" spans="1:23" ht="89.25" x14ac:dyDescent="0.25">
      <c r="A932" s="17">
        <f t="shared" ca="1" si="134"/>
        <v>928</v>
      </c>
      <c r="B932" s="18" t="s">
        <v>1453</v>
      </c>
      <c r="C932" s="18" t="s">
        <v>1883</v>
      </c>
      <c r="D932" s="18"/>
      <c r="E932" s="18"/>
      <c r="F932" s="18"/>
      <c r="G932" s="18"/>
      <c r="H932" s="19" t="s">
        <v>1884</v>
      </c>
      <c r="I932" s="18" t="s">
        <v>161</v>
      </c>
      <c r="J932" s="20">
        <v>1</v>
      </c>
      <c r="K932" s="20">
        <v>1.1499999999999999</v>
      </c>
      <c r="L932" s="21" t="s">
        <v>28</v>
      </c>
      <c r="M932" s="22">
        <v>4.9192</v>
      </c>
      <c r="N932" s="22">
        <v>5.2499999999999998E-2</v>
      </c>
      <c r="O932" s="22">
        <v>1052.3689999999999</v>
      </c>
      <c r="P932" s="22">
        <f t="shared" si="131"/>
        <v>5953.3356225199987</v>
      </c>
      <c r="Q932" s="22">
        <v>2757.7041798239825</v>
      </c>
      <c r="R932" s="22">
        <f t="shared" si="132"/>
        <v>166.49638985687292</v>
      </c>
      <c r="S932" s="22">
        <f t="shared" si="133"/>
        <v>6119.8320123768717</v>
      </c>
      <c r="T932" s="23">
        <v>0.55859868298040061</v>
      </c>
      <c r="U932" s="24">
        <v>0.1</v>
      </c>
      <c r="V932" s="25">
        <f t="shared" si="135"/>
        <v>10492.198326007076</v>
      </c>
      <c r="W932" s="26" t="s">
        <v>29</v>
      </c>
    </row>
    <row r="933" spans="1:23" ht="89.25" x14ac:dyDescent="0.25">
      <c r="A933" s="17">
        <f t="shared" ca="1" si="134"/>
        <v>929</v>
      </c>
      <c r="B933" s="18" t="s">
        <v>1453</v>
      </c>
      <c r="C933" s="18" t="s">
        <v>1885</v>
      </c>
      <c r="D933" s="18"/>
      <c r="E933" s="18"/>
      <c r="F933" s="18"/>
      <c r="G933" s="18"/>
      <c r="H933" s="19" t="s">
        <v>1886</v>
      </c>
      <c r="I933" s="18" t="s">
        <v>161</v>
      </c>
      <c r="J933" s="20">
        <v>1</v>
      </c>
      <c r="K933" s="20">
        <v>1.1499999999999999</v>
      </c>
      <c r="L933" s="21" t="s">
        <v>28</v>
      </c>
      <c r="M933" s="22">
        <v>6.4359999999999999</v>
      </c>
      <c r="N933" s="22">
        <v>5.2499999999999998E-2</v>
      </c>
      <c r="O933" s="22">
        <v>1052.3689999999999</v>
      </c>
      <c r="P933" s="22">
        <f t="shared" si="131"/>
        <v>7789.0039165999988</v>
      </c>
      <c r="Q933" s="22">
        <v>2757.7041798239825</v>
      </c>
      <c r="R933" s="22">
        <f t="shared" si="132"/>
        <v>166.49638985687292</v>
      </c>
      <c r="S933" s="22">
        <f t="shared" si="133"/>
        <v>7955.5003064568718</v>
      </c>
      <c r="T933" s="23">
        <v>0.55859868298040061</v>
      </c>
      <c r="U933" s="24">
        <v>0.1</v>
      </c>
      <c r="V933" s="25">
        <f t="shared" si="135"/>
        <v>13639.375530103238</v>
      </c>
      <c r="W933" s="26" t="s">
        <v>29</v>
      </c>
    </row>
    <row r="934" spans="1:23" ht="89.25" x14ac:dyDescent="0.25">
      <c r="A934" s="17">
        <f t="shared" ca="1" si="134"/>
        <v>930</v>
      </c>
      <c r="B934" s="18" t="s">
        <v>1453</v>
      </c>
      <c r="C934" s="18" t="s">
        <v>1887</v>
      </c>
      <c r="D934" s="18"/>
      <c r="E934" s="18"/>
      <c r="F934" s="18"/>
      <c r="G934" s="18"/>
      <c r="H934" s="19" t="s">
        <v>1888</v>
      </c>
      <c r="I934" s="18" t="s">
        <v>161</v>
      </c>
      <c r="J934" s="20">
        <v>1</v>
      </c>
      <c r="K934" s="20">
        <v>1.1499999999999999</v>
      </c>
      <c r="L934" s="21" t="s">
        <v>28</v>
      </c>
      <c r="M934" s="22">
        <v>5.1368000000000009</v>
      </c>
      <c r="N934" s="22">
        <v>5.2499999999999998E-2</v>
      </c>
      <c r="O934" s="22">
        <v>1052.3689999999999</v>
      </c>
      <c r="P934" s="22">
        <f t="shared" si="131"/>
        <v>6216.6804410799996</v>
      </c>
      <c r="Q934" s="22">
        <v>2757.7041798239825</v>
      </c>
      <c r="R934" s="22">
        <f t="shared" si="132"/>
        <v>166.49638985687292</v>
      </c>
      <c r="S934" s="22">
        <f t="shared" si="133"/>
        <v>6383.1768309368726</v>
      </c>
      <c r="T934" s="23">
        <v>0.55859868298040061</v>
      </c>
      <c r="U934" s="24">
        <v>0.1</v>
      </c>
      <c r="V934" s="25">
        <f t="shared" si="135"/>
        <v>10943.692102122141</v>
      </c>
      <c r="W934" s="26" t="s">
        <v>29</v>
      </c>
    </row>
    <row r="935" spans="1:23" ht="89.25" x14ac:dyDescent="0.25">
      <c r="A935" s="17">
        <f t="shared" ca="1" si="134"/>
        <v>931</v>
      </c>
      <c r="B935" s="18" t="s">
        <v>1453</v>
      </c>
      <c r="C935" s="18" t="s">
        <v>1889</v>
      </c>
      <c r="D935" s="18"/>
      <c r="E935" s="18"/>
      <c r="F935" s="18"/>
      <c r="G935" s="18"/>
      <c r="H935" s="19" t="s">
        <v>1890</v>
      </c>
      <c r="I935" s="18" t="s">
        <v>161</v>
      </c>
      <c r="J935" s="20">
        <v>1</v>
      </c>
      <c r="K935" s="20">
        <v>1.1499999999999999</v>
      </c>
      <c r="L935" s="21" t="s">
        <v>28</v>
      </c>
      <c r="M935" s="22">
        <v>6.0160000000000009</v>
      </c>
      <c r="N935" s="22">
        <v>5.2499999999999998E-2</v>
      </c>
      <c r="O935" s="22">
        <v>1052.3689999999999</v>
      </c>
      <c r="P935" s="22">
        <f t="shared" si="131"/>
        <v>7280.7096896000003</v>
      </c>
      <c r="Q935" s="22">
        <v>2757.7041798239825</v>
      </c>
      <c r="R935" s="22">
        <f t="shared" si="132"/>
        <v>166.49638985687292</v>
      </c>
      <c r="S935" s="22">
        <f t="shared" si="133"/>
        <v>7447.2060794568733</v>
      </c>
      <c r="T935" s="23">
        <v>0.55859868298040061</v>
      </c>
      <c r="U935" s="24">
        <v>0.1</v>
      </c>
      <c r="V935" s="25">
        <f t="shared" si="135"/>
        <v>12767.926146057627</v>
      </c>
      <c r="W935" s="26" t="s">
        <v>29</v>
      </c>
    </row>
    <row r="936" spans="1:23" ht="89.25" x14ac:dyDescent="0.25">
      <c r="A936" s="17">
        <f t="shared" ca="1" si="134"/>
        <v>932</v>
      </c>
      <c r="B936" s="18" t="s">
        <v>1453</v>
      </c>
      <c r="C936" s="18" t="s">
        <v>1891</v>
      </c>
      <c r="D936" s="18"/>
      <c r="E936" s="18"/>
      <c r="F936" s="18"/>
      <c r="G936" s="18"/>
      <c r="H936" s="19" t="s">
        <v>1892</v>
      </c>
      <c r="I936" s="18" t="s">
        <v>161</v>
      </c>
      <c r="J936" s="20">
        <v>1</v>
      </c>
      <c r="K936" s="20">
        <v>1.1499999999999999</v>
      </c>
      <c r="L936" s="21" t="s">
        <v>28</v>
      </c>
      <c r="M936" s="22">
        <v>5.3544000000000009</v>
      </c>
      <c r="N936" s="22">
        <v>5.2499999999999998E-2</v>
      </c>
      <c r="O936" s="22">
        <v>1052.3689999999999</v>
      </c>
      <c r="P936" s="22">
        <f t="shared" si="131"/>
        <v>6480.0252596399996</v>
      </c>
      <c r="Q936" s="22">
        <v>2757.7041798239825</v>
      </c>
      <c r="R936" s="22">
        <f t="shared" si="132"/>
        <v>166.49638985687292</v>
      </c>
      <c r="S936" s="22">
        <f t="shared" si="133"/>
        <v>6646.5216494968727</v>
      </c>
      <c r="T936" s="23">
        <v>0.55859868298040061</v>
      </c>
      <c r="U936" s="24">
        <v>0.1</v>
      </c>
      <c r="V936" s="25">
        <f t="shared" si="135"/>
        <v>11395.1858782372</v>
      </c>
      <c r="W936" s="26" t="s">
        <v>29</v>
      </c>
    </row>
    <row r="937" spans="1:23" ht="89.25" x14ac:dyDescent="0.25">
      <c r="A937" s="17">
        <f t="shared" ca="1" si="134"/>
        <v>933</v>
      </c>
      <c r="B937" s="18" t="s">
        <v>1453</v>
      </c>
      <c r="C937" s="18" t="s">
        <v>1893</v>
      </c>
      <c r="D937" s="18"/>
      <c r="E937" s="18"/>
      <c r="F937" s="18"/>
      <c r="G937" s="18"/>
      <c r="H937" s="19" t="s">
        <v>1894</v>
      </c>
      <c r="I937" s="18" t="s">
        <v>161</v>
      </c>
      <c r="J937" s="20">
        <v>1</v>
      </c>
      <c r="K937" s="20">
        <v>1.1499999999999999</v>
      </c>
      <c r="L937" s="21" t="s">
        <v>28</v>
      </c>
      <c r="M937" s="22">
        <v>7.0175999999999989</v>
      </c>
      <c r="N937" s="22">
        <v>5.2499999999999998E-2</v>
      </c>
      <c r="O937" s="22">
        <v>1052.3689999999999</v>
      </c>
      <c r="P937" s="22">
        <f t="shared" si="131"/>
        <v>8492.8703985599968</v>
      </c>
      <c r="Q937" s="22">
        <v>2757.7041798239825</v>
      </c>
      <c r="R937" s="22">
        <f t="shared" si="132"/>
        <v>166.49638985687292</v>
      </c>
      <c r="S937" s="22">
        <f t="shared" si="133"/>
        <v>8659.3667884168699</v>
      </c>
      <c r="T937" s="23">
        <v>0.55859868298040061</v>
      </c>
      <c r="U937" s="24">
        <v>0.1</v>
      </c>
      <c r="V937" s="25">
        <f t="shared" si="135"/>
        <v>14846.125439057831</v>
      </c>
      <c r="W937" s="26" t="s">
        <v>29</v>
      </c>
    </row>
    <row r="938" spans="1:23" ht="89.25" x14ac:dyDescent="0.25">
      <c r="A938" s="17">
        <f t="shared" ca="1" si="134"/>
        <v>934</v>
      </c>
      <c r="B938" s="18" t="s">
        <v>1453</v>
      </c>
      <c r="C938" s="18" t="s">
        <v>1895</v>
      </c>
      <c r="D938" s="18"/>
      <c r="E938" s="18"/>
      <c r="F938" s="18"/>
      <c r="G938" s="18"/>
      <c r="H938" s="19" t="s">
        <v>1896</v>
      </c>
      <c r="I938" s="18" t="s">
        <v>161</v>
      </c>
      <c r="J938" s="20">
        <v>1</v>
      </c>
      <c r="K938" s="20">
        <v>1.1499999999999999</v>
      </c>
      <c r="L938" s="21" t="s">
        <v>28</v>
      </c>
      <c r="M938" s="22">
        <v>5.5720000000000001</v>
      </c>
      <c r="N938" s="22">
        <v>5.2499999999999998E-2</v>
      </c>
      <c r="O938" s="22">
        <v>1052.3689999999999</v>
      </c>
      <c r="P938" s="22">
        <f t="shared" si="131"/>
        <v>6743.3700781999987</v>
      </c>
      <c r="Q938" s="22">
        <v>2757.7041798239825</v>
      </c>
      <c r="R938" s="22">
        <f t="shared" si="132"/>
        <v>166.49638985687292</v>
      </c>
      <c r="S938" s="22">
        <f t="shared" si="133"/>
        <v>6909.8664680568718</v>
      </c>
      <c r="T938" s="23">
        <v>0.55859868298040061</v>
      </c>
      <c r="U938" s="24">
        <v>0.1</v>
      </c>
      <c r="V938" s="25">
        <f t="shared" si="135"/>
        <v>11846.67965435226</v>
      </c>
      <c r="W938" s="26" t="s">
        <v>29</v>
      </c>
    </row>
    <row r="939" spans="1:23" ht="89.25" x14ac:dyDescent="0.25">
      <c r="A939" s="17">
        <f t="shared" ca="1" si="134"/>
        <v>935</v>
      </c>
      <c r="B939" s="18" t="s">
        <v>1453</v>
      </c>
      <c r="C939" s="18" t="s">
        <v>1897</v>
      </c>
      <c r="D939" s="18"/>
      <c r="E939" s="18"/>
      <c r="F939" s="18"/>
      <c r="G939" s="18"/>
      <c r="H939" s="19" t="s">
        <v>1898</v>
      </c>
      <c r="I939" s="18" t="s">
        <v>161</v>
      </c>
      <c r="J939" s="20">
        <v>1</v>
      </c>
      <c r="K939" s="20">
        <v>1.1499999999999999</v>
      </c>
      <c r="L939" s="21" t="s">
        <v>28</v>
      </c>
      <c r="M939" s="22">
        <v>7.3087999999999997</v>
      </c>
      <c r="N939" s="22">
        <v>5.2499999999999998E-2</v>
      </c>
      <c r="O939" s="22">
        <v>1052.3689999999999</v>
      </c>
      <c r="P939" s="22">
        <f t="shared" si="131"/>
        <v>8845.2877292799985</v>
      </c>
      <c r="Q939" s="22">
        <v>2757.7041798239825</v>
      </c>
      <c r="R939" s="22">
        <f t="shared" si="132"/>
        <v>166.49638985687292</v>
      </c>
      <c r="S939" s="22">
        <f t="shared" si="133"/>
        <v>9011.7841191368716</v>
      </c>
      <c r="T939" s="23">
        <v>0.55859868298040061</v>
      </c>
      <c r="U939" s="24">
        <v>0.1</v>
      </c>
      <c r="V939" s="25">
        <f t="shared" si="135"/>
        <v>15450.330345329459</v>
      </c>
      <c r="W939" s="26" t="s">
        <v>29</v>
      </c>
    </row>
    <row r="940" spans="1:23" ht="89.25" x14ac:dyDescent="0.25">
      <c r="A940" s="17">
        <f t="shared" ca="1" si="134"/>
        <v>936</v>
      </c>
      <c r="B940" s="18" t="s">
        <v>1453</v>
      </c>
      <c r="C940" s="18" t="s">
        <v>1899</v>
      </c>
      <c r="D940" s="18"/>
      <c r="E940" s="18"/>
      <c r="F940" s="18"/>
      <c r="G940" s="18"/>
      <c r="H940" s="19" t="s">
        <v>1900</v>
      </c>
      <c r="I940" s="18" t="s">
        <v>161</v>
      </c>
      <c r="J940" s="20">
        <v>1</v>
      </c>
      <c r="K940" s="20">
        <v>1.1499999999999999</v>
      </c>
      <c r="L940" s="21" t="s">
        <v>28</v>
      </c>
      <c r="M940" s="22">
        <v>5.7896000000000001</v>
      </c>
      <c r="N940" s="22">
        <v>5.2499999999999998E-2</v>
      </c>
      <c r="O940" s="22">
        <v>1052.3689999999999</v>
      </c>
      <c r="P940" s="22">
        <f t="shared" si="131"/>
        <v>7006.7148967599987</v>
      </c>
      <c r="Q940" s="22">
        <v>2757.7041798239825</v>
      </c>
      <c r="R940" s="22">
        <f t="shared" si="132"/>
        <v>166.49638985687292</v>
      </c>
      <c r="S940" s="22">
        <f t="shared" si="133"/>
        <v>7173.2112866168718</v>
      </c>
      <c r="T940" s="23">
        <v>0.55859868298040061</v>
      </c>
      <c r="U940" s="24">
        <v>0.1</v>
      </c>
      <c r="V940" s="25">
        <f t="shared" si="135"/>
        <v>12298.173430467323</v>
      </c>
      <c r="W940" s="26" t="s">
        <v>29</v>
      </c>
    </row>
    <row r="941" spans="1:23" ht="89.25" x14ac:dyDescent="0.25">
      <c r="A941" s="17">
        <f t="shared" ca="1" si="134"/>
        <v>937</v>
      </c>
      <c r="B941" s="18" t="s">
        <v>1453</v>
      </c>
      <c r="C941" s="18" t="s">
        <v>1901</v>
      </c>
      <c r="D941" s="18"/>
      <c r="E941" s="18"/>
      <c r="F941" s="18"/>
      <c r="G941" s="18"/>
      <c r="H941" s="19" t="s">
        <v>1902</v>
      </c>
      <c r="I941" s="18" t="s">
        <v>161</v>
      </c>
      <c r="J941" s="20">
        <v>1</v>
      </c>
      <c r="K941" s="20">
        <v>1.1499999999999999</v>
      </c>
      <c r="L941" s="21" t="s">
        <v>28</v>
      </c>
      <c r="M941" s="22">
        <v>7.6000000000000005</v>
      </c>
      <c r="N941" s="22">
        <v>5.2499999999999998E-2</v>
      </c>
      <c r="O941" s="22">
        <v>1052.3689999999999</v>
      </c>
      <c r="P941" s="22">
        <f t="shared" si="131"/>
        <v>9197.7050599999984</v>
      </c>
      <c r="Q941" s="22">
        <v>2757.7041798239825</v>
      </c>
      <c r="R941" s="22">
        <f t="shared" si="132"/>
        <v>166.49638985687292</v>
      </c>
      <c r="S941" s="22">
        <f t="shared" si="133"/>
        <v>9364.2014498568715</v>
      </c>
      <c r="T941" s="23">
        <v>0.55859868298040061</v>
      </c>
      <c r="U941" s="24">
        <v>0.1</v>
      </c>
      <c r="V941" s="25">
        <f t="shared" si="135"/>
        <v>16054.535251601084</v>
      </c>
      <c r="W941" s="26" t="s">
        <v>29</v>
      </c>
    </row>
    <row r="942" spans="1:23" ht="89.25" x14ac:dyDescent="0.25">
      <c r="A942" s="17">
        <f t="shared" ca="1" si="134"/>
        <v>938</v>
      </c>
      <c r="B942" s="18" t="s">
        <v>1453</v>
      </c>
      <c r="C942" s="18" t="s">
        <v>1903</v>
      </c>
      <c r="D942" s="18"/>
      <c r="E942" s="18"/>
      <c r="F942" s="18"/>
      <c r="G942" s="18"/>
      <c r="H942" s="19" t="s">
        <v>1904</v>
      </c>
      <c r="I942" s="18" t="s">
        <v>161</v>
      </c>
      <c r="J942" s="20">
        <v>1</v>
      </c>
      <c r="K942" s="20">
        <v>1.1499999999999999</v>
      </c>
      <c r="L942" s="21" t="s">
        <v>28</v>
      </c>
      <c r="M942" s="22">
        <v>6.007200000000001</v>
      </c>
      <c r="N942" s="22">
        <v>5.2499999999999998E-2</v>
      </c>
      <c r="O942" s="22">
        <v>1052.3689999999999</v>
      </c>
      <c r="P942" s="22">
        <f t="shared" si="131"/>
        <v>7270.0597153200006</v>
      </c>
      <c r="Q942" s="22">
        <v>2757.7041798239825</v>
      </c>
      <c r="R942" s="22">
        <f t="shared" si="132"/>
        <v>166.49638985687292</v>
      </c>
      <c r="S942" s="22">
        <f t="shared" si="133"/>
        <v>7436.5561051768736</v>
      </c>
      <c r="T942" s="23">
        <v>0.55859868298040061</v>
      </c>
      <c r="U942" s="24">
        <v>0.1</v>
      </c>
      <c r="V942" s="25">
        <f t="shared" si="135"/>
        <v>12749.667206582388</v>
      </c>
      <c r="W942" s="26" t="s">
        <v>29</v>
      </c>
    </row>
    <row r="943" spans="1:23" ht="89.25" x14ac:dyDescent="0.25">
      <c r="A943" s="17">
        <f t="shared" ca="1" si="134"/>
        <v>939</v>
      </c>
      <c r="B943" s="18" t="s">
        <v>1453</v>
      </c>
      <c r="C943" s="18" t="s">
        <v>1905</v>
      </c>
      <c r="D943" s="18"/>
      <c r="E943" s="18"/>
      <c r="F943" s="18"/>
      <c r="G943" s="18"/>
      <c r="H943" s="19" t="s">
        <v>1906</v>
      </c>
      <c r="I943" s="18" t="s">
        <v>161</v>
      </c>
      <c r="J943" s="20">
        <v>1</v>
      </c>
      <c r="K943" s="20">
        <v>1.1499999999999999</v>
      </c>
      <c r="L943" s="21" t="s">
        <v>28</v>
      </c>
      <c r="M943" s="22">
        <v>7.8903999999999996</v>
      </c>
      <c r="N943" s="22">
        <v>5.2499999999999998E-2</v>
      </c>
      <c r="O943" s="22">
        <v>1052.3689999999999</v>
      </c>
      <c r="P943" s="22">
        <f t="shared" si="131"/>
        <v>9549.1542112399984</v>
      </c>
      <c r="Q943" s="22">
        <v>2757.7041798239825</v>
      </c>
      <c r="R943" s="22">
        <f t="shared" si="132"/>
        <v>166.49638985687292</v>
      </c>
      <c r="S943" s="22">
        <f t="shared" si="133"/>
        <v>9715.6506010968715</v>
      </c>
      <c r="T943" s="23">
        <v>0.55859868298040061</v>
      </c>
      <c r="U943" s="24">
        <v>0.1</v>
      </c>
      <c r="V943" s="25">
        <f t="shared" si="135"/>
        <v>16657.080254284054</v>
      </c>
      <c r="W943" s="26" t="s">
        <v>29</v>
      </c>
    </row>
    <row r="944" spans="1:23" x14ac:dyDescent="0.25">
      <c r="A944" s="12">
        <f t="shared" ca="1" si="134"/>
        <v>940</v>
      </c>
      <c r="B944" s="13" t="s">
        <v>1453</v>
      </c>
      <c r="C944" s="13" t="s">
        <v>1907</v>
      </c>
      <c r="D944" s="13"/>
      <c r="E944" s="13"/>
      <c r="F944" s="13"/>
      <c r="G944" s="13"/>
      <c r="H944" s="15" t="s">
        <v>1908</v>
      </c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27"/>
      <c r="U944" s="16"/>
      <c r="V944" s="13"/>
      <c r="W944" s="13"/>
    </row>
    <row r="945" spans="1:23" ht="89.25" x14ac:dyDescent="0.25">
      <c r="A945" s="17">
        <f t="shared" ca="1" si="134"/>
        <v>941</v>
      </c>
      <c r="B945" s="18" t="s">
        <v>1453</v>
      </c>
      <c r="C945" s="18" t="s">
        <v>1909</v>
      </c>
      <c r="D945" s="18"/>
      <c r="E945" s="18"/>
      <c r="F945" s="18"/>
      <c r="G945" s="18"/>
      <c r="H945" s="19" t="s">
        <v>1910</v>
      </c>
      <c r="I945" s="18" t="s">
        <v>161</v>
      </c>
      <c r="J945" s="20">
        <v>1</v>
      </c>
      <c r="K945" s="20">
        <v>1.1499999999999999</v>
      </c>
      <c r="L945" s="21" t="s">
        <v>28</v>
      </c>
      <c r="M945" s="22">
        <v>5.2416</v>
      </c>
      <c r="N945" s="22">
        <v>0.21</v>
      </c>
      <c r="O945" s="22">
        <v>1052.3689999999999</v>
      </c>
      <c r="P945" s="22">
        <f t="shared" si="131"/>
        <v>6343.5119529599988</v>
      </c>
      <c r="Q945" s="22">
        <v>2757.7041798239825</v>
      </c>
      <c r="R945" s="22">
        <f t="shared" si="132"/>
        <v>665.98555942749169</v>
      </c>
      <c r="S945" s="22">
        <f t="shared" si="133"/>
        <v>7009.4975123874901</v>
      </c>
      <c r="T945" s="23">
        <v>0.55859868298040061</v>
      </c>
      <c r="U945" s="24">
        <v>0.1</v>
      </c>
      <c r="V945" s="25">
        <f t="shared" ref="V945:V949" si="136">S945+S945*T945+(S945+S945*T945)*U945</f>
        <v>12017.492950277689</v>
      </c>
      <c r="W945" s="26" t="s">
        <v>29</v>
      </c>
    </row>
    <row r="946" spans="1:23" ht="89.25" x14ac:dyDescent="0.25">
      <c r="A946" s="17">
        <f t="shared" ca="1" si="134"/>
        <v>942</v>
      </c>
      <c r="B946" s="18" t="s">
        <v>1453</v>
      </c>
      <c r="C946" s="18" t="s">
        <v>1911</v>
      </c>
      <c r="D946" s="18"/>
      <c r="E946" s="18"/>
      <c r="F946" s="18"/>
      <c r="G946" s="18"/>
      <c r="H946" s="19" t="s">
        <v>1912</v>
      </c>
      <c r="I946" s="18" t="s">
        <v>161</v>
      </c>
      <c r="J946" s="20">
        <v>1</v>
      </c>
      <c r="K946" s="20">
        <v>1.1499999999999999</v>
      </c>
      <c r="L946" s="21" t="s">
        <v>28</v>
      </c>
      <c r="M946" s="22">
        <v>8.057599999999999</v>
      </c>
      <c r="N946" s="22">
        <v>0.21</v>
      </c>
      <c r="O946" s="22">
        <v>1052.3689999999999</v>
      </c>
      <c r="P946" s="22">
        <f t="shared" si="131"/>
        <v>9751.5037225599972</v>
      </c>
      <c r="Q946" s="22">
        <v>2757.7041798239825</v>
      </c>
      <c r="R946" s="22">
        <f t="shared" si="132"/>
        <v>665.98555942749169</v>
      </c>
      <c r="S946" s="22">
        <f t="shared" si="133"/>
        <v>10417.489281987489</v>
      </c>
      <c r="T946" s="23">
        <v>0.55859868298040061</v>
      </c>
      <c r="U946" s="24">
        <v>0.1</v>
      </c>
      <c r="V946" s="25">
        <f t="shared" si="136"/>
        <v>17860.353582354954</v>
      </c>
      <c r="W946" s="26" t="s">
        <v>29</v>
      </c>
    </row>
    <row r="947" spans="1:23" ht="89.25" x14ac:dyDescent="0.25">
      <c r="A947" s="17">
        <f t="shared" ca="1" si="134"/>
        <v>943</v>
      </c>
      <c r="B947" s="18" t="s">
        <v>1453</v>
      </c>
      <c r="C947" s="18" t="s">
        <v>1913</v>
      </c>
      <c r="D947" s="18"/>
      <c r="E947" s="18"/>
      <c r="F947" s="18"/>
      <c r="G947" s="18"/>
      <c r="H947" s="19" t="s">
        <v>1914</v>
      </c>
      <c r="I947" s="18" t="s">
        <v>161</v>
      </c>
      <c r="J947" s="20">
        <v>1</v>
      </c>
      <c r="K947" s="20">
        <v>1.1499999999999999</v>
      </c>
      <c r="L947" s="21" t="s">
        <v>28</v>
      </c>
      <c r="M947" s="22">
        <v>12.281600000000001</v>
      </c>
      <c r="N947" s="22">
        <v>0.21</v>
      </c>
      <c r="O947" s="22">
        <v>1052.3689999999999</v>
      </c>
      <c r="P947" s="22">
        <f t="shared" si="131"/>
        <v>14863.491376959999</v>
      </c>
      <c r="Q947" s="22">
        <v>2757.7041798239825</v>
      </c>
      <c r="R947" s="22">
        <f t="shared" si="132"/>
        <v>665.98555942749169</v>
      </c>
      <c r="S947" s="22">
        <f t="shared" si="133"/>
        <v>15529.476936387491</v>
      </c>
      <c r="T947" s="23">
        <v>0.55859868298040061</v>
      </c>
      <c r="U947" s="24">
        <v>0.1</v>
      </c>
      <c r="V947" s="25">
        <f t="shared" si="136"/>
        <v>26624.644530470854</v>
      </c>
      <c r="W947" s="26" t="s">
        <v>29</v>
      </c>
    </row>
    <row r="948" spans="1:23" ht="89.25" x14ac:dyDescent="0.25">
      <c r="A948" s="17">
        <f t="shared" ca="1" si="134"/>
        <v>944</v>
      </c>
      <c r="B948" s="18" t="s">
        <v>1453</v>
      </c>
      <c r="C948" s="18" t="s">
        <v>1915</v>
      </c>
      <c r="D948" s="18"/>
      <c r="E948" s="18"/>
      <c r="F948" s="18"/>
      <c r="G948" s="18"/>
      <c r="H948" s="19" t="s">
        <v>1916</v>
      </c>
      <c r="I948" s="18" t="s">
        <v>161</v>
      </c>
      <c r="J948" s="20">
        <v>1</v>
      </c>
      <c r="K948" s="20">
        <v>1.1499999999999999</v>
      </c>
      <c r="L948" s="21" t="s">
        <v>28</v>
      </c>
      <c r="M948" s="22">
        <v>20.729600000000005</v>
      </c>
      <c r="N948" s="22">
        <v>0.21</v>
      </c>
      <c r="O948" s="22">
        <v>1052.3689999999999</v>
      </c>
      <c r="P948" s="22">
        <f t="shared" si="131"/>
        <v>25087.466685760002</v>
      </c>
      <c r="Q948" s="22">
        <v>2757.7041798239825</v>
      </c>
      <c r="R948" s="22">
        <f t="shared" si="132"/>
        <v>665.98555942749169</v>
      </c>
      <c r="S948" s="22">
        <f t="shared" si="133"/>
        <v>25753.452245187495</v>
      </c>
      <c r="T948" s="23">
        <v>0.55859868298040061</v>
      </c>
      <c r="U948" s="24">
        <v>0.1</v>
      </c>
      <c r="V948" s="25">
        <f t="shared" si="136"/>
        <v>44153.226426702655</v>
      </c>
      <c r="W948" s="26" t="s">
        <v>29</v>
      </c>
    </row>
    <row r="949" spans="1:23" ht="89.25" x14ac:dyDescent="0.25">
      <c r="A949" s="17">
        <f t="shared" ca="1" si="134"/>
        <v>945</v>
      </c>
      <c r="B949" s="18" t="s">
        <v>1453</v>
      </c>
      <c r="C949" s="18" t="s">
        <v>1917</v>
      </c>
      <c r="D949" s="18"/>
      <c r="E949" s="18"/>
      <c r="F949" s="18"/>
      <c r="G949" s="18"/>
      <c r="H949" s="19" t="s">
        <v>1918</v>
      </c>
      <c r="I949" s="18" t="s">
        <v>1919</v>
      </c>
      <c r="J949" s="20">
        <v>1</v>
      </c>
      <c r="K949" s="20">
        <v>1.1499999999999999</v>
      </c>
      <c r="L949" s="21" t="s">
        <v>28</v>
      </c>
      <c r="M949" s="22">
        <v>0.22719999999999999</v>
      </c>
      <c r="N949" s="22">
        <v>5.2499999999999998E-2</v>
      </c>
      <c r="O949" s="22">
        <v>1052.3689999999999</v>
      </c>
      <c r="P949" s="22">
        <f t="shared" si="131"/>
        <v>274.96297231999995</v>
      </c>
      <c r="Q949" s="22">
        <v>2757.7041798239825</v>
      </c>
      <c r="R949" s="22">
        <f t="shared" si="132"/>
        <v>166.49638985687292</v>
      </c>
      <c r="S949" s="22">
        <f t="shared" si="133"/>
        <v>441.4593621768729</v>
      </c>
      <c r="T949" s="23">
        <v>0.55859868298040061</v>
      </c>
      <c r="U949" s="24">
        <v>0.1</v>
      </c>
      <c r="V949" s="25">
        <f t="shared" si="136"/>
        <v>756.86377852606597</v>
      </c>
      <c r="W949" s="26" t="s">
        <v>29</v>
      </c>
    </row>
    <row r="950" spans="1:23" x14ac:dyDescent="0.25">
      <c r="A950" s="12">
        <f t="shared" ca="1" si="134"/>
        <v>946</v>
      </c>
      <c r="B950" s="13" t="s">
        <v>1453</v>
      </c>
      <c r="C950" s="13" t="s">
        <v>1920</v>
      </c>
      <c r="D950" s="13"/>
      <c r="E950" s="13"/>
      <c r="F950" s="13"/>
      <c r="G950" s="13"/>
      <c r="H950" s="15" t="s">
        <v>1921</v>
      </c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27"/>
      <c r="U950" s="16"/>
      <c r="V950" s="13"/>
      <c r="W950" s="13"/>
    </row>
    <row r="951" spans="1:23" ht="89.25" x14ac:dyDescent="0.25">
      <c r="A951" s="17">
        <f t="shared" ca="1" si="134"/>
        <v>947</v>
      </c>
      <c r="B951" s="18" t="s">
        <v>1453</v>
      </c>
      <c r="C951" s="18" t="s">
        <v>1922</v>
      </c>
      <c r="D951" s="18"/>
      <c r="E951" s="18"/>
      <c r="F951" s="18"/>
      <c r="G951" s="18"/>
      <c r="H951" s="19" t="s">
        <v>1923</v>
      </c>
      <c r="I951" s="18" t="s">
        <v>161</v>
      </c>
      <c r="J951" s="20">
        <v>1</v>
      </c>
      <c r="K951" s="20">
        <v>1.1499999999999999</v>
      </c>
      <c r="L951" s="21" t="s">
        <v>28</v>
      </c>
      <c r="M951" s="22">
        <v>6.1944000000000008</v>
      </c>
      <c r="N951" s="22">
        <v>0.21</v>
      </c>
      <c r="O951" s="22">
        <v>1052.3689999999999</v>
      </c>
      <c r="P951" s="22">
        <f t="shared" si="131"/>
        <v>7496.6137136399993</v>
      </c>
      <c r="Q951" s="22">
        <v>2757.7041798239825</v>
      </c>
      <c r="R951" s="22">
        <f t="shared" si="132"/>
        <v>665.98555942749169</v>
      </c>
      <c r="S951" s="22">
        <f t="shared" si="133"/>
        <v>8162.5992730674907</v>
      </c>
      <c r="T951" s="23">
        <v>0.55859868298040061</v>
      </c>
      <c r="U951" s="24">
        <v>0.1</v>
      </c>
      <c r="V951" s="25">
        <f t="shared" ref="V951:V955" si="137">S951+S951*T951+(S951+S951*T951)*U951</f>
        <v>13994.438124369743</v>
      </c>
      <c r="W951" s="26" t="s">
        <v>29</v>
      </c>
    </row>
    <row r="952" spans="1:23" ht="89.25" x14ac:dyDescent="0.25">
      <c r="A952" s="17">
        <f t="shared" ca="1" si="134"/>
        <v>948</v>
      </c>
      <c r="B952" s="18" t="s">
        <v>1453</v>
      </c>
      <c r="C952" s="18" t="s">
        <v>1924</v>
      </c>
      <c r="D952" s="18"/>
      <c r="E952" s="18"/>
      <c r="F952" s="18"/>
      <c r="G952" s="18"/>
      <c r="H952" s="19" t="s">
        <v>1925</v>
      </c>
      <c r="I952" s="18" t="s">
        <v>161</v>
      </c>
      <c r="J952" s="20">
        <v>1</v>
      </c>
      <c r="K952" s="20">
        <v>1.1499999999999999</v>
      </c>
      <c r="L952" s="21" t="s">
        <v>28</v>
      </c>
      <c r="M952" s="22">
        <v>9.573599999999999</v>
      </c>
      <c r="N952" s="22">
        <v>0.21</v>
      </c>
      <c r="O952" s="22">
        <v>1052.3689999999999</v>
      </c>
      <c r="P952" s="22">
        <f t="shared" si="131"/>
        <v>11586.203837159997</v>
      </c>
      <c r="Q952" s="22">
        <v>2757.7041798239825</v>
      </c>
      <c r="R952" s="22">
        <f t="shared" si="132"/>
        <v>665.98555942749169</v>
      </c>
      <c r="S952" s="22">
        <f t="shared" si="133"/>
        <v>12252.18939658749</v>
      </c>
      <c r="T952" s="23">
        <v>0.55859868298040061</v>
      </c>
      <c r="U952" s="24">
        <v>0.1</v>
      </c>
      <c r="V952" s="25">
        <f t="shared" si="137"/>
        <v>21005.870882862459</v>
      </c>
      <c r="W952" s="26" t="s">
        <v>29</v>
      </c>
    </row>
    <row r="953" spans="1:23" ht="89.25" x14ac:dyDescent="0.25">
      <c r="A953" s="17">
        <f t="shared" ca="1" si="134"/>
        <v>949</v>
      </c>
      <c r="B953" s="18" t="s">
        <v>1453</v>
      </c>
      <c r="C953" s="18" t="s">
        <v>1926</v>
      </c>
      <c r="D953" s="18"/>
      <c r="E953" s="18"/>
      <c r="F953" s="18"/>
      <c r="G953" s="18"/>
      <c r="H953" s="19" t="s">
        <v>1927</v>
      </c>
      <c r="I953" s="18" t="s">
        <v>161</v>
      </c>
      <c r="J953" s="20">
        <v>1</v>
      </c>
      <c r="K953" s="20">
        <v>1.1499999999999999</v>
      </c>
      <c r="L953" s="21" t="s">
        <v>28</v>
      </c>
      <c r="M953" s="22">
        <v>14.642400000000004</v>
      </c>
      <c r="N953" s="22">
        <v>0.21</v>
      </c>
      <c r="O953" s="22">
        <v>1052.3689999999999</v>
      </c>
      <c r="P953" s="22">
        <f t="shared" si="131"/>
        <v>17720.589022440003</v>
      </c>
      <c r="Q953" s="22">
        <v>2757.7041798239825</v>
      </c>
      <c r="R953" s="22">
        <f t="shared" si="132"/>
        <v>665.98555942749169</v>
      </c>
      <c r="S953" s="22">
        <f t="shared" si="133"/>
        <v>18386.574581867495</v>
      </c>
      <c r="T953" s="23">
        <v>0.55859868298040061</v>
      </c>
      <c r="U953" s="24">
        <v>0.1</v>
      </c>
      <c r="V953" s="25">
        <f t="shared" si="137"/>
        <v>31523.020020601547</v>
      </c>
      <c r="W953" s="26" t="s">
        <v>29</v>
      </c>
    </row>
    <row r="954" spans="1:23" ht="89.25" x14ac:dyDescent="0.25">
      <c r="A954" s="17">
        <f t="shared" ca="1" si="134"/>
        <v>950</v>
      </c>
      <c r="B954" s="18" t="s">
        <v>1453</v>
      </c>
      <c r="C954" s="18" t="s">
        <v>1928</v>
      </c>
      <c r="D954" s="18"/>
      <c r="E954" s="18"/>
      <c r="F954" s="18"/>
      <c r="G954" s="18"/>
      <c r="H954" s="19" t="s">
        <v>1929</v>
      </c>
      <c r="I954" s="18" t="s">
        <v>161</v>
      </c>
      <c r="J954" s="20">
        <v>1</v>
      </c>
      <c r="K954" s="20">
        <v>1.1499999999999999</v>
      </c>
      <c r="L954" s="21" t="s">
        <v>28</v>
      </c>
      <c r="M954" s="22">
        <v>24.78</v>
      </c>
      <c r="N954" s="22">
        <v>0.21</v>
      </c>
      <c r="O954" s="22">
        <v>1052.3689999999999</v>
      </c>
      <c r="P954" s="22">
        <f t="shared" si="131"/>
        <v>29989.359392999995</v>
      </c>
      <c r="Q954" s="22">
        <v>2757.7041798239825</v>
      </c>
      <c r="R954" s="22">
        <f t="shared" si="132"/>
        <v>665.98555942749169</v>
      </c>
      <c r="S954" s="22">
        <f t="shared" si="133"/>
        <v>30655.344952427487</v>
      </c>
      <c r="T954" s="23">
        <v>0.55859868298040061</v>
      </c>
      <c r="U954" s="24">
        <v>0.1</v>
      </c>
      <c r="V954" s="25">
        <f t="shared" si="137"/>
        <v>52557.318296079691</v>
      </c>
      <c r="W954" s="26" t="s">
        <v>29</v>
      </c>
    </row>
    <row r="955" spans="1:23" ht="89.25" x14ac:dyDescent="0.25">
      <c r="A955" s="17">
        <f t="shared" ca="1" si="134"/>
        <v>951</v>
      </c>
      <c r="B955" s="18" t="s">
        <v>1453</v>
      </c>
      <c r="C955" s="18" t="s">
        <v>1930</v>
      </c>
      <c r="D955" s="18"/>
      <c r="E955" s="18"/>
      <c r="F955" s="18"/>
      <c r="G955" s="18"/>
      <c r="H955" s="19" t="s">
        <v>1931</v>
      </c>
      <c r="I955" s="18" t="s">
        <v>1932</v>
      </c>
      <c r="J955" s="20">
        <v>1</v>
      </c>
      <c r="K955" s="20">
        <v>1.1499999999999999</v>
      </c>
      <c r="L955" s="21" t="s">
        <v>28</v>
      </c>
      <c r="M955" s="22">
        <v>0.2616</v>
      </c>
      <c r="N955" s="22">
        <v>5.2499999999999998E-2</v>
      </c>
      <c r="O955" s="22">
        <v>1052.3689999999999</v>
      </c>
      <c r="P955" s="22">
        <f t="shared" si="131"/>
        <v>316.59468995999998</v>
      </c>
      <c r="Q955" s="22">
        <v>2757.7041798239825</v>
      </c>
      <c r="R955" s="22">
        <f t="shared" si="132"/>
        <v>166.49638985687292</v>
      </c>
      <c r="S955" s="22">
        <f t="shared" si="133"/>
        <v>483.09107981687293</v>
      </c>
      <c r="T955" s="23">
        <v>0.55859868298040061</v>
      </c>
      <c r="U955" s="24">
        <v>0.1</v>
      </c>
      <c r="V955" s="25">
        <f t="shared" si="137"/>
        <v>828.23963283837361</v>
      </c>
      <c r="W955" s="26" t="s">
        <v>29</v>
      </c>
    </row>
    <row r="956" spans="1:23" x14ac:dyDescent="0.25">
      <c r="A956" s="12">
        <f t="shared" ca="1" si="134"/>
        <v>952</v>
      </c>
      <c r="B956" s="13" t="s">
        <v>1453</v>
      </c>
      <c r="C956" s="13" t="s">
        <v>1933</v>
      </c>
      <c r="D956" s="13"/>
      <c r="E956" s="13"/>
      <c r="F956" s="13"/>
      <c r="G956" s="13"/>
      <c r="H956" s="15" t="s">
        <v>1934</v>
      </c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27"/>
      <c r="U956" s="16"/>
      <c r="V956" s="13"/>
      <c r="W956" s="13"/>
    </row>
    <row r="957" spans="1:23" ht="89.25" x14ac:dyDescent="0.25">
      <c r="A957" s="17">
        <f t="shared" ca="1" si="134"/>
        <v>953</v>
      </c>
      <c r="B957" s="18" t="s">
        <v>1453</v>
      </c>
      <c r="C957" s="18" t="s">
        <v>1935</v>
      </c>
      <c r="D957" s="18"/>
      <c r="E957" s="18"/>
      <c r="F957" s="18"/>
      <c r="G957" s="18"/>
      <c r="H957" s="19" t="s">
        <v>1936</v>
      </c>
      <c r="I957" s="18" t="s">
        <v>161</v>
      </c>
      <c r="J957" s="20">
        <v>1</v>
      </c>
      <c r="K957" s="20">
        <v>1.1499999999999999</v>
      </c>
      <c r="L957" s="21" t="s">
        <v>28</v>
      </c>
      <c r="M957" s="22">
        <v>0.66480000000000006</v>
      </c>
      <c r="N957" s="22">
        <v>5.2499999999999998E-2</v>
      </c>
      <c r="O957" s="22">
        <v>1052.3689999999999</v>
      </c>
      <c r="P957" s="22">
        <f t="shared" si="131"/>
        <v>804.55714788</v>
      </c>
      <c r="Q957" s="22">
        <v>2757.7041798239825</v>
      </c>
      <c r="R957" s="22">
        <f t="shared" si="132"/>
        <v>166.49638985687292</v>
      </c>
      <c r="S957" s="22">
        <f t="shared" si="133"/>
        <v>971.05353773687295</v>
      </c>
      <c r="T957" s="23">
        <v>0.55859868298040061</v>
      </c>
      <c r="U957" s="24">
        <v>0.1</v>
      </c>
      <c r="V957" s="25">
        <f t="shared" ref="V957:V958" si="138">S957+S957*T957+(S957+S957*T957)*U957</f>
        <v>1664.8310415221638</v>
      </c>
      <c r="W957" s="26" t="s">
        <v>29</v>
      </c>
    </row>
    <row r="958" spans="1:23" ht="89.25" x14ac:dyDescent="0.25">
      <c r="A958" s="17">
        <f t="shared" ca="1" si="134"/>
        <v>954</v>
      </c>
      <c r="B958" s="18" t="s">
        <v>1453</v>
      </c>
      <c r="C958" s="18" t="s">
        <v>1937</v>
      </c>
      <c r="D958" s="18"/>
      <c r="E958" s="18"/>
      <c r="F958" s="18"/>
      <c r="G958" s="18"/>
      <c r="H958" s="19" t="s">
        <v>1938</v>
      </c>
      <c r="I958" s="18" t="s">
        <v>161</v>
      </c>
      <c r="J958" s="20">
        <v>1</v>
      </c>
      <c r="K958" s="20">
        <v>1.1499999999999999</v>
      </c>
      <c r="L958" s="21" t="s">
        <v>28</v>
      </c>
      <c r="M958" s="22">
        <v>0.66480000000000006</v>
      </c>
      <c r="N958" s="22">
        <v>5.2499999999999998E-2</v>
      </c>
      <c r="O958" s="22">
        <v>1052.3689999999999</v>
      </c>
      <c r="P958" s="22">
        <f t="shared" si="131"/>
        <v>804.55714788</v>
      </c>
      <c r="Q958" s="22">
        <v>2757.7041798239825</v>
      </c>
      <c r="R958" s="22">
        <f t="shared" si="132"/>
        <v>166.49638985687292</v>
      </c>
      <c r="S958" s="22">
        <f t="shared" si="133"/>
        <v>971.05353773687295</v>
      </c>
      <c r="T958" s="23">
        <v>0.55859868298040061</v>
      </c>
      <c r="U958" s="24">
        <v>0.1</v>
      </c>
      <c r="V958" s="25">
        <f t="shared" si="138"/>
        <v>1664.8310415221638</v>
      </c>
      <c r="W958" s="26" t="s">
        <v>29</v>
      </c>
    </row>
    <row r="959" spans="1:23" x14ac:dyDescent="0.25">
      <c r="A959" s="28">
        <f t="shared" ca="1" si="134"/>
        <v>955</v>
      </c>
      <c r="B959" s="9" t="s">
        <v>1453</v>
      </c>
      <c r="C959" s="9" t="s">
        <v>1939</v>
      </c>
      <c r="D959" s="9"/>
      <c r="E959" s="9"/>
      <c r="F959" s="9"/>
      <c r="G959" s="9"/>
      <c r="H959" s="10" t="s">
        <v>1940</v>
      </c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29"/>
      <c r="U959" s="11"/>
      <c r="V959" s="9"/>
      <c r="W959" s="9"/>
    </row>
    <row r="960" spans="1:23" x14ac:dyDescent="0.25">
      <c r="A960" s="12">
        <f t="shared" ca="1" si="134"/>
        <v>956</v>
      </c>
      <c r="B960" s="13" t="s">
        <v>1453</v>
      </c>
      <c r="C960" s="13" t="s">
        <v>1941</v>
      </c>
      <c r="D960" s="13"/>
      <c r="E960" s="13"/>
      <c r="F960" s="13"/>
      <c r="G960" s="13"/>
      <c r="H960" s="15" t="s">
        <v>1942</v>
      </c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27"/>
      <c r="U960" s="16"/>
      <c r="V960" s="13"/>
      <c r="W960" s="13"/>
    </row>
    <row r="961" spans="1:23" ht="89.25" x14ac:dyDescent="0.25">
      <c r="A961" s="17">
        <f t="shared" ca="1" si="134"/>
        <v>957</v>
      </c>
      <c r="B961" s="18" t="s">
        <v>1453</v>
      </c>
      <c r="C961" s="18" t="s">
        <v>1943</v>
      </c>
      <c r="D961" s="18"/>
      <c r="E961" s="18"/>
      <c r="F961" s="18"/>
      <c r="G961" s="18"/>
      <c r="H961" s="19" t="s">
        <v>1944</v>
      </c>
      <c r="I961" s="18" t="s">
        <v>104</v>
      </c>
      <c r="J961" s="20">
        <v>1</v>
      </c>
      <c r="K961" s="20">
        <v>1.1499999999999999</v>
      </c>
      <c r="L961" s="21" t="s">
        <v>28</v>
      </c>
      <c r="M961" s="22">
        <v>0.24120000000000003</v>
      </c>
      <c r="N961" s="22">
        <v>7.1680000000000008E-2</v>
      </c>
      <c r="O961" s="22">
        <v>1052.3689999999999</v>
      </c>
      <c r="P961" s="22">
        <f t="shared" ref="P961:P1021" si="139">O961*M961*K961</f>
        <v>291.90611322000001</v>
      </c>
      <c r="Q961" s="22">
        <v>2757.7041798239825</v>
      </c>
      <c r="R961" s="22">
        <f t="shared" ref="R961:R1021" si="140">N961*Q961*K961</f>
        <v>227.32307095125054</v>
      </c>
      <c r="S961" s="22">
        <f t="shared" ref="S961:S1021" si="141">P961+R961</f>
        <v>519.22918417125061</v>
      </c>
      <c r="T961" s="23">
        <v>0.55859868298040061</v>
      </c>
      <c r="U961" s="24">
        <v>0.1</v>
      </c>
      <c r="V961" s="25">
        <f t="shared" ref="V961:V968" si="142">S961+S961*T961+(S961+S961*T961)*U961</f>
        <v>890.19691487572891</v>
      </c>
      <c r="W961" s="26" t="s">
        <v>29</v>
      </c>
    </row>
    <row r="962" spans="1:23" ht="89.25" x14ac:dyDescent="0.25">
      <c r="A962" s="17">
        <f t="shared" ca="1" si="134"/>
        <v>958</v>
      </c>
      <c r="B962" s="18" t="s">
        <v>1453</v>
      </c>
      <c r="C962" s="18" t="s">
        <v>1945</v>
      </c>
      <c r="D962" s="18"/>
      <c r="E962" s="18"/>
      <c r="F962" s="18"/>
      <c r="G962" s="18"/>
      <c r="H962" s="19" t="s">
        <v>1946</v>
      </c>
      <c r="I962" s="18" t="s">
        <v>104</v>
      </c>
      <c r="J962" s="20">
        <v>1</v>
      </c>
      <c r="K962" s="20">
        <v>1.1499999999999999</v>
      </c>
      <c r="L962" s="21" t="s">
        <v>28</v>
      </c>
      <c r="M962" s="22">
        <v>0.30600000000000005</v>
      </c>
      <c r="N962" s="22">
        <v>7.1999999999999995E-2</v>
      </c>
      <c r="O962" s="22">
        <v>1052.3689999999999</v>
      </c>
      <c r="P962" s="22">
        <f t="shared" si="139"/>
        <v>370.3286511</v>
      </c>
      <c r="Q962" s="22">
        <v>2757.7041798239825</v>
      </c>
      <c r="R962" s="22">
        <f t="shared" si="140"/>
        <v>228.3379060894257</v>
      </c>
      <c r="S962" s="22">
        <f t="shared" si="141"/>
        <v>598.6665571894257</v>
      </c>
      <c r="T962" s="23">
        <v>0.55859868298040061</v>
      </c>
      <c r="U962" s="24">
        <v>0.1</v>
      </c>
      <c r="V962" s="25">
        <f t="shared" si="142"/>
        <v>1026.3889983378344</v>
      </c>
      <c r="W962" s="26" t="s">
        <v>29</v>
      </c>
    </row>
    <row r="963" spans="1:23" ht="89.25" x14ac:dyDescent="0.25">
      <c r="A963" s="17">
        <f t="shared" ref="A963:A1026" ca="1" si="143">CELL("строка",A963)-4</f>
        <v>959</v>
      </c>
      <c r="B963" s="18" t="s">
        <v>1453</v>
      </c>
      <c r="C963" s="18" t="s">
        <v>1947</v>
      </c>
      <c r="D963" s="18"/>
      <c r="E963" s="18"/>
      <c r="F963" s="18"/>
      <c r="G963" s="18"/>
      <c r="H963" s="19" t="s">
        <v>1948</v>
      </c>
      <c r="I963" s="18" t="s">
        <v>104</v>
      </c>
      <c r="J963" s="20">
        <v>1</v>
      </c>
      <c r="K963" s="20">
        <v>1.1499999999999999</v>
      </c>
      <c r="L963" s="21" t="s">
        <v>28</v>
      </c>
      <c r="M963" s="22">
        <v>0.30600000000000005</v>
      </c>
      <c r="N963" s="22">
        <v>7.1999999999999995E-2</v>
      </c>
      <c r="O963" s="22">
        <v>1052.3689999999999</v>
      </c>
      <c r="P963" s="22">
        <f t="shared" si="139"/>
        <v>370.3286511</v>
      </c>
      <c r="Q963" s="22">
        <v>2757.7041798239825</v>
      </c>
      <c r="R963" s="22">
        <f t="shared" si="140"/>
        <v>228.3379060894257</v>
      </c>
      <c r="S963" s="22">
        <f t="shared" si="141"/>
        <v>598.6665571894257</v>
      </c>
      <c r="T963" s="23">
        <v>0.55859868298040061</v>
      </c>
      <c r="U963" s="24">
        <v>0.1</v>
      </c>
      <c r="V963" s="25">
        <f t="shared" si="142"/>
        <v>1026.3889983378344</v>
      </c>
      <c r="W963" s="26" t="s">
        <v>29</v>
      </c>
    </row>
    <row r="964" spans="1:23" ht="89.25" x14ac:dyDescent="0.25">
      <c r="A964" s="17">
        <f t="shared" ca="1" si="143"/>
        <v>960</v>
      </c>
      <c r="B964" s="18" t="s">
        <v>1453</v>
      </c>
      <c r="C964" s="18" t="s">
        <v>1949</v>
      </c>
      <c r="D964" s="18"/>
      <c r="E964" s="18"/>
      <c r="F964" s="18"/>
      <c r="G964" s="18"/>
      <c r="H964" s="19" t="s">
        <v>1950</v>
      </c>
      <c r="I964" s="18" t="s">
        <v>161</v>
      </c>
      <c r="J964" s="20">
        <v>1</v>
      </c>
      <c r="K964" s="20">
        <v>1.1499999999999999</v>
      </c>
      <c r="L964" s="21" t="s">
        <v>28</v>
      </c>
      <c r="M964" s="22">
        <v>0.92700000000000005</v>
      </c>
      <c r="N964" s="22">
        <v>7.1999999999999995E-2</v>
      </c>
      <c r="O964" s="22">
        <v>1052.3689999999999</v>
      </c>
      <c r="P964" s="22">
        <f t="shared" si="139"/>
        <v>1121.87797245</v>
      </c>
      <c r="Q964" s="22">
        <v>2757.7041798239825</v>
      </c>
      <c r="R964" s="22">
        <f t="shared" si="140"/>
        <v>228.3379060894257</v>
      </c>
      <c r="S964" s="22">
        <f t="shared" si="141"/>
        <v>1350.2158785394258</v>
      </c>
      <c r="T964" s="23">
        <v>0.55859868298040061</v>
      </c>
      <c r="U964" s="24">
        <v>0.1</v>
      </c>
      <c r="V964" s="25">
        <f t="shared" si="142"/>
        <v>2314.8891590338512</v>
      </c>
      <c r="W964" s="26" t="s">
        <v>29</v>
      </c>
    </row>
    <row r="965" spans="1:23" ht="89.25" x14ac:dyDescent="0.25">
      <c r="A965" s="17">
        <f t="shared" ca="1" si="143"/>
        <v>961</v>
      </c>
      <c r="B965" s="18" t="s">
        <v>1453</v>
      </c>
      <c r="C965" s="18" t="s">
        <v>1951</v>
      </c>
      <c r="D965" s="18"/>
      <c r="E965" s="18"/>
      <c r="F965" s="18"/>
      <c r="G965" s="18"/>
      <c r="H965" s="19" t="s">
        <v>1952</v>
      </c>
      <c r="I965" s="18" t="s">
        <v>161</v>
      </c>
      <c r="J965" s="20">
        <v>1</v>
      </c>
      <c r="K965" s="20">
        <v>1.1499999999999999</v>
      </c>
      <c r="L965" s="21" t="s">
        <v>28</v>
      </c>
      <c r="M965" s="22">
        <v>4.32</v>
      </c>
      <c r="N965" s="22">
        <v>0.44800000000000006</v>
      </c>
      <c r="O965" s="22">
        <v>1052.3689999999999</v>
      </c>
      <c r="P965" s="22">
        <f t="shared" si="139"/>
        <v>5228.1691919999994</v>
      </c>
      <c r="Q965" s="22">
        <v>2757.7041798239825</v>
      </c>
      <c r="R965" s="22">
        <f t="shared" si="140"/>
        <v>1420.769193445316</v>
      </c>
      <c r="S965" s="22">
        <f t="shared" si="141"/>
        <v>6648.9383854453154</v>
      </c>
      <c r="T965" s="23">
        <v>0.55859868298040061</v>
      </c>
      <c r="U965" s="24">
        <v>0.1</v>
      </c>
      <c r="V965" s="25">
        <f t="shared" si="142"/>
        <v>11399.329271850191</v>
      </c>
      <c r="W965" s="26" t="s">
        <v>29</v>
      </c>
    </row>
    <row r="966" spans="1:23" ht="89.25" x14ac:dyDescent="0.25">
      <c r="A966" s="17">
        <f t="shared" ca="1" si="143"/>
        <v>962</v>
      </c>
      <c r="B966" s="18" t="s">
        <v>1453</v>
      </c>
      <c r="C966" s="18" t="s">
        <v>1953</v>
      </c>
      <c r="D966" s="18"/>
      <c r="E966" s="18"/>
      <c r="F966" s="18"/>
      <c r="G966" s="18"/>
      <c r="H966" s="19" t="s">
        <v>1954</v>
      </c>
      <c r="I966" s="18" t="s">
        <v>104</v>
      </c>
      <c r="J966" s="20">
        <v>1</v>
      </c>
      <c r="K966" s="20">
        <v>1.1499999999999999</v>
      </c>
      <c r="L966" s="21" t="s">
        <v>28</v>
      </c>
      <c r="M966" s="22">
        <v>0.2783448</v>
      </c>
      <c r="N966" s="22">
        <v>7.1680000000000008E-2</v>
      </c>
      <c r="O966" s="22">
        <v>1052.3689999999999</v>
      </c>
      <c r="P966" s="22">
        <f t="shared" si="139"/>
        <v>336.85965465587992</v>
      </c>
      <c r="Q966" s="22">
        <v>2757.7041798239825</v>
      </c>
      <c r="R966" s="22">
        <f t="shared" si="140"/>
        <v>227.32307095125054</v>
      </c>
      <c r="S966" s="22">
        <f t="shared" si="141"/>
        <v>564.18272560713046</v>
      </c>
      <c r="T966" s="23">
        <v>0.55859868298040061</v>
      </c>
      <c r="U966" s="24">
        <v>0.1</v>
      </c>
      <c r="V966" s="25">
        <f t="shared" si="142"/>
        <v>967.26789840072297</v>
      </c>
      <c r="W966" s="26" t="s">
        <v>29</v>
      </c>
    </row>
    <row r="967" spans="1:23" ht="89.25" x14ac:dyDescent="0.25">
      <c r="A967" s="17">
        <f t="shared" ca="1" si="143"/>
        <v>963</v>
      </c>
      <c r="B967" s="18" t="s">
        <v>1453</v>
      </c>
      <c r="C967" s="18" t="s">
        <v>1955</v>
      </c>
      <c r="D967" s="18"/>
      <c r="E967" s="18"/>
      <c r="F967" s="18"/>
      <c r="G967" s="18"/>
      <c r="H967" s="19" t="s">
        <v>1956</v>
      </c>
      <c r="I967" s="18" t="s">
        <v>104</v>
      </c>
      <c r="J967" s="20">
        <v>1</v>
      </c>
      <c r="K967" s="20">
        <v>1.1499999999999999</v>
      </c>
      <c r="L967" s="21" t="s">
        <v>28</v>
      </c>
      <c r="M967" s="22">
        <v>0.35312399999999999</v>
      </c>
      <c r="N967" s="22">
        <v>7.1999999999999995E-2</v>
      </c>
      <c r="O967" s="22">
        <v>1052.3689999999999</v>
      </c>
      <c r="P967" s="22">
        <f t="shared" si="139"/>
        <v>427.35926336939997</v>
      </c>
      <c r="Q967" s="22">
        <v>2757.7041798239825</v>
      </c>
      <c r="R967" s="22">
        <f t="shared" si="140"/>
        <v>228.3379060894257</v>
      </c>
      <c r="S967" s="22">
        <f t="shared" si="141"/>
        <v>655.69716945882567</v>
      </c>
      <c r="T967" s="23">
        <v>0.55859868298040061</v>
      </c>
      <c r="U967" s="24">
        <v>0.1</v>
      </c>
      <c r="V967" s="25">
        <f t="shared" si="142"/>
        <v>1124.1656192277526</v>
      </c>
      <c r="W967" s="26" t="s">
        <v>29</v>
      </c>
    </row>
    <row r="968" spans="1:23" ht="89.25" x14ac:dyDescent="0.25">
      <c r="A968" s="17">
        <f t="shared" ca="1" si="143"/>
        <v>964</v>
      </c>
      <c r="B968" s="18" t="s">
        <v>1453</v>
      </c>
      <c r="C968" s="18" t="s">
        <v>1957</v>
      </c>
      <c r="D968" s="18"/>
      <c r="E968" s="18"/>
      <c r="F968" s="18"/>
      <c r="G968" s="18"/>
      <c r="H968" s="19" t="s">
        <v>1958</v>
      </c>
      <c r="I968" s="18" t="s">
        <v>104</v>
      </c>
      <c r="J968" s="20">
        <v>1</v>
      </c>
      <c r="K968" s="20">
        <v>1.1499999999999999</v>
      </c>
      <c r="L968" s="21" t="s">
        <v>28</v>
      </c>
      <c r="M968" s="22">
        <v>0.35312399999999999</v>
      </c>
      <c r="N968" s="22">
        <v>7.1999999999999995E-2</v>
      </c>
      <c r="O968" s="22">
        <v>1052.3689999999999</v>
      </c>
      <c r="P968" s="22">
        <f t="shared" si="139"/>
        <v>427.35926336939997</v>
      </c>
      <c r="Q968" s="22">
        <v>2757.7041798239825</v>
      </c>
      <c r="R968" s="22">
        <f t="shared" si="140"/>
        <v>228.3379060894257</v>
      </c>
      <c r="S968" s="22">
        <f t="shared" si="141"/>
        <v>655.69716945882567</v>
      </c>
      <c r="T968" s="23">
        <v>0.55859868298040061</v>
      </c>
      <c r="U968" s="24">
        <v>0.1</v>
      </c>
      <c r="V968" s="25">
        <f t="shared" si="142"/>
        <v>1124.1656192277526</v>
      </c>
      <c r="W968" s="26" t="s">
        <v>29</v>
      </c>
    </row>
    <row r="969" spans="1:23" x14ac:dyDescent="0.25">
      <c r="A969" s="12">
        <f t="shared" ca="1" si="143"/>
        <v>965</v>
      </c>
      <c r="B969" s="13" t="s">
        <v>1453</v>
      </c>
      <c r="C969" s="13" t="s">
        <v>1959</v>
      </c>
      <c r="D969" s="13"/>
      <c r="E969" s="13"/>
      <c r="F969" s="13"/>
      <c r="G969" s="13"/>
      <c r="H969" s="15" t="s">
        <v>1960</v>
      </c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27"/>
      <c r="U969" s="16"/>
      <c r="V969" s="13"/>
      <c r="W969" s="13"/>
    </row>
    <row r="970" spans="1:23" ht="89.25" x14ac:dyDescent="0.25">
      <c r="A970" s="17">
        <f t="shared" ca="1" si="143"/>
        <v>966</v>
      </c>
      <c r="B970" s="18" t="s">
        <v>1453</v>
      </c>
      <c r="C970" s="18" t="s">
        <v>1961</v>
      </c>
      <c r="D970" s="18"/>
      <c r="E970" s="18"/>
      <c r="F970" s="18"/>
      <c r="G970" s="18"/>
      <c r="H970" s="19" t="s">
        <v>1962</v>
      </c>
      <c r="I970" s="18" t="s">
        <v>161</v>
      </c>
      <c r="J970" s="20">
        <v>1</v>
      </c>
      <c r="K970" s="20">
        <v>1.1499999999999999</v>
      </c>
      <c r="L970" s="21" t="s">
        <v>28</v>
      </c>
      <c r="M970" s="22">
        <v>1.6785000000000001</v>
      </c>
      <c r="N970" s="22">
        <v>4.8000000000000001E-2</v>
      </c>
      <c r="O970" s="22">
        <v>1052.3689999999999</v>
      </c>
      <c r="P970" s="22">
        <f t="shared" si="139"/>
        <v>2031.3615714749999</v>
      </c>
      <c r="Q970" s="22">
        <v>2757.7041798239825</v>
      </c>
      <c r="R970" s="22">
        <f t="shared" si="140"/>
        <v>152.22527072628381</v>
      </c>
      <c r="S970" s="22">
        <f t="shared" si="141"/>
        <v>2183.5868422012836</v>
      </c>
      <c r="T970" s="23">
        <v>0.55859868298040061</v>
      </c>
      <c r="U970" s="24">
        <v>0.1</v>
      </c>
      <c r="V970" s="25">
        <f t="shared" ref="V970:V972" si="144">S970+S970*T970+(S970+S970*T970)*U970</f>
        <v>3743.6691340710777</v>
      </c>
      <c r="W970" s="26" t="s">
        <v>29</v>
      </c>
    </row>
    <row r="971" spans="1:23" ht="89.25" x14ac:dyDescent="0.25">
      <c r="A971" s="17">
        <f t="shared" ca="1" si="143"/>
        <v>967</v>
      </c>
      <c r="B971" s="18" t="s">
        <v>1453</v>
      </c>
      <c r="C971" s="18" t="s">
        <v>1963</v>
      </c>
      <c r="D971" s="18"/>
      <c r="E971" s="18"/>
      <c r="F971" s="18"/>
      <c r="G971" s="18"/>
      <c r="H971" s="19" t="s">
        <v>1964</v>
      </c>
      <c r="I971" s="18" t="s">
        <v>161</v>
      </c>
      <c r="J971" s="20">
        <v>1</v>
      </c>
      <c r="K971" s="20">
        <v>1.1499999999999999</v>
      </c>
      <c r="L971" s="21" t="s">
        <v>28</v>
      </c>
      <c r="M971" s="22">
        <v>2.7945000000000002</v>
      </c>
      <c r="N971" s="22">
        <v>4.8000000000000001E-2</v>
      </c>
      <c r="O971" s="22">
        <v>1052.3689999999999</v>
      </c>
      <c r="P971" s="22">
        <f t="shared" si="139"/>
        <v>3381.9719460749993</v>
      </c>
      <c r="Q971" s="22">
        <v>2757.7041798239825</v>
      </c>
      <c r="R971" s="22">
        <f t="shared" si="140"/>
        <v>152.22527072628381</v>
      </c>
      <c r="S971" s="22">
        <f t="shared" si="141"/>
        <v>3534.197216801283</v>
      </c>
      <c r="T971" s="23">
        <v>0.55859868298040061</v>
      </c>
      <c r="U971" s="24">
        <v>0.1</v>
      </c>
      <c r="V971" s="25">
        <f t="shared" si="144"/>
        <v>6059.234640249425</v>
      </c>
      <c r="W971" s="26" t="s">
        <v>29</v>
      </c>
    </row>
    <row r="972" spans="1:23" ht="89.25" x14ac:dyDescent="0.25">
      <c r="A972" s="17">
        <f t="shared" ca="1" si="143"/>
        <v>968</v>
      </c>
      <c r="B972" s="18" t="s">
        <v>1453</v>
      </c>
      <c r="C972" s="18" t="s">
        <v>1965</v>
      </c>
      <c r="D972" s="18"/>
      <c r="E972" s="18"/>
      <c r="F972" s="18"/>
      <c r="G972" s="18"/>
      <c r="H972" s="19" t="s">
        <v>1966</v>
      </c>
      <c r="I972" s="18" t="s">
        <v>161</v>
      </c>
      <c r="J972" s="20">
        <v>1</v>
      </c>
      <c r="K972" s="20">
        <v>1.1499999999999999</v>
      </c>
      <c r="L972" s="21" t="s">
        <v>28</v>
      </c>
      <c r="M972" s="22">
        <v>2.7945000000000002</v>
      </c>
      <c r="N972" s="22">
        <v>7.1999999999999995E-2</v>
      </c>
      <c r="O972" s="22">
        <v>1052.3689999999999</v>
      </c>
      <c r="P972" s="22">
        <f t="shared" si="139"/>
        <v>3381.9719460749993</v>
      </c>
      <c r="Q972" s="22">
        <v>2757.7041798239825</v>
      </c>
      <c r="R972" s="22">
        <f t="shared" si="140"/>
        <v>228.3379060894257</v>
      </c>
      <c r="S972" s="22">
        <f t="shared" si="141"/>
        <v>3610.3098521644251</v>
      </c>
      <c r="T972" s="23">
        <v>0.55859868298040061</v>
      </c>
      <c r="U972" s="24">
        <v>0.1</v>
      </c>
      <c r="V972" s="25">
        <f t="shared" si="144"/>
        <v>6189.7265988081008</v>
      </c>
      <c r="W972" s="26" t="s">
        <v>29</v>
      </c>
    </row>
    <row r="973" spans="1:23" x14ac:dyDescent="0.25">
      <c r="A973" s="12">
        <f t="shared" ca="1" si="143"/>
        <v>969</v>
      </c>
      <c r="B973" s="13" t="s">
        <v>1453</v>
      </c>
      <c r="C973" s="13" t="s">
        <v>1967</v>
      </c>
      <c r="D973" s="13"/>
      <c r="E973" s="13"/>
      <c r="F973" s="13"/>
      <c r="G973" s="13"/>
      <c r="H973" s="15" t="s">
        <v>1968</v>
      </c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27"/>
      <c r="U973" s="16"/>
      <c r="V973" s="13"/>
      <c r="W973" s="13"/>
    </row>
    <row r="974" spans="1:23" ht="89.25" x14ac:dyDescent="0.25">
      <c r="A974" s="17">
        <f t="shared" ca="1" si="143"/>
        <v>970</v>
      </c>
      <c r="B974" s="18" t="s">
        <v>1453</v>
      </c>
      <c r="C974" s="18" t="s">
        <v>1969</v>
      </c>
      <c r="D974" s="18"/>
      <c r="E974" s="18"/>
      <c r="F974" s="18"/>
      <c r="G974" s="18"/>
      <c r="H974" s="19" t="s">
        <v>1970</v>
      </c>
      <c r="I974" s="18" t="s">
        <v>161</v>
      </c>
      <c r="J974" s="20">
        <v>1</v>
      </c>
      <c r="K974" s="20">
        <v>1.1499999999999999</v>
      </c>
      <c r="L974" s="21" t="s">
        <v>28</v>
      </c>
      <c r="M974" s="22">
        <v>0.93149999999999999</v>
      </c>
      <c r="N974" s="22">
        <v>4.8000000000000001E-2</v>
      </c>
      <c r="O974" s="22">
        <v>1052.3689999999999</v>
      </c>
      <c r="P974" s="22">
        <f t="shared" si="139"/>
        <v>1127.3239820249999</v>
      </c>
      <c r="Q974" s="22">
        <v>2757.7041798239825</v>
      </c>
      <c r="R974" s="22">
        <f t="shared" si="140"/>
        <v>152.22527072628381</v>
      </c>
      <c r="S974" s="22">
        <f t="shared" si="141"/>
        <v>1279.5492527512836</v>
      </c>
      <c r="T974" s="23">
        <v>0.55859868298040061</v>
      </c>
      <c r="U974" s="24">
        <v>0.1</v>
      </c>
      <c r="V974" s="25">
        <f t="shared" ref="V974:V980" si="145">S974+S974*T974+(S974+S974*T974)*U974</f>
        <v>2193.7341581613769</v>
      </c>
      <c r="W974" s="26" t="s">
        <v>29</v>
      </c>
    </row>
    <row r="975" spans="1:23" ht="89.25" x14ac:dyDescent="0.25">
      <c r="A975" s="17">
        <f t="shared" ca="1" si="143"/>
        <v>971</v>
      </c>
      <c r="B975" s="18" t="s">
        <v>1453</v>
      </c>
      <c r="C975" s="18" t="s">
        <v>1971</v>
      </c>
      <c r="D975" s="18"/>
      <c r="E975" s="18"/>
      <c r="F975" s="18"/>
      <c r="G975" s="18"/>
      <c r="H975" s="19" t="s">
        <v>1972</v>
      </c>
      <c r="I975" s="18" t="s">
        <v>161</v>
      </c>
      <c r="J975" s="20">
        <v>1</v>
      </c>
      <c r="K975" s="20">
        <v>1.1499999999999999</v>
      </c>
      <c r="L975" s="21" t="s">
        <v>28</v>
      </c>
      <c r="M975" s="22">
        <v>0.93600000000000005</v>
      </c>
      <c r="N975" s="22">
        <v>0.1368</v>
      </c>
      <c r="O975" s="22">
        <v>1052.3689999999999</v>
      </c>
      <c r="P975" s="22">
        <f t="shared" si="139"/>
        <v>1132.7699915999999</v>
      </c>
      <c r="Q975" s="22">
        <v>2757.7041798239825</v>
      </c>
      <c r="R975" s="22">
        <f t="shared" si="140"/>
        <v>433.84202156990887</v>
      </c>
      <c r="S975" s="22">
        <f t="shared" si="141"/>
        <v>1566.6120131699088</v>
      </c>
      <c r="T975" s="23">
        <v>0.55859868298040061</v>
      </c>
      <c r="U975" s="24">
        <v>0.1</v>
      </c>
      <c r="V975" s="25">
        <f t="shared" si="145"/>
        <v>2685.8913625146834</v>
      </c>
      <c r="W975" s="26" t="s">
        <v>29</v>
      </c>
    </row>
    <row r="976" spans="1:23" ht="89.25" x14ac:dyDescent="0.25">
      <c r="A976" s="17">
        <f t="shared" ca="1" si="143"/>
        <v>972</v>
      </c>
      <c r="B976" s="18" t="s">
        <v>1453</v>
      </c>
      <c r="C976" s="18" t="s">
        <v>1973</v>
      </c>
      <c r="D976" s="18"/>
      <c r="E976" s="18"/>
      <c r="F976" s="18"/>
      <c r="G976" s="18"/>
      <c r="H976" s="19" t="s">
        <v>1974</v>
      </c>
      <c r="I976" s="18" t="s">
        <v>161</v>
      </c>
      <c r="J976" s="20">
        <v>1</v>
      </c>
      <c r="K976" s="20">
        <v>1.1499999999999999</v>
      </c>
      <c r="L976" s="21" t="s">
        <v>28</v>
      </c>
      <c r="M976" s="22">
        <v>2.4866999999999999</v>
      </c>
      <c r="N976" s="22">
        <v>0.37775999999999993</v>
      </c>
      <c r="O976" s="22">
        <v>1052.3689999999999</v>
      </c>
      <c r="P976" s="22">
        <f t="shared" si="139"/>
        <v>3009.464891144999</v>
      </c>
      <c r="Q976" s="22">
        <v>2757.7041798239825</v>
      </c>
      <c r="R976" s="22">
        <f t="shared" si="140"/>
        <v>1198.0128806158534</v>
      </c>
      <c r="S976" s="22">
        <f t="shared" si="141"/>
        <v>4207.4777717608522</v>
      </c>
      <c r="T976" s="23">
        <v>0.55859868298040061</v>
      </c>
      <c r="U976" s="24">
        <v>0.1</v>
      </c>
      <c r="V976" s="25">
        <f t="shared" si="145"/>
        <v>7213.5462451093517</v>
      </c>
      <c r="W976" s="26" t="s">
        <v>29</v>
      </c>
    </row>
    <row r="977" spans="1:23" ht="89.25" x14ac:dyDescent="0.25">
      <c r="A977" s="17">
        <f t="shared" ca="1" si="143"/>
        <v>973</v>
      </c>
      <c r="B977" s="18" t="s">
        <v>1453</v>
      </c>
      <c r="C977" s="18" t="s">
        <v>1975</v>
      </c>
      <c r="D977" s="18"/>
      <c r="E977" s="18"/>
      <c r="F977" s="18"/>
      <c r="G977" s="18"/>
      <c r="H977" s="19" t="s">
        <v>1976</v>
      </c>
      <c r="I977" s="18" t="s">
        <v>161</v>
      </c>
      <c r="J977" s="20">
        <v>1</v>
      </c>
      <c r="K977" s="20">
        <v>1.1499999999999999</v>
      </c>
      <c r="L977" s="21" t="s">
        <v>28</v>
      </c>
      <c r="M977" s="22">
        <v>0.46800000000000003</v>
      </c>
      <c r="N977" s="22">
        <v>4.8000000000000001E-2</v>
      </c>
      <c r="O977" s="22">
        <v>1052.3689999999999</v>
      </c>
      <c r="P977" s="22">
        <f t="shared" si="139"/>
        <v>566.38499579999996</v>
      </c>
      <c r="Q977" s="22">
        <v>2757.7041798239825</v>
      </c>
      <c r="R977" s="22">
        <f t="shared" si="140"/>
        <v>152.22527072628381</v>
      </c>
      <c r="S977" s="22">
        <f t="shared" si="141"/>
        <v>718.61026652628379</v>
      </c>
      <c r="T977" s="23">
        <v>0.55859868298040061</v>
      </c>
      <c r="U977" s="24">
        <v>0.1</v>
      </c>
      <c r="V977" s="25">
        <f t="shared" si="145"/>
        <v>1232.0275164824666</v>
      </c>
      <c r="W977" s="26" t="s">
        <v>29</v>
      </c>
    </row>
    <row r="978" spans="1:23" ht="89.25" x14ac:dyDescent="0.25">
      <c r="A978" s="17">
        <f t="shared" ca="1" si="143"/>
        <v>974</v>
      </c>
      <c r="B978" s="18" t="s">
        <v>1453</v>
      </c>
      <c r="C978" s="18" t="s">
        <v>1977</v>
      </c>
      <c r="D978" s="18"/>
      <c r="E978" s="18"/>
      <c r="F978" s="18"/>
      <c r="G978" s="18"/>
      <c r="H978" s="19" t="s">
        <v>1978</v>
      </c>
      <c r="I978" s="18" t="s">
        <v>161</v>
      </c>
      <c r="J978" s="20">
        <v>1</v>
      </c>
      <c r="K978" s="20">
        <v>1.1499999999999999</v>
      </c>
      <c r="L978" s="21" t="s">
        <v>28</v>
      </c>
      <c r="M978" s="22">
        <v>2.8574999999999999</v>
      </c>
      <c r="N978" s="22">
        <v>0.37775999999999993</v>
      </c>
      <c r="O978" s="22">
        <v>1052.3689999999999</v>
      </c>
      <c r="P978" s="22">
        <f t="shared" si="139"/>
        <v>3458.2160801249993</v>
      </c>
      <c r="Q978" s="22">
        <v>2757.7041798239825</v>
      </c>
      <c r="R978" s="22">
        <f t="shared" si="140"/>
        <v>1198.0128806158534</v>
      </c>
      <c r="S978" s="22">
        <f t="shared" si="141"/>
        <v>4656.2289607408529</v>
      </c>
      <c r="T978" s="23">
        <v>0.55859868298040061</v>
      </c>
      <c r="U978" s="24">
        <v>0.1</v>
      </c>
      <c r="V978" s="25">
        <f t="shared" si="145"/>
        <v>7982.9115584524816</v>
      </c>
      <c r="W978" s="26" t="s">
        <v>29</v>
      </c>
    </row>
    <row r="979" spans="1:23" ht="89.25" x14ac:dyDescent="0.25">
      <c r="A979" s="17">
        <f t="shared" ca="1" si="143"/>
        <v>975</v>
      </c>
      <c r="B979" s="18" t="s">
        <v>1453</v>
      </c>
      <c r="C979" s="18" t="s">
        <v>1979</v>
      </c>
      <c r="D979" s="18"/>
      <c r="E979" s="18"/>
      <c r="F979" s="18"/>
      <c r="G979" s="18"/>
      <c r="H979" s="19" t="s">
        <v>1980</v>
      </c>
      <c r="I979" s="18" t="s">
        <v>161</v>
      </c>
      <c r="J979" s="20">
        <v>1</v>
      </c>
      <c r="K979" s="20">
        <v>1.1499999999999999</v>
      </c>
      <c r="L979" s="21" t="s">
        <v>28</v>
      </c>
      <c r="M979" s="22">
        <v>3.3210000000000002</v>
      </c>
      <c r="N979" s="22">
        <v>0.37775999999999993</v>
      </c>
      <c r="O979" s="22">
        <v>1052.3689999999999</v>
      </c>
      <c r="P979" s="22">
        <f t="shared" si="139"/>
        <v>4019.1550663499997</v>
      </c>
      <c r="Q979" s="22">
        <v>2757.7041798239825</v>
      </c>
      <c r="R979" s="22">
        <f t="shared" si="140"/>
        <v>1198.0128806158534</v>
      </c>
      <c r="S979" s="22">
        <f t="shared" si="141"/>
        <v>5217.1679469658529</v>
      </c>
      <c r="T979" s="23">
        <v>0.55859868298040061</v>
      </c>
      <c r="U979" s="24">
        <v>0.1</v>
      </c>
      <c r="V979" s="25">
        <f t="shared" si="145"/>
        <v>8944.6182001313937</v>
      </c>
      <c r="W979" s="26" t="s">
        <v>29</v>
      </c>
    </row>
    <row r="980" spans="1:23" ht="89.25" x14ac:dyDescent="0.25">
      <c r="A980" s="17">
        <f t="shared" ca="1" si="143"/>
        <v>976</v>
      </c>
      <c r="B980" s="18" t="s">
        <v>1453</v>
      </c>
      <c r="C980" s="18" t="s">
        <v>1981</v>
      </c>
      <c r="D980" s="18"/>
      <c r="E980" s="18"/>
      <c r="F980" s="18"/>
      <c r="G980" s="18"/>
      <c r="H980" s="19" t="s">
        <v>1982</v>
      </c>
      <c r="I980" s="18" t="s">
        <v>161</v>
      </c>
      <c r="J980" s="20">
        <v>1</v>
      </c>
      <c r="K980" s="20">
        <v>1.1499999999999999</v>
      </c>
      <c r="L980" s="21" t="s">
        <v>28</v>
      </c>
      <c r="M980" s="22">
        <v>2.2313700000000001</v>
      </c>
      <c r="N980" s="22">
        <v>4.8000000000000001E-2</v>
      </c>
      <c r="O980" s="22">
        <v>1052.3689999999999</v>
      </c>
      <c r="P980" s="22">
        <f t="shared" si="139"/>
        <v>2700.4583078594997</v>
      </c>
      <c r="Q980" s="22">
        <v>2757.7041798239825</v>
      </c>
      <c r="R980" s="22">
        <f t="shared" si="140"/>
        <v>152.22527072628381</v>
      </c>
      <c r="S980" s="22">
        <f t="shared" si="141"/>
        <v>2852.6835785857834</v>
      </c>
      <c r="T980" s="23">
        <v>0.55859868298040061</v>
      </c>
      <c r="U980" s="24">
        <v>0.1</v>
      </c>
      <c r="V980" s="25">
        <f t="shared" si="145"/>
        <v>4890.8077553979801</v>
      </c>
      <c r="W980" s="26" t="s">
        <v>29</v>
      </c>
    </row>
    <row r="981" spans="1:23" x14ac:dyDescent="0.25">
      <c r="A981" s="12">
        <f t="shared" ca="1" si="143"/>
        <v>977</v>
      </c>
      <c r="B981" s="13" t="s">
        <v>1453</v>
      </c>
      <c r="C981" s="13" t="s">
        <v>1983</v>
      </c>
      <c r="D981" s="13"/>
      <c r="E981" s="13"/>
      <c r="F981" s="13"/>
      <c r="G981" s="13"/>
      <c r="H981" s="15" t="s">
        <v>1984</v>
      </c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27"/>
      <c r="U981" s="16"/>
      <c r="V981" s="13"/>
      <c r="W981" s="13"/>
    </row>
    <row r="982" spans="1:23" ht="89.25" x14ac:dyDescent="0.25">
      <c r="A982" s="17">
        <f t="shared" ca="1" si="143"/>
        <v>978</v>
      </c>
      <c r="B982" s="18" t="s">
        <v>1453</v>
      </c>
      <c r="C982" s="18" t="s">
        <v>1985</v>
      </c>
      <c r="D982" s="18"/>
      <c r="E982" s="18"/>
      <c r="F982" s="18"/>
      <c r="G982" s="18"/>
      <c r="H982" s="19" t="s">
        <v>1986</v>
      </c>
      <c r="I982" s="18" t="s">
        <v>161</v>
      </c>
      <c r="J982" s="20">
        <v>1</v>
      </c>
      <c r="K982" s="20">
        <v>1.1499999999999999</v>
      </c>
      <c r="L982" s="21" t="s">
        <v>28</v>
      </c>
      <c r="M982" s="22">
        <v>5.625</v>
      </c>
      <c r="N982" s="22">
        <v>1.3860000000000001</v>
      </c>
      <c r="O982" s="22">
        <v>1052.3689999999999</v>
      </c>
      <c r="P982" s="22">
        <f t="shared" si="139"/>
        <v>6807.5119687499991</v>
      </c>
      <c r="Q982" s="22">
        <v>2757.7041798239825</v>
      </c>
      <c r="R982" s="22">
        <f t="shared" si="140"/>
        <v>4395.504692221446</v>
      </c>
      <c r="S982" s="22">
        <f t="shared" si="141"/>
        <v>11203.016660971445</v>
      </c>
      <c r="T982" s="23">
        <v>0.55859868298040061</v>
      </c>
      <c r="U982" s="24">
        <v>0.1</v>
      </c>
      <c r="V982" s="25">
        <f t="shared" ref="V982:V985" si="146">S982+S982*T982+(S982+S982*T982)*U982</f>
        <v>19207.10771451734</v>
      </c>
      <c r="W982" s="26" t="s">
        <v>29</v>
      </c>
    </row>
    <row r="983" spans="1:23" ht="89.25" x14ac:dyDescent="0.25">
      <c r="A983" s="17">
        <f t="shared" ca="1" si="143"/>
        <v>979</v>
      </c>
      <c r="B983" s="18" t="s">
        <v>1453</v>
      </c>
      <c r="C983" s="18" t="s">
        <v>1987</v>
      </c>
      <c r="D983" s="18"/>
      <c r="E983" s="18"/>
      <c r="F983" s="18"/>
      <c r="G983" s="18"/>
      <c r="H983" s="19" t="s">
        <v>1988</v>
      </c>
      <c r="I983" s="18" t="s">
        <v>161</v>
      </c>
      <c r="J983" s="20">
        <v>1</v>
      </c>
      <c r="K983" s="20">
        <v>1.1499999999999999</v>
      </c>
      <c r="L983" s="21" t="s">
        <v>28</v>
      </c>
      <c r="M983" s="22">
        <v>2.2347000000000001</v>
      </c>
      <c r="N983" s="22">
        <v>0.14407999999999999</v>
      </c>
      <c r="O983" s="22">
        <v>1052.3689999999999</v>
      </c>
      <c r="P983" s="22">
        <f t="shared" si="139"/>
        <v>2704.4883549449996</v>
      </c>
      <c r="Q983" s="22">
        <v>2757.7041798239825</v>
      </c>
      <c r="R983" s="22">
        <f t="shared" si="140"/>
        <v>456.92952096339525</v>
      </c>
      <c r="S983" s="22">
        <f t="shared" si="141"/>
        <v>3161.4178759083948</v>
      </c>
      <c r="T983" s="23">
        <v>0.55859868298040061</v>
      </c>
      <c r="U983" s="24">
        <v>0.1</v>
      </c>
      <c r="V983" s="25">
        <f t="shared" si="146"/>
        <v>5420.1199115156714</v>
      </c>
      <c r="W983" s="26" t="s">
        <v>29</v>
      </c>
    </row>
    <row r="984" spans="1:23" ht="89.25" x14ac:dyDescent="0.25">
      <c r="A984" s="17">
        <f t="shared" ca="1" si="143"/>
        <v>980</v>
      </c>
      <c r="B984" s="18" t="s">
        <v>1453</v>
      </c>
      <c r="C984" s="18" t="s">
        <v>1989</v>
      </c>
      <c r="D984" s="18"/>
      <c r="E984" s="18"/>
      <c r="F984" s="18"/>
      <c r="G984" s="18"/>
      <c r="H984" s="19" t="s">
        <v>1990</v>
      </c>
      <c r="I984" s="18" t="s">
        <v>161</v>
      </c>
      <c r="J984" s="20">
        <v>1</v>
      </c>
      <c r="K984" s="20">
        <v>1.1499999999999999</v>
      </c>
      <c r="L984" s="21" t="s">
        <v>28</v>
      </c>
      <c r="M984" s="22">
        <v>2.6055000000000001</v>
      </c>
      <c r="N984" s="22">
        <v>0.14407999999999999</v>
      </c>
      <c r="O984" s="22">
        <v>1052.3689999999999</v>
      </c>
      <c r="P984" s="22">
        <f t="shared" si="139"/>
        <v>3153.2395439249999</v>
      </c>
      <c r="Q984" s="22">
        <v>2757.7041798239825</v>
      </c>
      <c r="R984" s="22">
        <f t="shared" si="140"/>
        <v>456.92952096339525</v>
      </c>
      <c r="S984" s="22">
        <f t="shared" si="141"/>
        <v>3610.169064888395</v>
      </c>
      <c r="T984" s="23">
        <v>0.55859868298040061</v>
      </c>
      <c r="U984" s="24">
        <v>0.1</v>
      </c>
      <c r="V984" s="25">
        <f t="shared" si="146"/>
        <v>6189.4852248588004</v>
      </c>
      <c r="W984" s="26" t="s">
        <v>29</v>
      </c>
    </row>
    <row r="985" spans="1:23" ht="89.25" x14ac:dyDescent="0.25">
      <c r="A985" s="17">
        <f t="shared" ca="1" si="143"/>
        <v>981</v>
      </c>
      <c r="B985" s="18" t="s">
        <v>1453</v>
      </c>
      <c r="C985" s="18" t="s">
        <v>1991</v>
      </c>
      <c r="D985" s="18"/>
      <c r="E985" s="18"/>
      <c r="F985" s="18"/>
      <c r="G985" s="18"/>
      <c r="H985" s="19" t="s">
        <v>1992</v>
      </c>
      <c r="I985" s="18" t="s">
        <v>161</v>
      </c>
      <c r="J985" s="20">
        <v>1</v>
      </c>
      <c r="K985" s="20">
        <v>1.1499999999999999</v>
      </c>
      <c r="L985" s="21" t="s">
        <v>28</v>
      </c>
      <c r="M985" s="22">
        <v>3.0690000000000004</v>
      </c>
      <c r="N985" s="22">
        <v>0.24</v>
      </c>
      <c r="O985" s="22">
        <v>1052.3689999999999</v>
      </c>
      <c r="P985" s="22">
        <f t="shared" si="139"/>
        <v>3714.1785301499999</v>
      </c>
      <c r="Q985" s="22">
        <v>2757.7041798239825</v>
      </c>
      <c r="R985" s="22">
        <f t="shared" si="140"/>
        <v>761.12635363141908</v>
      </c>
      <c r="S985" s="22">
        <f t="shared" si="141"/>
        <v>4475.3048837814185</v>
      </c>
      <c r="T985" s="23">
        <v>0.55859868298040061</v>
      </c>
      <c r="U985" s="24">
        <v>0.1</v>
      </c>
      <c r="V985" s="25">
        <f t="shared" si="146"/>
        <v>7672.7247275772215</v>
      </c>
      <c r="W985" s="26" t="s">
        <v>29</v>
      </c>
    </row>
    <row r="986" spans="1:23" x14ac:dyDescent="0.25">
      <c r="A986" s="12">
        <f t="shared" ca="1" si="143"/>
        <v>982</v>
      </c>
      <c r="B986" s="13" t="s">
        <v>1453</v>
      </c>
      <c r="C986" s="13" t="s">
        <v>1993</v>
      </c>
      <c r="D986" s="13"/>
      <c r="E986" s="13"/>
      <c r="F986" s="13"/>
      <c r="G986" s="13"/>
      <c r="H986" s="15" t="s">
        <v>1994</v>
      </c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27"/>
      <c r="U986" s="16"/>
      <c r="V986" s="13"/>
      <c r="W986" s="13"/>
    </row>
    <row r="987" spans="1:23" ht="89.25" x14ac:dyDescent="0.25">
      <c r="A987" s="17">
        <f t="shared" ca="1" si="143"/>
        <v>983</v>
      </c>
      <c r="B987" s="18" t="s">
        <v>1453</v>
      </c>
      <c r="C987" s="18" t="s">
        <v>1995</v>
      </c>
      <c r="D987" s="18"/>
      <c r="E987" s="18"/>
      <c r="F987" s="18"/>
      <c r="G987" s="18"/>
      <c r="H987" s="19" t="s">
        <v>1996</v>
      </c>
      <c r="I987" s="18" t="s">
        <v>161</v>
      </c>
      <c r="J987" s="20">
        <v>1</v>
      </c>
      <c r="K987" s="20">
        <v>1.1499999999999999</v>
      </c>
      <c r="L987" s="21" t="s">
        <v>28</v>
      </c>
      <c r="M987" s="22">
        <v>0.92700000000000005</v>
      </c>
      <c r="N987" s="22">
        <v>4.8000000000000001E-2</v>
      </c>
      <c r="O987" s="22">
        <v>1052.3689999999999</v>
      </c>
      <c r="P987" s="22">
        <f t="shared" si="139"/>
        <v>1121.87797245</v>
      </c>
      <c r="Q987" s="22">
        <v>2757.7041798239825</v>
      </c>
      <c r="R987" s="22">
        <f t="shared" si="140"/>
        <v>152.22527072628381</v>
      </c>
      <c r="S987" s="22">
        <f t="shared" si="141"/>
        <v>1274.1032431762837</v>
      </c>
      <c r="T987" s="23">
        <v>0.55859868298040061</v>
      </c>
      <c r="U987" s="24">
        <v>0.1</v>
      </c>
      <c r="V987" s="25">
        <f t="shared" ref="V987:V990" si="147">S987+S987*T987+(S987+S987*T987)*U987</f>
        <v>2184.3972004751745</v>
      </c>
      <c r="W987" s="26" t="s">
        <v>29</v>
      </c>
    </row>
    <row r="988" spans="1:23" ht="89.25" x14ac:dyDescent="0.25">
      <c r="A988" s="17">
        <f t="shared" ca="1" si="143"/>
        <v>984</v>
      </c>
      <c r="B988" s="18" t="s">
        <v>1453</v>
      </c>
      <c r="C988" s="18" t="s">
        <v>1997</v>
      </c>
      <c r="D988" s="18"/>
      <c r="E988" s="18"/>
      <c r="F988" s="18"/>
      <c r="G988" s="18"/>
      <c r="H988" s="19" t="s">
        <v>1998</v>
      </c>
      <c r="I988" s="18" t="s">
        <v>161</v>
      </c>
      <c r="J988" s="20">
        <v>1</v>
      </c>
      <c r="K988" s="20">
        <v>1.1499999999999999</v>
      </c>
      <c r="L988" s="21" t="s">
        <v>28</v>
      </c>
      <c r="M988" s="22">
        <v>0.56069999999999998</v>
      </c>
      <c r="N988" s="22">
        <v>4.8000000000000001E-2</v>
      </c>
      <c r="O988" s="22">
        <v>1052.3689999999999</v>
      </c>
      <c r="P988" s="22">
        <f t="shared" si="139"/>
        <v>678.57279304499991</v>
      </c>
      <c r="Q988" s="22">
        <v>2757.7041798239825</v>
      </c>
      <c r="R988" s="22">
        <f t="shared" si="140"/>
        <v>152.22527072628381</v>
      </c>
      <c r="S988" s="22">
        <f t="shared" si="141"/>
        <v>830.79806377128375</v>
      </c>
      <c r="T988" s="23">
        <v>0.55859868298040061</v>
      </c>
      <c r="U988" s="24">
        <v>0.1</v>
      </c>
      <c r="V988" s="25">
        <f t="shared" si="147"/>
        <v>1424.3688448182486</v>
      </c>
      <c r="W988" s="26" t="s">
        <v>29</v>
      </c>
    </row>
    <row r="989" spans="1:23" ht="89.25" x14ac:dyDescent="0.25">
      <c r="A989" s="17">
        <f t="shared" ca="1" si="143"/>
        <v>985</v>
      </c>
      <c r="B989" s="18" t="s">
        <v>1453</v>
      </c>
      <c r="C989" s="18" t="s">
        <v>1999</v>
      </c>
      <c r="D989" s="18"/>
      <c r="E989" s="18"/>
      <c r="F989" s="18"/>
      <c r="G989" s="18"/>
      <c r="H989" s="19" t="s">
        <v>2000</v>
      </c>
      <c r="I989" s="18" t="s">
        <v>161</v>
      </c>
      <c r="J989" s="20">
        <v>1</v>
      </c>
      <c r="K989" s="20">
        <v>1.1499999999999999</v>
      </c>
      <c r="L989" s="21" t="s">
        <v>28</v>
      </c>
      <c r="M989" s="22">
        <v>3.9240000000000004</v>
      </c>
      <c r="N989" s="22">
        <v>0.22423999999999999</v>
      </c>
      <c r="O989" s="22">
        <v>1052.3689999999999</v>
      </c>
      <c r="P989" s="22">
        <f t="shared" si="139"/>
        <v>4748.9203493999994</v>
      </c>
      <c r="Q989" s="22">
        <v>2757.7041798239825</v>
      </c>
      <c r="R989" s="22">
        <f t="shared" si="140"/>
        <v>711.14572307628919</v>
      </c>
      <c r="S989" s="22">
        <f t="shared" si="141"/>
        <v>5460.0660724762884</v>
      </c>
      <c r="T989" s="23">
        <v>0.55859868298040061</v>
      </c>
      <c r="U989" s="24">
        <v>0.1</v>
      </c>
      <c r="V989" s="25">
        <f t="shared" si="147"/>
        <v>9361.056968502262</v>
      </c>
      <c r="W989" s="26" t="s">
        <v>29</v>
      </c>
    </row>
    <row r="990" spans="1:23" ht="89.25" x14ac:dyDescent="0.25">
      <c r="A990" s="17">
        <f t="shared" ca="1" si="143"/>
        <v>986</v>
      </c>
      <c r="B990" s="18" t="s">
        <v>1453</v>
      </c>
      <c r="C990" s="18" t="s">
        <v>2001</v>
      </c>
      <c r="D990" s="18"/>
      <c r="E990" s="18"/>
      <c r="F990" s="18"/>
      <c r="G990" s="18"/>
      <c r="H990" s="19" t="s">
        <v>2002</v>
      </c>
      <c r="I990" s="18" t="s">
        <v>161</v>
      </c>
      <c r="J990" s="20">
        <v>1</v>
      </c>
      <c r="K990" s="20">
        <v>1.1499999999999999</v>
      </c>
      <c r="L990" s="21" t="s">
        <v>28</v>
      </c>
      <c r="M990" s="22">
        <v>0.9</v>
      </c>
      <c r="N990" s="22">
        <v>4.8000000000000001E-2</v>
      </c>
      <c r="O990" s="22">
        <v>1052.3689999999999</v>
      </c>
      <c r="P990" s="22">
        <f t="shared" si="139"/>
        <v>1089.2019149999999</v>
      </c>
      <c r="Q990" s="22">
        <v>2757.7041798239825</v>
      </c>
      <c r="R990" s="22">
        <f t="shared" si="140"/>
        <v>152.22527072628381</v>
      </c>
      <c r="S990" s="22">
        <f t="shared" si="141"/>
        <v>1241.4271857262836</v>
      </c>
      <c r="T990" s="23">
        <v>0.55859868298040061</v>
      </c>
      <c r="U990" s="24">
        <v>0.1</v>
      </c>
      <c r="V990" s="25">
        <f t="shared" si="147"/>
        <v>2128.3754543579557</v>
      </c>
      <c r="W990" s="26" t="s">
        <v>29</v>
      </c>
    </row>
    <row r="991" spans="1:23" x14ac:dyDescent="0.25">
      <c r="A991" s="12">
        <f t="shared" ca="1" si="143"/>
        <v>987</v>
      </c>
      <c r="B991" s="13" t="s">
        <v>1453</v>
      </c>
      <c r="C991" s="13" t="s">
        <v>2003</v>
      </c>
      <c r="D991" s="13"/>
      <c r="E991" s="13"/>
      <c r="F991" s="13"/>
      <c r="G991" s="13"/>
      <c r="H991" s="15" t="s">
        <v>2004</v>
      </c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27"/>
      <c r="U991" s="16"/>
      <c r="V991" s="13"/>
      <c r="W991" s="13"/>
    </row>
    <row r="992" spans="1:23" ht="89.25" x14ac:dyDescent="0.25">
      <c r="A992" s="17">
        <f t="shared" ca="1" si="143"/>
        <v>988</v>
      </c>
      <c r="B992" s="18" t="s">
        <v>1453</v>
      </c>
      <c r="C992" s="18" t="s">
        <v>2005</v>
      </c>
      <c r="D992" s="18"/>
      <c r="E992" s="18"/>
      <c r="F992" s="18"/>
      <c r="G992" s="18"/>
      <c r="H992" s="19" t="s">
        <v>2006</v>
      </c>
      <c r="I992" s="18" t="s">
        <v>161</v>
      </c>
      <c r="J992" s="20">
        <v>1</v>
      </c>
      <c r="K992" s="20">
        <v>1.1499999999999999</v>
      </c>
      <c r="L992" s="21" t="s">
        <v>28</v>
      </c>
      <c r="M992" s="22">
        <v>4.9581000000000008</v>
      </c>
      <c r="N992" s="22">
        <v>0.63320000000000021</v>
      </c>
      <c r="O992" s="22">
        <v>1052.3689999999999</v>
      </c>
      <c r="P992" s="22">
        <f t="shared" si="139"/>
        <v>6000.4133497349994</v>
      </c>
      <c r="Q992" s="22">
        <v>2757.7041798239825</v>
      </c>
      <c r="R992" s="22">
        <f t="shared" si="140"/>
        <v>2008.1050296642281</v>
      </c>
      <c r="S992" s="22">
        <f t="shared" si="141"/>
        <v>8008.5183793992273</v>
      </c>
      <c r="T992" s="23">
        <v>0.55859868298040061</v>
      </c>
      <c r="U992" s="24">
        <v>0.1</v>
      </c>
      <c r="V992" s="25">
        <f t="shared" ref="V992:V1008" si="148">S992+S992*T992+(S992+S992*T992)*U992</f>
        <v>13730.272818631565</v>
      </c>
      <c r="W992" s="26" t="s">
        <v>29</v>
      </c>
    </row>
    <row r="993" spans="1:23" ht="89.25" x14ac:dyDescent="0.25">
      <c r="A993" s="17">
        <f t="shared" ca="1" si="143"/>
        <v>989</v>
      </c>
      <c r="B993" s="18" t="s">
        <v>1453</v>
      </c>
      <c r="C993" s="18" t="s">
        <v>2007</v>
      </c>
      <c r="D993" s="18"/>
      <c r="E993" s="18"/>
      <c r="F993" s="18"/>
      <c r="G993" s="18"/>
      <c r="H993" s="19" t="s">
        <v>2008</v>
      </c>
      <c r="I993" s="18" t="s">
        <v>161</v>
      </c>
      <c r="J993" s="20">
        <v>1</v>
      </c>
      <c r="K993" s="20">
        <v>1.1499999999999999</v>
      </c>
      <c r="L993" s="21" t="s">
        <v>28</v>
      </c>
      <c r="M993" s="22">
        <v>6.8121</v>
      </c>
      <c r="N993" s="22">
        <v>1.0440000000000003</v>
      </c>
      <c r="O993" s="22">
        <v>1052.3689999999999</v>
      </c>
      <c r="P993" s="22">
        <f t="shared" si="139"/>
        <v>8244.1692946349995</v>
      </c>
      <c r="Q993" s="22">
        <v>2757.7041798239825</v>
      </c>
      <c r="R993" s="22">
        <f t="shared" si="140"/>
        <v>3310.8996382966739</v>
      </c>
      <c r="S993" s="22">
        <f t="shared" si="141"/>
        <v>11555.068932931674</v>
      </c>
      <c r="T993" s="23">
        <v>0.55859868298040061</v>
      </c>
      <c r="U993" s="24">
        <v>0.1</v>
      </c>
      <c r="V993" s="25">
        <f t="shared" si="148"/>
        <v>19810.686742676553</v>
      </c>
      <c r="W993" s="26" t="s">
        <v>29</v>
      </c>
    </row>
    <row r="994" spans="1:23" ht="89.25" x14ac:dyDescent="0.25">
      <c r="A994" s="17">
        <f t="shared" ca="1" si="143"/>
        <v>990</v>
      </c>
      <c r="B994" s="18" t="s">
        <v>1453</v>
      </c>
      <c r="C994" s="18" t="s">
        <v>2009</v>
      </c>
      <c r="D994" s="18"/>
      <c r="E994" s="18"/>
      <c r="F994" s="18"/>
      <c r="G994" s="18"/>
      <c r="H994" s="19" t="s">
        <v>2010</v>
      </c>
      <c r="I994" s="18" t="s">
        <v>161</v>
      </c>
      <c r="J994" s="20">
        <v>1</v>
      </c>
      <c r="K994" s="20">
        <v>1.1499999999999999</v>
      </c>
      <c r="L994" s="21" t="s">
        <v>28</v>
      </c>
      <c r="M994" s="22">
        <v>2.7</v>
      </c>
      <c r="N994" s="22">
        <v>0.10096000000000001</v>
      </c>
      <c r="O994" s="22">
        <v>1052.3689999999999</v>
      </c>
      <c r="P994" s="22">
        <f t="shared" si="139"/>
        <v>3267.6057449999994</v>
      </c>
      <c r="Q994" s="22">
        <v>2757.7041798239825</v>
      </c>
      <c r="R994" s="22">
        <f t="shared" si="140"/>
        <v>320.18048609428365</v>
      </c>
      <c r="S994" s="22">
        <f t="shared" si="141"/>
        <v>3587.7862310942828</v>
      </c>
      <c r="T994" s="23">
        <v>0.55859868298040061</v>
      </c>
      <c r="U994" s="24">
        <v>0.1</v>
      </c>
      <c r="V994" s="25">
        <f t="shared" si="148"/>
        <v>6151.110784058641</v>
      </c>
      <c r="W994" s="26" t="s">
        <v>29</v>
      </c>
    </row>
    <row r="995" spans="1:23" ht="89.25" x14ac:dyDescent="0.25">
      <c r="A995" s="17">
        <f t="shared" ca="1" si="143"/>
        <v>991</v>
      </c>
      <c r="B995" s="18" t="s">
        <v>1453</v>
      </c>
      <c r="C995" s="18" t="s">
        <v>2011</v>
      </c>
      <c r="D995" s="18"/>
      <c r="E995" s="18"/>
      <c r="F995" s="18"/>
      <c r="G995" s="18"/>
      <c r="H995" s="19" t="s">
        <v>2012</v>
      </c>
      <c r="I995" s="18" t="s">
        <v>161</v>
      </c>
      <c r="J995" s="20">
        <v>1</v>
      </c>
      <c r="K995" s="20">
        <v>1.1499999999999999</v>
      </c>
      <c r="L995" s="21" t="s">
        <v>28</v>
      </c>
      <c r="M995" s="22">
        <v>2.7</v>
      </c>
      <c r="N995" s="22">
        <v>0.10112000000000002</v>
      </c>
      <c r="O995" s="22">
        <v>1052.3689999999999</v>
      </c>
      <c r="P995" s="22">
        <f t="shared" si="139"/>
        <v>3267.6057449999994</v>
      </c>
      <c r="Q995" s="22">
        <v>2757.7041798239825</v>
      </c>
      <c r="R995" s="22">
        <f t="shared" si="140"/>
        <v>320.68790366337134</v>
      </c>
      <c r="S995" s="22">
        <f t="shared" si="141"/>
        <v>3588.2936486633707</v>
      </c>
      <c r="T995" s="23">
        <v>0.55859868298040061</v>
      </c>
      <c r="U995" s="24">
        <v>0.1</v>
      </c>
      <c r="V995" s="25">
        <f t="shared" si="148"/>
        <v>6151.9807304490323</v>
      </c>
      <c r="W995" s="26" t="s">
        <v>29</v>
      </c>
    </row>
    <row r="996" spans="1:23" ht="89.25" x14ac:dyDescent="0.25">
      <c r="A996" s="17">
        <f t="shared" ca="1" si="143"/>
        <v>992</v>
      </c>
      <c r="B996" s="18" t="s">
        <v>1453</v>
      </c>
      <c r="C996" s="18" t="s">
        <v>2013</v>
      </c>
      <c r="D996" s="18"/>
      <c r="E996" s="18"/>
      <c r="F996" s="18"/>
      <c r="G996" s="18"/>
      <c r="H996" s="19" t="s">
        <v>2014</v>
      </c>
      <c r="I996" s="18" t="s">
        <v>161</v>
      </c>
      <c r="J996" s="20">
        <v>1</v>
      </c>
      <c r="K996" s="20">
        <v>1.1499999999999999</v>
      </c>
      <c r="L996" s="21" t="s">
        <v>28</v>
      </c>
      <c r="M996" s="22">
        <v>4.5</v>
      </c>
      <c r="N996" s="22">
        <v>0.1028</v>
      </c>
      <c r="O996" s="22">
        <v>1052.3689999999999</v>
      </c>
      <c r="P996" s="22">
        <f t="shared" si="139"/>
        <v>5446.0095749999991</v>
      </c>
      <c r="Q996" s="22">
        <v>2757.7041798239825</v>
      </c>
      <c r="R996" s="22">
        <f t="shared" si="140"/>
        <v>326.01578813879121</v>
      </c>
      <c r="S996" s="22">
        <f t="shared" si="141"/>
        <v>5772.0253631387905</v>
      </c>
      <c r="T996" s="23">
        <v>0.55859868298040061</v>
      </c>
      <c r="U996" s="24">
        <v>0.1</v>
      </c>
      <c r="V996" s="25">
        <f t="shared" si="148"/>
        <v>9895.8982420293469</v>
      </c>
      <c r="W996" s="26" t="s">
        <v>29</v>
      </c>
    </row>
    <row r="997" spans="1:23" ht="89.25" x14ac:dyDescent="0.25">
      <c r="A997" s="17">
        <f t="shared" ca="1" si="143"/>
        <v>993</v>
      </c>
      <c r="B997" s="18" t="s">
        <v>1453</v>
      </c>
      <c r="C997" s="18" t="s">
        <v>2015</v>
      </c>
      <c r="D997" s="18"/>
      <c r="E997" s="18"/>
      <c r="F997" s="18"/>
      <c r="G997" s="18"/>
      <c r="H997" s="19" t="s">
        <v>2016</v>
      </c>
      <c r="I997" s="18" t="s">
        <v>161</v>
      </c>
      <c r="J997" s="20">
        <v>1</v>
      </c>
      <c r="K997" s="20">
        <v>1.1499999999999999</v>
      </c>
      <c r="L997" s="21" t="s">
        <v>28</v>
      </c>
      <c r="M997" s="22">
        <v>1.8</v>
      </c>
      <c r="N997" s="22">
        <v>8.6400000000000005E-2</v>
      </c>
      <c r="O997" s="22">
        <v>1052.3689999999999</v>
      </c>
      <c r="P997" s="22">
        <f t="shared" si="139"/>
        <v>2178.4038299999997</v>
      </c>
      <c r="Q997" s="22">
        <v>2757.7041798239825</v>
      </c>
      <c r="R997" s="22">
        <f t="shared" si="140"/>
        <v>274.00548730731089</v>
      </c>
      <c r="S997" s="22">
        <f t="shared" si="141"/>
        <v>2452.4093173073106</v>
      </c>
      <c r="T997" s="23">
        <v>0.55859868298040061</v>
      </c>
      <c r="U997" s="24">
        <v>0.1</v>
      </c>
      <c r="V997" s="25">
        <f t="shared" si="148"/>
        <v>4204.5541252924422</v>
      </c>
      <c r="W997" s="26" t="s">
        <v>29</v>
      </c>
    </row>
    <row r="998" spans="1:23" ht="89.25" x14ac:dyDescent="0.25">
      <c r="A998" s="17">
        <f t="shared" ca="1" si="143"/>
        <v>994</v>
      </c>
      <c r="B998" s="18" t="s">
        <v>1453</v>
      </c>
      <c r="C998" s="18" t="s">
        <v>2017</v>
      </c>
      <c r="D998" s="18"/>
      <c r="E998" s="18"/>
      <c r="F998" s="18"/>
      <c r="G998" s="18"/>
      <c r="H998" s="19" t="s">
        <v>2018</v>
      </c>
      <c r="I998" s="18" t="s">
        <v>161</v>
      </c>
      <c r="J998" s="20">
        <v>1</v>
      </c>
      <c r="K998" s="20">
        <v>1.1499999999999999</v>
      </c>
      <c r="L998" s="21" t="s">
        <v>28</v>
      </c>
      <c r="M998" s="22">
        <v>1.8</v>
      </c>
      <c r="N998" s="22">
        <v>8.6480000000000001E-2</v>
      </c>
      <c r="O998" s="22">
        <v>1052.3689999999999</v>
      </c>
      <c r="P998" s="22">
        <f t="shared" si="139"/>
        <v>2178.4038299999997</v>
      </c>
      <c r="Q998" s="22">
        <v>2757.7041798239825</v>
      </c>
      <c r="R998" s="22">
        <f t="shared" si="140"/>
        <v>274.25919609185468</v>
      </c>
      <c r="S998" s="22">
        <f t="shared" si="141"/>
        <v>2452.6630260918546</v>
      </c>
      <c r="T998" s="23">
        <v>0.55859868298040061</v>
      </c>
      <c r="U998" s="24">
        <v>0.1</v>
      </c>
      <c r="V998" s="25">
        <f t="shared" si="148"/>
        <v>4204.9890984876374</v>
      </c>
      <c r="W998" s="26" t="s">
        <v>29</v>
      </c>
    </row>
    <row r="999" spans="1:23" ht="89.25" x14ac:dyDescent="0.25">
      <c r="A999" s="17">
        <f t="shared" ca="1" si="143"/>
        <v>995</v>
      </c>
      <c r="B999" s="18" t="s">
        <v>1453</v>
      </c>
      <c r="C999" s="18" t="s">
        <v>2019</v>
      </c>
      <c r="D999" s="18"/>
      <c r="E999" s="18"/>
      <c r="F999" s="18"/>
      <c r="G999" s="18"/>
      <c r="H999" s="19" t="s">
        <v>2020</v>
      </c>
      <c r="I999" s="18" t="s">
        <v>161</v>
      </c>
      <c r="J999" s="20">
        <v>1</v>
      </c>
      <c r="K999" s="20">
        <v>1.1499999999999999</v>
      </c>
      <c r="L999" s="21" t="s">
        <v>28</v>
      </c>
      <c r="M999" s="22">
        <v>2.7</v>
      </c>
      <c r="N999" s="22">
        <v>8.6560000000000012E-2</v>
      </c>
      <c r="O999" s="22">
        <v>1052.3689999999999</v>
      </c>
      <c r="P999" s="22">
        <f t="shared" si="139"/>
        <v>3267.6057449999994</v>
      </c>
      <c r="Q999" s="22">
        <v>2757.7041798239825</v>
      </c>
      <c r="R999" s="22">
        <f t="shared" si="140"/>
        <v>274.51290487639852</v>
      </c>
      <c r="S999" s="22">
        <f t="shared" si="141"/>
        <v>3542.1186498763977</v>
      </c>
      <c r="T999" s="23">
        <v>0.55859868298040061</v>
      </c>
      <c r="U999" s="24">
        <v>0.1</v>
      </c>
      <c r="V999" s="25">
        <f t="shared" si="148"/>
        <v>6072.8156089234353</v>
      </c>
      <c r="W999" s="26" t="s">
        <v>29</v>
      </c>
    </row>
    <row r="1000" spans="1:23" ht="89.25" x14ac:dyDescent="0.25">
      <c r="A1000" s="17">
        <f t="shared" ca="1" si="143"/>
        <v>996</v>
      </c>
      <c r="B1000" s="18" t="s">
        <v>1453</v>
      </c>
      <c r="C1000" s="18" t="s">
        <v>2021</v>
      </c>
      <c r="D1000" s="18"/>
      <c r="E1000" s="18"/>
      <c r="F1000" s="18"/>
      <c r="G1000" s="18"/>
      <c r="H1000" s="19" t="s">
        <v>2022</v>
      </c>
      <c r="I1000" s="18" t="s">
        <v>161</v>
      </c>
      <c r="J1000" s="20">
        <v>1</v>
      </c>
      <c r="K1000" s="20">
        <v>1.1499999999999999</v>
      </c>
      <c r="L1000" s="21" t="s">
        <v>28</v>
      </c>
      <c r="M1000" s="22">
        <v>0.9</v>
      </c>
      <c r="N1000" s="22">
        <v>0.11200000000000002</v>
      </c>
      <c r="O1000" s="22">
        <v>1052.3689999999999</v>
      </c>
      <c r="P1000" s="22">
        <f t="shared" si="139"/>
        <v>1089.2019149999999</v>
      </c>
      <c r="Q1000" s="22">
        <v>2757.7041798239825</v>
      </c>
      <c r="R1000" s="22">
        <f t="shared" si="140"/>
        <v>355.19229836132899</v>
      </c>
      <c r="S1000" s="22">
        <f t="shared" si="141"/>
        <v>1444.3942133613289</v>
      </c>
      <c r="T1000" s="23">
        <v>0.55859868298040061</v>
      </c>
      <c r="U1000" s="24">
        <v>0.1</v>
      </c>
      <c r="V1000" s="25">
        <f t="shared" si="148"/>
        <v>2476.354010514427</v>
      </c>
      <c r="W1000" s="26" t="s">
        <v>29</v>
      </c>
    </row>
    <row r="1001" spans="1:23" ht="89.25" x14ac:dyDescent="0.25">
      <c r="A1001" s="17">
        <f t="shared" ca="1" si="143"/>
        <v>997</v>
      </c>
      <c r="B1001" s="18" t="s">
        <v>1453</v>
      </c>
      <c r="C1001" s="18" t="s">
        <v>2023</v>
      </c>
      <c r="D1001" s="18"/>
      <c r="E1001" s="18"/>
      <c r="F1001" s="18"/>
      <c r="G1001" s="18"/>
      <c r="H1001" s="19" t="s">
        <v>2024</v>
      </c>
      <c r="I1001" s="18" t="s">
        <v>161</v>
      </c>
      <c r="J1001" s="20">
        <v>1</v>
      </c>
      <c r="K1001" s="20">
        <v>1.1499999999999999</v>
      </c>
      <c r="L1001" s="21" t="s">
        <v>28</v>
      </c>
      <c r="M1001" s="22">
        <v>0.9</v>
      </c>
      <c r="N1001" s="22">
        <v>0.11200000000000002</v>
      </c>
      <c r="O1001" s="22">
        <v>1052.3689999999999</v>
      </c>
      <c r="P1001" s="22">
        <f t="shared" si="139"/>
        <v>1089.2019149999999</v>
      </c>
      <c r="Q1001" s="22">
        <v>2757.7041798239825</v>
      </c>
      <c r="R1001" s="22">
        <f t="shared" si="140"/>
        <v>355.19229836132899</v>
      </c>
      <c r="S1001" s="22">
        <f t="shared" si="141"/>
        <v>1444.3942133613289</v>
      </c>
      <c r="T1001" s="23">
        <v>0.55859868298040061</v>
      </c>
      <c r="U1001" s="24">
        <v>0.1</v>
      </c>
      <c r="V1001" s="25">
        <f t="shared" si="148"/>
        <v>2476.354010514427</v>
      </c>
      <c r="W1001" s="26" t="s">
        <v>29</v>
      </c>
    </row>
    <row r="1002" spans="1:23" ht="89.25" x14ac:dyDescent="0.25">
      <c r="A1002" s="17">
        <f t="shared" ca="1" si="143"/>
        <v>998</v>
      </c>
      <c r="B1002" s="18" t="s">
        <v>1453</v>
      </c>
      <c r="C1002" s="18" t="s">
        <v>2025</v>
      </c>
      <c r="D1002" s="18"/>
      <c r="E1002" s="18"/>
      <c r="F1002" s="18"/>
      <c r="G1002" s="18"/>
      <c r="H1002" s="19" t="s">
        <v>2026</v>
      </c>
      <c r="I1002" s="18" t="s">
        <v>161</v>
      </c>
      <c r="J1002" s="20">
        <v>1</v>
      </c>
      <c r="K1002" s="20">
        <v>1.1499999999999999</v>
      </c>
      <c r="L1002" s="21" t="s">
        <v>28</v>
      </c>
      <c r="M1002" s="22">
        <v>1.8</v>
      </c>
      <c r="N1002" s="22">
        <v>0.26400000000000001</v>
      </c>
      <c r="O1002" s="22">
        <v>1052.3689999999999</v>
      </c>
      <c r="P1002" s="22">
        <f t="shared" si="139"/>
        <v>2178.4038299999997</v>
      </c>
      <c r="Q1002" s="22">
        <v>2757.7041798239825</v>
      </c>
      <c r="R1002" s="22">
        <f t="shared" si="140"/>
        <v>837.23898899456105</v>
      </c>
      <c r="S1002" s="22">
        <f t="shared" si="141"/>
        <v>3015.6428189945609</v>
      </c>
      <c r="T1002" s="23">
        <v>0.55859868298040061</v>
      </c>
      <c r="U1002" s="24">
        <v>0.1</v>
      </c>
      <c r="V1002" s="25">
        <f t="shared" si="148"/>
        <v>5170.1946186266478</v>
      </c>
      <c r="W1002" s="26" t="s">
        <v>29</v>
      </c>
    </row>
    <row r="1003" spans="1:23" ht="89.25" x14ac:dyDescent="0.25">
      <c r="A1003" s="17">
        <f t="shared" ca="1" si="143"/>
        <v>999</v>
      </c>
      <c r="B1003" s="18" t="s">
        <v>1453</v>
      </c>
      <c r="C1003" s="18" t="s">
        <v>2027</v>
      </c>
      <c r="D1003" s="18"/>
      <c r="E1003" s="18"/>
      <c r="F1003" s="18"/>
      <c r="G1003" s="18"/>
      <c r="H1003" s="19" t="s">
        <v>2028</v>
      </c>
      <c r="I1003" s="18" t="s">
        <v>161</v>
      </c>
      <c r="J1003" s="20">
        <v>1</v>
      </c>
      <c r="K1003" s="20">
        <v>1.1499999999999999</v>
      </c>
      <c r="L1003" s="21" t="s">
        <v>28</v>
      </c>
      <c r="M1003" s="22">
        <v>0.9</v>
      </c>
      <c r="N1003" s="22">
        <v>0.11200000000000002</v>
      </c>
      <c r="O1003" s="22">
        <v>1052.3689999999999</v>
      </c>
      <c r="P1003" s="22">
        <f t="shared" si="139"/>
        <v>1089.2019149999999</v>
      </c>
      <c r="Q1003" s="22">
        <v>2757.7041798239825</v>
      </c>
      <c r="R1003" s="22">
        <f t="shared" si="140"/>
        <v>355.19229836132899</v>
      </c>
      <c r="S1003" s="22">
        <f t="shared" si="141"/>
        <v>1444.3942133613289</v>
      </c>
      <c r="T1003" s="23">
        <v>0.55859868298040061</v>
      </c>
      <c r="U1003" s="24">
        <v>0.1</v>
      </c>
      <c r="V1003" s="25">
        <f t="shared" si="148"/>
        <v>2476.354010514427</v>
      </c>
      <c r="W1003" s="26" t="s">
        <v>29</v>
      </c>
    </row>
    <row r="1004" spans="1:23" ht="89.25" x14ac:dyDescent="0.25">
      <c r="A1004" s="17">
        <f t="shared" ca="1" si="143"/>
        <v>1000</v>
      </c>
      <c r="B1004" s="18" t="s">
        <v>1453</v>
      </c>
      <c r="C1004" s="18" t="s">
        <v>2029</v>
      </c>
      <c r="D1004" s="18"/>
      <c r="E1004" s="18"/>
      <c r="F1004" s="18"/>
      <c r="G1004" s="18"/>
      <c r="H1004" s="19" t="s">
        <v>2030</v>
      </c>
      <c r="I1004" s="18" t="s">
        <v>161</v>
      </c>
      <c r="J1004" s="20">
        <v>1</v>
      </c>
      <c r="K1004" s="20">
        <v>1.1499999999999999</v>
      </c>
      <c r="L1004" s="21" t="s">
        <v>28</v>
      </c>
      <c r="M1004" s="22">
        <v>0.9</v>
      </c>
      <c r="N1004" s="22">
        <v>0.11200000000000002</v>
      </c>
      <c r="O1004" s="22">
        <v>1052.3689999999999</v>
      </c>
      <c r="P1004" s="22">
        <f t="shared" si="139"/>
        <v>1089.2019149999999</v>
      </c>
      <c r="Q1004" s="22">
        <v>2757.7041798239825</v>
      </c>
      <c r="R1004" s="22">
        <f t="shared" si="140"/>
        <v>355.19229836132899</v>
      </c>
      <c r="S1004" s="22">
        <f t="shared" si="141"/>
        <v>1444.3942133613289</v>
      </c>
      <c r="T1004" s="23">
        <v>0.55859868298040061</v>
      </c>
      <c r="U1004" s="24">
        <v>0.1</v>
      </c>
      <c r="V1004" s="25">
        <f t="shared" si="148"/>
        <v>2476.354010514427</v>
      </c>
      <c r="W1004" s="26" t="s">
        <v>29</v>
      </c>
    </row>
    <row r="1005" spans="1:23" ht="89.25" x14ac:dyDescent="0.25">
      <c r="A1005" s="17">
        <f t="shared" ca="1" si="143"/>
        <v>1001</v>
      </c>
      <c r="B1005" s="18" t="s">
        <v>1453</v>
      </c>
      <c r="C1005" s="18" t="s">
        <v>2031</v>
      </c>
      <c r="D1005" s="18"/>
      <c r="E1005" s="18"/>
      <c r="F1005" s="18"/>
      <c r="G1005" s="18"/>
      <c r="H1005" s="19" t="s">
        <v>2032</v>
      </c>
      <c r="I1005" s="18" t="s">
        <v>161</v>
      </c>
      <c r="J1005" s="20">
        <v>1</v>
      </c>
      <c r="K1005" s="20">
        <v>1.1499999999999999</v>
      </c>
      <c r="L1005" s="21" t="s">
        <v>28</v>
      </c>
      <c r="M1005" s="22">
        <v>1.8</v>
      </c>
      <c r="N1005" s="22">
        <v>0.26400000000000001</v>
      </c>
      <c r="O1005" s="22">
        <v>1052.3689999999999</v>
      </c>
      <c r="P1005" s="22">
        <f t="shared" si="139"/>
        <v>2178.4038299999997</v>
      </c>
      <c r="Q1005" s="22">
        <v>2757.7041798239825</v>
      </c>
      <c r="R1005" s="22">
        <f t="shared" si="140"/>
        <v>837.23898899456105</v>
      </c>
      <c r="S1005" s="22">
        <f t="shared" si="141"/>
        <v>3015.6428189945609</v>
      </c>
      <c r="T1005" s="23">
        <v>0.55859868298040061</v>
      </c>
      <c r="U1005" s="24">
        <v>0.1</v>
      </c>
      <c r="V1005" s="25">
        <f t="shared" si="148"/>
        <v>5170.1946186266478</v>
      </c>
      <c r="W1005" s="26" t="s">
        <v>29</v>
      </c>
    </row>
    <row r="1006" spans="1:23" ht="89.25" x14ac:dyDescent="0.25">
      <c r="A1006" s="17">
        <f t="shared" ca="1" si="143"/>
        <v>1002</v>
      </c>
      <c r="B1006" s="18" t="s">
        <v>1453</v>
      </c>
      <c r="C1006" s="18" t="s">
        <v>2033</v>
      </c>
      <c r="D1006" s="18"/>
      <c r="E1006" s="18"/>
      <c r="F1006" s="18"/>
      <c r="G1006" s="18"/>
      <c r="H1006" s="19" t="s">
        <v>2034</v>
      </c>
      <c r="I1006" s="18" t="s">
        <v>161</v>
      </c>
      <c r="J1006" s="20">
        <v>1</v>
      </c>
      <c r="K1006" s="20">
        <v>1.1499999999999999</v>
      </c>
      <c r="L1006" s="21" t="s">
        <v>28</v>
      </c>
      <c r="M1006" s="22">
        <v>4.6350000000000007</v>
      </c>
      <c r="N1006" s="22">
        <v>0.58567999999999998</v>
      </c>
      <c r="O1006" s="22">
        <v>1052.3689999999999</v>
      </c>
      <c r="P1006" s="22">
        <f t="shared" si="139"/>
        <v>5609.3898622500001</v>
      </c>
      <c r="Q1006" s="22">
        <v>2757.7041798239825</v>
      </c>
      <c r="R1006" s="22">
        <f t="shared" si="140"/>
        <v>1857.4020116452064</v>
      </c>
      <c r="S1006" s="22">
        <f t="shared" si="141"/>
        <v>7466.7918738952067</v>
      </c>
      <c r="T1006" s="23">
        <v>0.55859868298040061</v>
      </c>
      <c r="U1006" s="24">
        <v>0.1</v>
      </c>
      <c r="V1006" s="25">
        <f t="shared" si="148"/>
        <v>12801.505178816009</v>
      </c>
      <c r="W1006" s="26" t="s">
        <v>29</v>
      </c>
    </row>
    <row r="1007" spans="1:23" ht="89.25" x14ac:dyDescent="0.25">
      <c r="A1007" s="17">
        <f t="shared" ca="1" si="143"/>
        <v>1003</v>
      </c>
      <c r="B1007" s="18" t="s">
        <v>1453</v>
      </c>
      <c r="C1007" s="18" t="s">
        <v>2035</v>
      </c>
      <c r="D1007" s="18"/>
      <c r="E1007" s="18"/>
      <c r="F1007" s="18"/>
      <c r="G1007" s="18"/>
      <c r="H1007" s="19" t="s">
        <v>2036</v>
      </c>
      <c r="I1007" s="18" t="s">
        <v>161</v>
      </c>
      <c r="J1007" s="20">
        <v>1</v>
      </c>
      <c r="K1007" s="20">
        <v>1.1499999999999999</v>
      </c>
      <c r="L1007" s="21" t="s">
        <v>28</v>
      </c>
      <c r="M1007" s="22">
        <v>4.6350000000000007</v>
      </c>
      <c r="N1007" s="22">
        <v>0.5868000000000001</v>
      </c>
      <c r="O1007" s="22">
        <v>1052.3689999999999</v>
      </c>
      <c r="P1007" s="22">
        <f t="shared" si="139"/>
        <v>5609.3898622500001</v>
      </c>
      <c r="Q1007" s="22">
        <v>2757.7041798239825</v>
      </c>
      <c r="R1007" s="22">
        <f t="shared" si="140"/>
        <v>1860.95393462882</v>
      </c>
      <c r="S1007" s="22">
        <f t="shared" si="141"/>
        <v>7470.3437968788203</v>
      </c>
      <c r="T1007" s="23">
        <v>0.55859868298040061</v>
      </c>
      <c r="U1007" s="24">
        <v>0.1</v>
      </c>
      <c r="V1007" s="25">
        <f t="shared" si="148"/>
        <v>12807.594803548747</v>
      </c>
      <c r="W1007" s="26" t="s">
        <v>29</v>
      </c>
    </row>
    <row r="1008" spans="1:23" ht="89.25" x14ac:dyDescent="0.25">
      <c r="A1008" s="17">
        <f t="shared" ca="1" si="143"/>
        <v>1004</v>
      </c>
      <c r="B1008" s="18" t="s">
        <v>1453</v>
      </c>
      <c r="C1008" s="18" t="s">
        <v>2037</v>
      </c>
      <c r="D1008" s="18"/>
      <c r="E1008" s="18"/>
      <c r="F1008" s="18"/>
      <c r="G1008" s="18"/>
      <c r="H1008" s="19" t="s">
        <v>2038</v>
      </c>
      <c r="I1008" s="18" t="s">
        <v>161</v>
      </c>
      <c r="J1008" s="20">
        <v>1</v>
      </c>
      <c r="K1008" s="20">
        <v>1.1499999999999999</v>
      </c>
      <c r="L1008" s="21" t="s">
        <v>28</v>
      </c>
      <c r="M1008" s="22">
        <v>6.4889999999999999</v>
      </c>
      <c r="N1008" s="22">
        <v>0.99760000000000015</v>
      </c>
      <c r="O1008" s="22">
        <v>1052.3689999999999</v>
      </c>
      <c r="P1008" s="22">
        <f t="shared" si="139"/>
        <v>7853.1458071499983</v>
      </c>
      <c r="Q1008" s="22">
        <v>2757.7041798239825</v>
      </c>
      <c r="R1008" s="22">
        <f t="shared" si="140"/>
        <v>3163.7485432612661</v>
      </c>
      <c r="S1008" s="22">
        <f t="shared" si="141"/>
        <v>11016.894350411265</v>
      </c>
      <c r="T1008" s="23">
        <v>0.55859868298040061</v>
      </c>
      <c r="U1008" s="24">
        <v>0.1</v>
      </c>
      <c r="V1008" s="25">
        <f t="shared" si="148"/>
        <v>18888.008727593737</v>
      </c>
      <c r="W1008" s="26" t="s">
        <v>29</v>
      </c>
    </row>
    <row r="1009" spans="1:23" x14ac:dyDescent="0.25">
      <c r="A1009" s="12">
        <f t="shared" ca="1" si="143"/>
        <v>1005</v>
      </c>
      <c r="B1009" s="13" t="s">
        <v>1453</v>
      </c>
      <c r="C1009" s="13" t="s">
        <v>2039</v>
      </c>
      <c r="D1009" s="13"/>
      <c r="E1009" s="13"/>
      <c r="F1009" s="13"/>
      <c r="G1009" s="13"/>
      <c r="H1009" s="15" t="s">
        <v>2040</v>
      </c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27"/>
      <c r="U1009" s="16"/>
      <c r="V1009" s="13"/>
      <c r="W1009" s="13"/>
    </row>
    <row r="1010" spans="1:23" ht="89.25" x14ac:dyDescent="0.25">
      <c r="A1010" s="17">
        <f t="shared" ca="1" si="143"/>
        <v>1006</v>
      </c>
      <c r="B1010" s="18" t="s">
        <v>1453</v>
      </c>
      <c r="C1010" s="18" t="s">
        <v>2041</v>
      </c>
      <c r="D1010" s="18"/>
      <c r="E1010" s="18"/>
      <c r="F1010" s="18"/>
      <c r="G1010" s="18"/>
      <c r="H1010" s="19" t="s">
        <v>2042</v>
      </c>
      <c r="I1010" s="18" t="s">
        <v>161</v>
      </c>
      <c r="J1010" s="20">
        <v>1</v>
      </c>
      <c r="K1010" s="20">
        <v>1.1499999999999999</v>
      </c>
      <c r="L1010" s="21" t="s">
        <v>28</v>
      </c>
      <c r="M1010" s="22">
        <v>1.8540000000000001</v>
      </c>
      <c r="N1010" s="22">
        <v>0.12</v>
      </c>
      <c r="O1010" s="22">
        <v>1052.3689999999999</v>
      </c>
      <c r="P1010" s="22">
        <f t="shared" si="139"/>
        <v>2243.7559449</v>
      </c>
      <c r="Q1010" s="22">
        <v>2757.7041798239825</v>
      </c>
      <c r="R1010" s="22">
        <f t="shared" si="140"/>
        <v>380.56317681570954</v>
      </c>
      <c r="S1010" s="22">
        <f t="shared" si="141"/>
        <v>2624.3191217157096</v>
      </c>
      <c r="T1010" s="23">
        <v>0.55859868298040061</v>
      </c>
      <c r="U1010" s="24">
        <v>0.1</v>
      </c>
      <c r="V1010" s="25">
        <f t="shared" ref="V1010:V1013" si="149">S1010+S1010*T1010+(S1010+S1010*T1010)*U1010</f>
        <v>4499.2863595090248</v>
      </c>
      <c r="W1010" s="26" t="s">
        <v>29</v>
      </c>
    </row>
    <row r="1011" spans="1:23" ht="89.25" x14ac:dyDescent="0.25">
      <c r="A1011" s="17">
        <f t="shared" ca="1" si="143"/>
        <v>1007</v>
      </c>
      <c r="B1011" s="18" t="s">
        <v>1453</v>
      </c>
      <c r="C1011" s="18" t="s">
        <v>2043</v>
      </c>
      <c r="D1011" s="18"/>
      <c r="E1011" s="18"/>
      <c r="F1011" s="18"/>
      <c r="G1011" s="18"/>
      <c r="H1011" s="19" t="s">
        <v>2044</v>
      </c>
      <c r="I1011" s="18" t="s">
        <v>161</v>
      </c>
      <c r="J1011" s="20">
        <v>1</v>
      </c>
      <c r="K1011" s="20">
        <v>1.1499999999999999</v>
      </c>
      <c r="L1011" s="21" t="s">
        <v>28</v>
      </c>
      <c r="M1011" s="22">
        <v>1.8819000000000001</v>
      </c>
      <c r="N1011" s="22">
        <v>0.12</v>
      </c>
      <c r="O1011" s="22">
        <v>1052.3689999999999</v>
      </c>
      <c r="P1011" s="22">
        <f t="shared" si="139"/>
        <v>2277.5212042650001</v>
      </c>
      <c r="Q1011" s="22">
        <v>2757.7041798239825</v>
      </c>
      <c r="R1011" s="22">
        <f t="shared" si="140"/>
        <v>380.56317681570954</v>
      </c>
      <c r="S1011" s="22">
        <f t="shared" si="141"/>
        <v>2658.0843810807096</v>
      </c>
      <c r="T1011" s="23">
        <v>0.55859868298040061</v>
      </c>
      <c r="U1011" s="24">
        <v>0.1</v>
      </c>
      <c r="V1011" s="25">
        <f t="shared" si="149"/>
        <v>4557.1754971634846</v>
      </c>
      <c r="W1011" s="26" t="s">
        <v>29</v>
      </c>
    </row>
    <row r="1012" spans="1:23" ht="89.25" x14ac:dyDescent="0.25">
      <c r="A1012" s="17">
        <f t="shared" ca="1" si="143"/>
        <v>1008</v>
      </c>
      <c r="B1012" s="18" t="s">
        <v>1453</v>
      </c>
      <c r="C1012" s="18" t="s">
        <v>2045</v>
      </c>
      <c r="D1012" s="18"/>
      <c r="E1012" s="18"/>
      <c r="F1012" s="18"/>
      <c r="G1012" s="18"/>
      <c r="H1012" s="19" t="s">
        <v>2046</v>
      </c>
      <c r="I1012" s="18" t="s">
        <v>161</v>
      </c>
      <c r="J1012" s="20">
        <v>1</v>
      </c>
      <c r="K1012" s="20">
        <v>1.1499999999999999</v>
      </c>
      <c r="L1012" s="21" t="s">
        <v>28</v>
      </c>
      <c r="M1012" s="22">
        <v>9.0090000000000003</v>
      </c>
      <c r="N1012" s="22">
        <v>0.44800000000000006</v>
      </c>
      <c r="O1012" s="22">
        <v>1052.3689999999999</v>
      </c>
      <c r="P1012" s="22">
        <f t="shared" si="139"/>
        <v>10902.911169149998</v>
      </c>
      <c r="Q1012" s="22">
        <v>2757.7041798239825</v>
      </c>
      <c r="R1012" s="22">
        <f t="shared" si="140"/>
        <v>1420.769193445316</v>
      </c>
      <c r="S1012" s="22">
        <f t="shared" si="141"/>
        <v>12323.680362595314</v>
      </c>
      <c r="T1012" s="23">
        <v>0.55859868298040061</v>
      </c>
      <c r="U1012" s="24">
        <v>0.1</v>
      </c>
      <c r="V1012" s="25">
        <f t="shared" si="149"/>
        <v>21128.439180873731</v>
      </c>
      <c r="W1012" s="26" t="s">
        <v>29</v>
      </c>
    </row>
    <row r="1013" spans="1:23" ht="89.25" x14ac:dyDescent="0.25">
      <c r="A1013" s="17">
        <f t="shared" ca="1" si="143"/>
        <v>1009</v>
      </c>
      <c r="B1013" s="18" t="s">
        <v>1453</v>
      </c>
      <c r="C1013" s="18" t="s">
        <v>2047</v>
      </c>
      <c r="D1013" s="18"/>
      <c r="E1013" s="18"/>
      <c r="F1013" s="18"/>
      <c r="G1013" s="18"/>
      <c r="H1013" s="19" t="s">
        <v>2048</v>
      </c>
      <c r="I1013" s="18" t="s">
        <v>161</v>
      </c>
      <c r="J1013" s="20">
        <v>1</v>
      </c>
      <c r="K1013" s="20">
        <v>1.1499999999999999</v>
      </c>
      <c r="L1013" s="21" t="s">
        <v>28</v>
      </c>
      <c r="M1013" s="22">
        <v>6.2279999999999998</v>
      </c>
      <c r="N1013" s="22">
        <v>0.44800000000000006</v>
      </c>
      <c r="O1013" s="22">
        <v>1052.3689999999999</v>
      </c>
      <c r="P1013" s="22">
        <f t="shared" si="139"/>
        <v>7537.2772517999992</v>
      </c>
      <c r="Q1013" s="22">
        <v>2757.7041798239825</v>
      </c>
      <c r="R1013" s="22">
        <f t="shared" si="140"/>
        <v>1420.769193445316</v>
      </c>
      <c r="S1013" s="22">
        <f t="shared" si="141"/>
        <v>8958.0464452453161</v>
      </c>
      <c r="T1013" s="23">
        <v>0.55859868298040061</v>
      </c>
      <c r="U1013" s="24">
        <v>0.1</v>
      </c>
      <c r="V1013" s="25">
        <f t="shared" si="149"/>
        <v>15358.199330800271</v>
      </c>
      <c r="W1013" s="26" t="s">
        <v>29</v>
      </c>
    </row>
    <row r="1014" spans="1:23" x14ac:dyDescent="0.25">
      <c r="A1014" s="12">
        <f t="shared" ca="1" si="143"/>
        <v>1010</v>
      </c>
      <c r="B1014" s="13" t="s">
        <v>1453</v>
      </c>
      <c r="C1014" s="13" t="s">
        <v>2049</v>
      </c>
      <c r="D1014" s="13"/>
      <c r="E1014" s="13"/>
      <c r="F1014" s="13"/>
      <c r="G1014" s="13"/>
      <c r="H1014" s="15" t="s">
        <v>2050</v>
      </c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27"/>
      <c r="U1014" s="16"/>
      <c r="V1014" s="13"/>
      <c r="W1014" s="13"/>
    </row>
    <row r="1015" spans="1:23" ht="89.25" x14ac:dyDescent="0.25">
      <c r="A1015" s="17">
        <f t="shared" ca="1" si="143"/>
        <v>1011</v>
      </c>
      <c r="B1015" s="18" t="s">
        <v>1453</v>
      </c>
      <c r="C1015" s="18" t="s">
        <v>2051</v>
      </c>
      <c r="D1015" s="18"/>
      <c r="E1015" s="18"/>
      <c r="F1015" s="18"/>
      <c r="G1015" s="18"/>
      <c r="H1015" s="19" t="s">
        <v>2052</v>
      </c>
      <c r="I1015" s="18" t="s">
        <v>161</v>
      </c>
      <c r="J1015" s="20">
        <v>1</v>
      </c>
      <c r="K1015" s="20">
        <v>1.1499999999999999</v>
      </c>
      <c r="L1015" s="21" t="s">
        <v>28</v>
      </c>
      <c r="M1015" s="22">
        <v>3.798</v>
      </c>
      <c r="N1015" s="22">
        <v>0.30400000000000005</v>
      </c>
      <c r="O1015" s="22">
        <v>1052.3689999999999</v>
      </c>
      <c r="P1015" s="22">
        <f t="shared" si="139"/>
        <v>4596.4320812999995</v>
      </c>
      <c r="Q1015" s="22">
        <v>2757.7041798239825</v>
      </c>
      <c r="R1015" s="22">
        <f t="shared" si="140"/>
        <v>964.09338126646435</v>
      </c>
      <c r="S1015" s="22">
        <f t="shared" si="141"/>
        <v>5560.5254625664638</v>
      </c>
      <c r="T1015" s="23">
        <v>0.55859868298040061</v>
      </c>
      <c r="U1015" s="24">
        <v>0.1</v>
      </c>
      <c r="V1015" s="25">
        <f t="shared" ref="V1015:V1019" si="150">S1015+S1015*T1015+(S1015+S1015*T1015)*U1015</f>
        <v>9533.290428898581</v>
      </c>
      <c r="W1015" s="26" t="s">
        <v>29</v>
      </c>
    </row>
    <row r="1016" spans="1:23" ht="89.25" x14ac:dyDescent="0.25">
      <c r="A1016" s="17">
        <f t="shared" ca="1" si="143"/>
        <v>1012</v>
      </c>
      <c r="B1016" s="18" t="s">
        <v>1453</v>
      </c>
      <c r="C1016" s="18" t="s">
        <v>2053</v>
      </c>
      <c r="D1016" s="18"/>
      <c r="E1016" s="18"/>
      <c r="F1016" s="18"/>
      <c r="G1016" s="18"/>
      <c r="H1016" s="19" t="s">
        <v>2054</v>
      </c>
      <c r="I1016" s="18" t="s">
        <v>161</v>
      </c>
      <c r="J1016" s="20">
        <v>1</v>
      </c>
      <c r="K1016" s="20">
        <v>1.1499999999999999</v>
      </c>
      <c r="L1016" s="21" t="s">
        <v>28</v>
      </c>
      <c r="M1016" s="22">
        <v>3.798</v>
      </c>
      <c r="N1016" s="22">
        <v>0.30400000000000005</v>
      </c>
      <c r="O1016" s="22">
        <v>1052.3689999999999</v>
      </c>
      <c r="P1016" s="22">
        <f t="shared" si="139"/>
        <v>4596.4320812999995</v>
      </c>
      <c r="Q1016" s="22">
        <v>2757.7041798239825</v>
      </c>
      <c r="R1016" s="22">
        <f t="shared" si="140"/>
        <v>964.09338126646435</v>
      </c>
      <c r="S1016" s="22">
        <f t="shared" si="141"/>
        <v>5560.5254625664638</v>
      </c>
      <c r="T1016" s="23">
        <v>0.55859868298040061</v>
      </c>
      <c r="U1016" s="24">
        <v>0.1</v>
      </c>
      <c r="V1016" s="25">
        <f t="shared" si="150"/>
        <v>9533.290428898581</v>
      </c>
      <c r="W1016" s="26" t="s">
        <v>29</v>
      </c>
    </row>
    <row r="1017" spans="1:23" ht="89.25" x14ac:dyDescent="0.25">
      <c r="A1017" s="17">
        <f t="shared" ca="1" si="143"/>
        <v>1013</v>
      </c>
      <c r="B1017" s="18" t="s">
        <v>1453</v>
      </c>
      <c r="C1017" s="18" t="s">
        <v>2055</v>
      </c>
      <c r="D1017" s="18"/>
      <c r="E1017" s="18"/>
      <c r="F1017" s="18"/>
      <c r="G1017" s="18"/>
      <c r="H1017" s="19" t="s">
        <v>2056</v>
      </c>
      <c r="I1017" s="18" t="s">
        <v>161</v>
      </c>
      <c r="J1017" s="20">
        <v>1</v>
      </c>
      <c r="K1017" s="20">
        <v>1.1499999999999999</v>
      </c>
      <c r="L1017" s="21" t="s">
        <v>28</v>
      </c>
      <c r="M1017" s="22">
        <v>3.798</v>
      </c>
      <c r="N1017" s="22">
        <v>0.30400000000000005</v>
      </c>
      <c r="O1017" s="22">
        <v>1052.3689999999999</v>
      </c>
      <c r="P1017" s="22">
        <f t="shared" si="139"/>
        <v>4596.4320812999995</v>
      </c>
      <c r="Q1017" s="22">
        <v>2757.7041798239825</v>
      </c>
      <c r="R1017" s="22">
        <f t="shared" si="140"/>
        <v>964.09338126646435</v>
      </c>
      <c r="S1017" s="22">
        <f t="shared" si="141"/>
        <v>5560.5254625664638</v>
      </c>
      <c r="T1017" s="23">
        <v>0.55859868298040061</v>
      </c>
      <c r="U1017" s="24">
        <v>0.1</v>
      </c>
      <c r="V1017" s="25">
        <f t="shared" si="150"/>
        <v>9533.290428898581</v>
      </c>
      <c r="W1017" s="26" t="s">
        <v>29</v>
      </c>
    </row>
    <row r="1018" spans="1:23" ht="89.25" x14ac:dyDescent="0.25">
      <c r="A1018" s="17">
        <f t="shared" ca="1" si="143"/>
        <v>1014</v>
      </c>
      <c r="B1018" s="18" t="s">
        <v>1453</v>
      </c>
      <c r="C1018" s="18" t="s">
        <v>2057</v>
      </c>
      <c r="D1018" s="18"/>
      <c r="E1018" s="18"/>
      <c r="F1018" s="18"/>
      <c r="G1018" s="18"/>
      <c r="H1018" s="19" t="s">
        <v>2058</v>
      </c>
      <c r="I1018" s="18" t="s">
        <v>161</v>
      </c>
      <c r="J1018" s="20">
        <v>1</v>
      </c>
      <c r="K1018" s="20">
        <v>1.1499999999999999</v>
      </c>
      <c r="L1018" s="21" t="s">
        <v>28</v>
      </c>
      <c r="M1018" s="22">
        <v>3.798</v>
      </c>
      <c r="N1018" s="22">
        <v>0.30400000000000005</v>
      </c>
      <c r="O1018" s="22">
        <v>1052.3689999999999</v>
      </c>
      <c r="P1018" s="22">
        <f t="shared" si="139"/>
        <v>4596.4320812999995</v>
      </c>
      <c r="Q1018" s="22">
        <v>2757.7041798239825</v>
      </c>
      <c r="R1018" s="22">
        <f t="shared" si="140"/>
        <v>964.09338126646435</v>
      </c>
      <c r="S1018" s="22">
        <f t="shared" si="141"/>
        <v>5560.5254625664638</v>
      </c>
      <c r="T1018" s="23">
        <v>0.55859868298040061</v>
      </c>
      <c r="U1018" s="24">
        <v>0.1</v>
      </c>
      <c r="V1018" s="25">
        <f t="shared" si="150"/>
        <v>9533.290428898581</v>
      </c>
      <c r="W1018" s="26" t="s">
        <v>29</v>
      </c>
    </row>
    <row r="1019" spans="1:23" ht="89.25" x14ac:dyDescent="0.25">
      <c r="A1019" s="17">
        <f t="shared" ca="1" si="143"/>
        <v>1015</v>
      </c>
      <c r="B1019" s="18" t="s">
        <v>1453</v>
      </c>
      <c r="C1019" s="18" t="s">
        <v>2059</v>
      </c>
      <c r="D1019" s="18"/>
      <c r="E1019" s="18"/>
      <c r="F1019" s="18"/>
      <c r="G1019" s="18"/>
      <c r="H1019" s="19" t="s">
        <v>2060</v>
      </c>
      <c r="I1019" s="18" t="s">
        <v>161</v>
      </c>
      <c r="J1019" s="20">
        <v>1</v>
      </c>
      <c r="K1019" s="20">
        <v>1.1499999999999999</v>
      </c>
      <c r="L1019" s="21" t="s">
        <v>28</v>
      </c>
      <c r="M1019" s="22">
        <v>3.798</v>
      </c>
      <c r="N1019" s="22">
        <v>0.30400000000000005</v>
      </c>
      <c r="O1019" s="22">
        <v>1052.3689999999999</v>
      </c>
      <c r="P1019" s="22">
        <f t="shared" si="139"/>
        <v>4596.4320812999995</v>
      </c>
      <c r="Q1019" s="22">
        <v>2757.7041798239825</v>
      </c>
      <c r="R1019" s="22">
        <f t="shared" si="140"/>
        <v>964.09338126646435</v>
      </c>
      <c r="S1019" s="22">
        <f t="shared" si="141"/>
        <v>5560.5254625664638</v>
      </c>
      <c r="T1019" s="23">
        <v>0.55859868298040061</v>
      </c>
      <c r="U1019" s="24">
        <v>0.1</v>
      </c>
      <c r="V1019" s="25">
        <f t="shared" si="150"/>
        <v>9533.290428898581</v>
      </c>
      <c r="W1019" s="26" t="s">
        <v>29</v>
      </c>
    </row>
    <row r="1020" spans="1:23" x14ac:dyDescent="0.25">
      <c r="A1020" s="12">
        <f t="shared" ca="1" si="143"/>
        <v>1016</v>
      </c>
      <c r="B1020" s="13" t="s">
        <v>1453</v>
      </c>
      <c r="C1020" s="13" t="s">
        <v>2061</v>
      </c>
      <c r="D1020" s="13"/>
      <c r="E1020" s="13"/>
      <c r="F1020" s="13"/>
      <c r="G1020" s="13"/>
      <c r="H1020" s="15" t="s">
        <v>2062</v>
      </c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27"/>
      <c r="U1020" s="16"/>
      <c r="V1020" s="13"/>
      <c r="W1020" s="13"/>
    </row>
    <row r="1021" spans="1:23" ht="89.25" x14ac:dyDescent="0.25">
      <c r="A1021" s="17">
        <f t="shared" ca="1" si="143"/>
        <v>1017</v>
      </c>
      <c r="B1021" s="18" t="s">
        <v>1453</v>
      </c>
      <c r="C1021" s="18" t="s">
        <v>2063</v>
      </c>
      <c r="D1021" s="18"/>
      <c r="E1021" s="18"/>
      <c r="F1021" s="18"/>
      <c r="G1021" s="18"/>
      <c r="H1021" s="19" t="s">
        <v>2064</v>
      </c>
      <c r="I1021" s="18" t="s">
        <v>161</v>
      </c>
      <c r="J1021" s="20">
        <v>1</v>
      </c>
      <c r="K1021" s="20">
        <v>1.1499999999999999</v>
      </c>
      <c r="L1021" s="21" t="s">
        <v>28</v>
      </c>
      <c r="M1021" s="22">
        <v>0.45</v>
      </c>
      <c r="N1021" s="22">
        <v>0</v>
      </c>
      <c r="O1021" s="22">
        <v>1052.3689999999999</v>
      </c>
      <c r="P1021" s="22">
        <f t="shared" si="139"/>
        <v>544.60095749999994</v>
      </c>
      <c r="Q1021" s="22">
        <v>2757.7041798239825</v>
      </c>
      <c r="R1021" s="22">
        <f t="shared" si="140"/>
        <v>0</v>
      </c>
      <c r="S1021" s="22">
        <f t="shared" si="141"/>
        <v>544.60095749999994</v>
      </c>
      <c r="T1021" s="23">
        <v>0.55859868298040061</v>
      </c>
      <c r="U1021" s="24">
        <v>0.1</v>
      </c>
      <c r="V1021" s="25">
        <f t="shared" ref="V1021" si="151">S1021+S1021*T1021+(S1021+S1021*T1021)*U1021</f>
        <v>933.69576862030146</v>
      </c>
      <c r="W1021" s="26" t="s">
        <v>29</v>
      </c>
    </row>
    <row r="1022" spans="1:23" x14ac:dyDescent="0.25">
      <c r="A1022" s="28">
        <f t="shared" ca="1" si="143"/>
        <v>1018</v>
      </c>
      <c r="B1022" s="9" t="s">
        <v>1453</v>
      </c>
      <c r="C1022" s="9" t="s">
        <v>2065</v>
      </c>
      <c r="D1022" s="9"/>
      <c r="E1022" s="9"/>
      <c r="F1022" s="9"/>
      <c r="G1022" s="9"/>
      <c r="H1022" s="10" t="s">
        <v>2066</v>
      </c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29"/>
      <c r="U1022" s="11"/>
      <c r="V1022" s="9"/>
      <c r="W1022" s="9"/>
    </row>
    <row r="1023" spans="1:23" x14ac:dyDescent="0.25">
      <c r="A1023" s="12">
        <f t="shared" ca="1" si="143"/>
        <v>1019</v>
      </c>
      <c r="B1023" s="13" t="s">
        <v>1453</v>
      </c>
      <c r="C1023" s="13" t="s">
        <v>2067</v>
      </c>
      <c r="D1023" s="13"/>
      <c r="E1023" s="13"/>
      <c r="F1023" s="13"/>
      <c r="G1023" s="13"/>
      <c r="H1023" s="15" t="s">
        <v>2068</v>
      </c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27"/>
      <c r="U1023" s="16"/>
      <c r="V1023" s="13"/>
      <c r="W1023" s="13"/>
    </row>
    <row r="1024" spans="1:23" ht="89.25" x14ac:dyDescent="0.25">
      <c r="A1024" s="17">
        <f t="shared" ca="1" si="143"/>
        <v>1020</v>
      </c>
      <c r="B1024" s="18" t="s">
        <v>1453</v>
      </c>
      <c r="C1024" s="18" t="s">
        <v>2069</v>
      </c>
      <c r="D1024" s="18"/>
      <c r="E1024" s="18"/>
      <c r="F1024" s="18"/>
      <c r="G1024" s="18"/>
      <c r="H1024" s="19" t="s">
        <v>2070</v>
      </c>
      <c r="I1024" s="18" t="s">
        <v>161</v>
      </c>
      <c r="J1024" s="20">
        <v>1</v>
      </c>
      <c r="K1024" s="20">
        <v>1.1499999999999999</v>
      </c>
      <c r="L1024" s="21" t="s">
        <v>28</v>
      </c>
      <c r="M1024" s="22">
        <v>4.4774099999999999</v>
      </c>
      <c r="N1024" s="22">
        <v>2.6986400000000001</v>
      </c>
      <c r="O1024" s="22">
        <v>1052.3689999999999</v>
      </c>
      <c r="P1024" s="22">
        <f t="shared" ref="P1024:P1087" si="152">O1024*M1024*K1024</f>
        <v>5418.6706069334987</v>
      </c>
      <c r="Q1024" s="22">
        <v>2757.7041798239825</v>
      </c>
      <c r="R1024" s="22">
        <f t="shared" ref="R1024:R1087" si="153">N1024*Q1024*K1024</f>
        <v>8558.3584290162216</v>
      </c>
      <c r="S1024" s="22">
        <f t="shared" ref="S1024:S1087" si="154">P1024+R1024</f>
        <v>13977.029035949719</v>
      </c>
      <c r="T1024" s="23">
        <v>0.55859868298040061</v>
      </c>
      <c r="U1024" s="24">
        <v>0.1</v>
      </c>
      <c r="V1024" s="25">
        <f t="shared" ref="V1024:V1035" si="155">S1024+S1024*T1024+(S1024+S1024*T1024)*U1024</f>
        <v>23963.036952151055</v>
      </c>
      <c r="W1024" s="26" t="s">
        <v>29</v>
      </c>
    </row>
    <row r="1025" spans="1:23" ht="89.25" x14ac:dyDescent="0.25">
      <c r="A1025" s="17">
        <f t="shared" ca="1" si="143"/>
        <v>1021</v>
      </c>
      <c r="B1025" s="18" t="s">
        <v>1453</v>
      </c>
      <c r="C1025" s="18" t="s">
        <v>2071</v>
      </c>
      <c r="D1025" s="18"/>
      <c r="E1025" s="18"/>
      <c r="F1025" s="18"/>
      <c r="G1025" s="18"/>
      <c r="H1025" s="19" t="s">
        <v>2072</v>
      </c>
      <c r="I1025" s="18" t="s">
        <v>161</v>
      </c>
      <c r="J1025" s="20">
        <v>1</v>
      </c>
      <c r="K1025" s="20">
        <v>1.1499999999999999</v>
      </c>
      <c r="L1025" s="21" t="s">
        <v>28</v>
      </c>
      <c r="M1025" s="22">
        <v>8.927010000000001</v>
      </c>
      <c r="N1025" s="22">
        <v>5.3862399999999999</v>
      </c>
      <c r="O1025" s="22">
        <v>1052.3689999999999</v>
      </c>
      <c r="P1025" s="22">
        <f t="shared" si="152"/>
        <v>10803.684874693499</v>
      </c>
      <c r="Q1025" s="22">
        <v>2757.7041798239825</v>
      </c>
      <c r="R1025" s="22">
        <f t="shared" si="153"/>
        <v>17081.705045765393</v>
      </c>
      <c r="S1025" s="22">
        <f t="shared" si="154"/>
        <v>27885.389920458892</v>
      </c>
      <c r="T1025" s="23">
        <v>0.55859868298040061</v>
      </c>
      <c r="U1025" s="24">
        <v>0.1</v>
      </c>
      <c r="V1025" s="25">
        <f t="shared" si="155"/>
        <v>47808.345204864381</v>
      </c>
      <c r="W1025" s="26" t="s">
        <v>29</v>
      </c>
    </row>
    <row r="1026" spans="1:23" ht="89.25" x14ac:dyDescent="0.25">
      <c r="A1026" s="17">
        <f t="shared" ca="1" si="143"/>
        <v>1022</v>
      </c>
      <c r="B1026" s="18" t="s">
        <v>1453</v>
      </c>
      <c r="C1026" s="18" t="s">
        <v>2073</v>
      </c>
      <c r="D1026" s="18"/>
      <c r="E1026" s="18"/>
      <c r="F1026" s="18"/>
      <c r="G1026" s="18"/>
      <c r="H1026" s="19" t="s">
        <v>2074</v>
      </c>
      <c r="I1026" s="18" t="s">
        <v>161</v>
      </c>
      <c r="J1026" s="20">
        <v>1</v>
      </c>
      <c r="K1026" s="20">
        <v>1.1499999999999999</v>
      </c>
      <c r="L1026" s="21" t="s">
        <v>28</v>
      </c>
      <c r="M1026" s="22">
        <v>0.39600000000000002</v>
      </c>
      <c r="N1026" s="22">
        <v>6.6666666666666666E-2</v>
      </c>
      <c r="O1026" s="22">
        <v>1052.3689999999999</v>
      </c>
      <c r="P1026" s="22">
        <f t="shared" si="152"/>
        <v>479.24884259999993</v>
      </c>
      <c r="Q1026" s="22">
        <v>2757.7041798239825</v>
      </c>
      <c r="R1026" s="22">
        <f t="shared" si="153"/>
        <v>211.42398711983864</v>
      </c>
      <c r="S1026" s="22">
        <f t="shared" si="154"/>
        <v>690.67282971983855</v>
      </c>
      <c r="T1026" s="23">
        <v>0.55859868298040061</v>
      </c>
      <c r="U1026" s="24">
        <v>0.1</v>
      </c>
      <c r="V1026" s="25">
        <f t="shared" si="155"/>
        <v>1184.1299390488555</v>
      </c>
      <c r="W1026" s="26" t="s">
        <v>29</v>
      </c>
    </row>
    <row r="1027" spans="1:23" ht="89.25" x14ac:dyDescent="0.25">
      <c r="A1027" s="17">
        <f t="shared" ref="A1027:A1090" ca="1" si="156">CELL("строка",A1027)-4</f>
        <v>1023</v>
      </c>
      <c r="B1027" s="18" t="s">
        <v>1453</v>
      </c>
      <c r="C1027" s="18" t="s">
        <v>2075</v>
      </c>
      <c r="D1027" s="18"/>
      <c r="E1027" s="18"/>
      <c r="F1027" s="18"/>
      <c r="G1027" s="18"/>
      <c r="H1027" s="19" t="s">
        <v>2076</v>
      </c>
      <c r="I1027" s="18" t="s">
        <v>161</v>
      </c>
      <c r="J1027" s="20">
        <v>1</v>
      </c>
      <c r="K1027" s="20">
        <v>1.1499999999999999</v>
      </c>
      <c r="L1027" s="21" t="s">
        <v>28</v>
      </c>
      <c r="M1027" s="22">
        <v>4.851</v>
      </c>
      <c r="N1027" s="22">
        <v>0.5868000000000001</v>
      </c>
      <c r="O1027" s="22">
        <v>1052.3689999999999</v>
      </c>
      <c r="P1027" s="22">
        <f t="shared" si="152"/>
        <v>5870.7983218499994</v>
      </c>
      <c r="Q1027" s="22">
        <v>2757.7041798239825</v>
      </c>
      <c r="R1027" s="22">
        <f t="shared" si="153"/>
        <v>1860.95393462882</v>
      </c>
      <c r="S1027" s="22">
        <f t="shared" si="154"/>
        <v>7731.7522564788196</v>
      </c>
      <c r="T1027" s="23">
        <v>0.55859868298040061</v>
      </c>
      <c r="U1027" s="24">
        <v>0.1</v>
      </c>
      <c r="V1027" s="25">
        <f t="shared" si="155"/>
        <v>13255.768772486492</v>
      </c>
      <c r="W1027" s="26" t="s">
        <v>29</v>
      </c>
    </row>
    <row r="1028" spans="1:23" ht="89.25" x14ac:dyDescent="0.25">
      <c r="A1028" s="17">
        <f t="shared" ca="1" si="156"/>
        <v>1024</v>
      </c>
      <c r="B1028" s="18" t="s">
        <v>1453</v>
      </c>
      <c r="C1028" s="18" t="s">
        <v>2077</v>
      </c>
      <c r="D1028" s="18"/>
      <c r="E1028" s="18"/>
      <c r="F1028" s="18"/>
      <c r="G1028" s="18"/>
      <c r="H1028" s="19" t="s">
        <v>2078</v>
      </c>
      <c r="I1028" s="18" t="s">
        <v>161</v>
      </c>
      <c r="J1028" s="20">
        <v>1</v>
      </c>
      <c r="K1028" s="20">
        <v>1.1499999999999999</v>
      </c>
      <c r="L1028" s="21" t="s">
        <v>28</v>
      </c>
      <c r="M1028" s="22">
        <v>8.5589999999999993</v>
      </c>
      <c r="N1028" s="22">
        <v>1.4404000000000001</v>
      </c>
      <c r="O1028" s="22">
        <v>1052.3689999999999</v>
      </c>
      <c r="P1028" s="22">
        <f t="shared" si="152"/>
        <v>10358.310211649996</v>
      </c>
      <c r="Q1028" s="22">
        <v>2757.7041798239825</v>
      </c>
      <c r="R1028" s="22">
        <f t="shared" si="153"/>
        <v>4568.0266657112343</v>
      </c>
      <c r="S1028" s="22">
        <f t="shared" si="154"/>
        <v>14926.336877361231</v>
      </c>
      <c r="T1028" s="23">
        <v>0.55859868298040061</v>
      </c>
      <c r="U1028" s="24">
        <v>0.1</v>
      </c>
      <c r="V1028" s="25">
        <f t="shared" si="155"/>
        <v>25590.585898654699</v>
      </c>
      <c r="W1028" s="26" t="s">
        <v>29</v>
      </c>
    </row>
    <row r="1029" spans="1:23" ht="89.25" x14ac:dyDescent="0.25">
      <c r="A1029" s="17">
        <f t="shared" ca="1" si="156"/>
        <v>1025</v>
      </c>
      <c r="B1029" s="18" t="s">
        <v>1453</v>
      </c>
      <c r="C1029" s="18" t="s">
        <v>2079</v>
      </c>
      <c r="D1029" s="18"/>
      <c r="E1029" s="18"/>
      <c r="F1029" s="18"/>
      <c r="G1029" s="18"/>
      <c r="H1029" s="19" t="s">
        <v>2080</v>
      </c>
      <c r="I1029" s="18" t="s">
        <v>161</v>
      </c>
      <c r="J1029" s="20">
        <v>1</v>
      </c>
      <c r="K1029" s="20">
        <v>1.1499999999999999</v>
      </c>
      <c r="L1029" s="21" t="s">
        <v>28</v>
      </c>
      <c r="M1029" s="22">
        <v>1.8540000000000001</v>
      </c>
      <c r="N1029" s="22">
        <v>8.5599999999999999E-3</v>
      </c>
      <c r="O1029" s="22">
        <v>1052.3689999999999</v>
      </c>
      <c r="P1029" s="22">
        <f t="shared" si="152"/>
        <v>2243.7559449</v>
      </c>
      <c r="Q1029" s="22">
        <v>2757.7041798239825</v>
      </c>
      <c r="R1029" s="22">
        <f t="shared" si="153"/>
        <v>27.146839946187278</v>
      </c>
      <c r="S1029" s="22">
        <f t="shared" si="154"/>
        <v>2270.9027848461874</v>
      </c>
      <c r="T1029" s="23">
        <v>0.55859868298040061</v>
      </c>
      <c r="U1029" s="24">
        <v>0.1</v>
      </c>
      <c r="V1029" s="25">
        <f t="shared" si="155"/>
        <v>3893.3686986015709</v>
      </c>
      <c r="W1029" s="26" t="s">
        <v>29</v>
      </c>
    </row>
    <row r="1030" spans="1:23" ht="89.25" x14ac:dyDescent="0.25">
      <c r="A1030" s="17">
        <f t="shared" ca="1" si="156"/>
        <v>1026</v>
      </c>
      <c r="B1030" s="18" t="s">
        <v>1453</v>
      </c>
      <c r="C1030" s="18" t="s">
        <v>2081</v>
      </c>
      <c r="D1030" s="18"/>
      <c r="E1030" s="18"/>
      <c r="F1030" s="18"/>
      <c r="G1030" s="18"/>
      <c r="H1030" s="19" t="s">
        <v>2082</v>
      </c>
      <c r="I1030" s="18" t="s">
        <v>161</v>
      </c>
      <c r="J1030" s="20">
        <v>1</v>
      </c>
      <c r="K1030" s="20">
        <v>1.1499999999999999</v>
      </c>
      <c r="L1030" s="21" t="s">
        <v>28</v>
      </c>
      <c r="M1030" s="22">
        <v>2.7810000000000001</v>
      </c>
      <c r="N1030" s="22">
        <v>0.25720000000000004</v>
      </c>
      <c r="O1030" s="22">
        <v>1052.3689999999999</v>
      </c>
      <c r="P1030" s="22">
        <f t="shared" si="152"/>
        <v>3365.6339173499996</v>
      </c>
      <c r="Q1030" s="22">
        <v>2757.7041798239825</v>
      </c>
      <c r="R1030" s="22">
        <f t="shared" si="153"/>
        <v>815.67374230833764</v>
      </c>
      <c r="S1030" s="22">
        <f t="shared" si="154"/>
        <v>4181.3076596583369</v>
      </c>
      <c r="T1030" s="23">
        <v>0.55859868298040061</v>
      </c>
      <c r="U1030" s="24">
        <v>0.1</v>
      </c>
      <c r="V1030" s="25">
        <f t="shared" si="155"/>
        <v>7168.6786726272794</v>
      </c>
      <c r="W1030" s="26" t="s">
        <v>29</v>
      </c>
    </row>
    <row r="1031" spans="1:23" ht="89.25" x14ac:dyDescent="0.25">
      <c r="A1031" s="17">
        <f t="shared" ca="1" si="156"/>
        <v>1027</v>
      </c>
      <c r="B1031" s="18" t="s">
        <v>1453</v>
      </c>
      <c r="C1031" s="18" t="s">
        <v>2083</v>
      </c>
      <c r="D1031" s="18"/>
      <c r="E1031" s="18"/>
      <c r="F1031" s="18"/>
      <c r="G1031" s="18"/>
      <c r="H1031" s="19" t="s">
        <v>2084</v>
      </c>
      <c r="I1031" s="18" t="s">
        <v>161</v>
      </c>
      <c r="J1031" s="20">
        <v>1</v>
      </c>
      <c r="K1031" s="20">
        <v>1.1499999999999999</v>
      </c>
      <c r="L1031" s="21" t="s">
        <v>28</v>
      </c>
      <c r="M1031" s="22">
        <v>4.6350000000000007</v>
      </c>
      <c r="N1031" s="22">
        <v>0.58600000000000008</v>
      </c>
      <c r="O1031" s="22">
        <v>1052.3689999999999</v>
      </c>
      <c r="P1031" s="22">
        <f t="shared" si="152"/>
        <v>5609.3898622500001</v>
      </c>
      <c r="Q1031" s="22">
        <v>2757.7041798239825</v>
      </c>
      <c r="R1031" s="22">
        <f t="shared" si="153"/>
        <v>1858.4168467833817</v>
      </c>
      <c r="S1031" s="22">
        <f t="shared" si="154"/>
        <v>7467.8067090333816</v>
      </c>
      <c r="T1031" s="23">
        <v>0.55859868298040061</v>
      </c>
      <c r="U1031" s="24">
        <v>0.1</v>
      </c>
      <c r="V1031" s="25">
        <f t="shared" si="155"/>
        <v>12803.245071596792</v>
      </c>
      <c r="W1031" s="26" t="s">
        <v>29</v>
      </c>
    </row>
    <row r="1032" spans="1:23" ht="89.25" x14ac:dyDescent="0.25">
      <c r="A1032" s="17">
        <f t="shared" ca="1" si="156"/>
        <v>1028</v>
      </c>
      <c r="B1032" s="18" t="s">
        <v>1453</v>
      </c>
      <c r="C1032" s="18" t="s">
        <v>2085</v>
      </c>
      <c r="D1032" s="18"/>
      <c r="E1032" s="18"/>
      <c r="F1032" s="18"/>
      <c r="G1032" s="18"/>
      <c r="H1032" s="19" t="s">
        <v>2086</v>
      </c>
      <c r="I1032" s="18" t="s">
        <v>161</v>
      </c>
      <c r="J1032" s="20">
        <v>1</v>
      </c>
      <c r="K1032" s="20">
        <v>1.1499999999999999</v>
      </c>
      <c r="L1032" s="21" t="s">
        <v>28</v>
      </c>
      <c r="M1032" s="22">
        <v>6.4889999999999999</v>
      </c>
      <c r="N1032" s="22">
        <v>0.99600000000000011</v>
      </c>
      <c r="O1032" s="22">
        <v>1052.3689999999999</v>
      </c>
      <c r="P1032" s="22">
        <f t="shared" si="152"/>
        <v>7853.1458071499983</v>
      </c>
      <c r="Q1032" s="22">
        <v>2757.7041798239825</v>
      </c>
      <c r="R1032" s="22">
        <f t="shared" si="153"/>
        <v>3158.6743675703897</v>
      </c>
      <c r="S1032" s="22">
        <f t="shared" si="154"/>
        <v>11011.820174720388</v>
      </c>
      <c r="T1032" s="23">
        <v>0.55859868298040061</v>
      </c>
      <c r="U1032" s="24">
        <v>0.1</v>
      </c>
      <c r="V1032" s="25">
        <f t="shared" si="155"/>
        <v>18879.309263689822</v>
      </c>
      <c r="W1032" s="26" t="s">
        <v>29</v>
      </c>
    </row>
    <row r="1033" spans="1:23" ht="89.25" x14ac:dyDescent="0.25">
      <c r="A1033" s="17">
        <f t="shared" ca="1" si="156"/>
        <v>1029</v>
      </c>
      <c r="B1033" s="18" t="s">
        <v>1453</v>
      </c>
      <c r="C1033" s="18" t="s">
        <v>2087</v>
      </c>
      <c r="D1033" s="18"/>
      <c r="E1033" s="18"/>
      <c r="F1033" s="18"/>
      <c r="G1033" s="18"/>
      <c r="H1033" s="19" t="s">
        <v>2088</v>
      </c>
      <c r="I1033" s="18" t="s">
        <v>161</v>
      </c>
      <c r="J1033" s="20">
        <v>1</v>
      </c>
      <c r="K1033" s="20">
        <v>1.1499999999999999</v>
      </c>
      <c r="L1033" s="21" t="s">
        <v>28</v>
      </c>
      <c r="M1033" s="22">
        <v>13.354380000000001</v>
      </c>
      <c r="N1033" s="22">
        <v>8.0353600000000007</v>
      </c>
      <c r="O1033" s="22">
        <v>1052.3689999999999</v>
      </c>
      <c r="P1033" s="22">
        <f t="shared" si="152"/>
        <v>16161.795855152999</v>
      </c>
      <c r="Q1033" s="22">
        <v>2757.7041798239825</v>
      </c>
      <c r="R1033" s="22">
        <f t="shared" si="153"/>
        <v>25483.017737149003</v>
      </c>
      <c r="S1033" s="22">
        <f t="shared" si="154"/>
        <v>41644.813592302002</v>
      </c>
      <c r="T1033" s="23">
        <v>0.55859868298040061</v>
      </c>
      <c r="U1033" s="24">
        <v>0.1</v>
      </c>
      <c r="V1033" s="25">
        <f t="shared" si="155"/>
        <v>71398.306779718812</v>
      </c>
      <c r="W1033" s="26" t="s">
        <v>29</v>
      </c>
    </row>
    <row r="1034" spans="1:23" ht="89.25" x14ac:dyDescent="0.25">
      <c r="A1034" s="17">
        <f t="shared" ca="1" si="156"/>
        <v>1030</v>
      </c>
      <c r="B1034" s="18" t="s">
        <v>1453</v>
      </c>
      <c r="C1034" s="18" t="s">
        <v>2089</v>
      </c>
      <c r="D1034" s="18"/>
      <c r="E1034" s="18"/>
      <c r="F1034" s="18"/>
      <c r="G1034" s="18"/>
      <c r="H1034" s="19" t="s">
        <v>2090</v>
      </c>
      <c r="I1034" s="18" t="s">
        <v>161</v>
      </c>
      <c r="J1034" s="20">
        <v>1</v>
      </c>
      <c r="K1034" s="20">
        <v>1.1499999999999999</v>
      </c>
      <c r="L1034" s="21" t="s">
        <v>28</v>
      </c>
      <c r="M1034" s="22">
        <v>16.650000000000002</v>
      </c>
      <c r="N1034" s="22">
        <v>1.1440000000000001</v>
      </c>
      <c r="O1034" s="22">
        <v>1052.3689999999999</v>
      </c>
      <c r="P1034" s="22">
        <f t="shared" si="152"/>
        <v>20150.2354275</v>
      </c>
      <c r="Q1034" s="22">
        <v>2757.7041798239825</v>
      </c>
      <c r="R1034" s="22">
        <f t="shared" si="153"/>
        <v>3628.0356189764316</v>
      </c>
      <c r="S1034" s="22">
        <f t="shared" si="154"/>
        <v>23778.271046476431</v>
      </c>
      <c r="T1034" s="23">
        <v>0.55859868298040061</v>
      </c>
      <c r="U1034" s="24">
        <v>0.1</v>
      </c>
      <c r="V1034" s="25">
        <f t="shared" si="155"/>
        <v>40766.860130248067</v>
      </c>
      <c r="W1034" s="26" t="s">
        <v>29</v>
      </c>
    </row>
    <row r="1035" spans="1:23" ht="89.25" x14ac:dyDescent="0.25">
      <c r="A1035" s="17">
        <f t="shared" ca="1" si="156"/>
        <v>1031</v>
      </c>
      <c r="B1035" s="18" t="s">
        <v>1453</v>
      </c>
      <c r="C1035" s="18" t="s">
        <v>2091</v>
      </c>
      <c r="D1035" s="18"/>
      <c r="E1035" s="18"/>
      <c r="F1035" s="18"/>
      <c r="G1035" s="18"/>
      <c r="H1035" s="19" t="s">
        <v>2092</v>
      </c>
      <c r="I1035" s="18" t="s">
        <v>161</v>
      </c>
      <c r="J1035" s="20">
        <v>1</v>
      </c>
      <c r="K1035" s="20">
        <v>1.1499999999999999</v>
      </c>
      <c r="L1035" s="21" t="s">
        <v>28</v>
      </c>
      <c r="M1035" s="22">
        <v>23.220000000000002</v>
      </c>
      <c r="N1035" s="22">
        <v>1.1679999999999999</v>
      </c>
      <c r="O1035" s="22">
        <v>1052.3689999999999</v>
      </c>
      <c r="P1035" s="22">
        <f t="shared" si="152"/>
        <v>28101.409406999999</v>
      </c>
      <c r="Q1035" s="22">
        <v>2757.7041798239825</v>
      </c>
      <c r="R1035" s="22">
        <f t="shared" si="153"/>
        <v>3704.1482543395728</v>
      </c>
      <c r="S1035" s="22">
        <f t="shared" si="154"/>
        <v>31805.557661339571</v>
      </c>
      <c r="T1035" s="23">
        <v>0.55859868298040061</v>
      </c>
      <c r="U1035" s="24">
        <v>0.1</v>
      </c>
      <c r="V1035" s="25">
        <f t="shared" si="155"/>
        <v>54529.310310663146</v>
      </c>
      <c r="W1035" s="26" t="s">
        <v>29</v>
      </c>
    </row>
    <row r="1036" spans="1:23" x14ac:dyDescent="0.25">
      <c r="A1036" s="28">
        <f t="shared" ca="1" si="156"/>
        <v>1032</v>
      </c>
      <c r="B1036" s="9" t="s">
        <v>1453</v>
      </c>
      <c r="C1036" s="9" t="s">
        <v>2093</v>
      </c>
      <c r="D1036" s="9"/>
      <c r="E1036" s="9"/>
      <c r="F1036" s="9"/>
      <c r="G1036" s="9"/>
      <c r="H1036" s="10" t="s">
        <v>2094</v>
      </c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29"/>
      <c r="U1036" s="11"/>
      <c r="V1036" s="9"/>
      <c r="W1036" s="9"/>
    </row>
    <row r="1037" spans="1:23" x14ac:dyDescent="0.25">
      <c r="A1037" s="12">
        <f t="shared" ca="1" si="156"/>
        <v>1033</v>
      </c>
      <c r="B1037" s="13" t="s">
        <v>1453</v>
      </c>
      <c r="C1037" s="13" t="s">
        <v>2095</v>
      </c>
      <c r="D1037" s="13"/>
      <c r="E1037" s="13"/>
      <c r="F1037" s="13"/>
      <c r="G1037" s="13"/>
      <c r="H1037" s="15" t="s">
        <v>2096</v>
      </c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27"/>
      <c r="U1037" s="16"/>
      <c r="V1037" s="13"/>
      <c r="W1037" s="13"/>
    </row>
    <row r="1038" spans="1:23" ht="89.25" x14ac:dyDescent="0.25">
      <c r="A1038" s="17">
        <f t="shared" ca="1" si="156"/>
        <v>1034</v>
      </c>
      <c r="B1038" s="18" t="s">
        <v>1453</v>
      </c>
      <c r="C1038" s="18" t="s">
        <v>2097</v>
      </c>
      <c r="D1038" s="18"/>
      <c r="E1038" s="18"/>
      <c r="F1038" s="18"/>
      <c r="G1038" s="18"/>
      <c r="H1038" s="19" t="s">
        <v>2098</v>
      </c>
      <c r="I1038" s="18" t="s">
        <v>161</v>
      </c>
      <c r="J1038" s="20">
        <v>1</v>
      </c>
      <c r="K1038" s="20">
        <v>1.1499999999999999</v>
      </c>
      <c r="L1038" s="21" t="s">
        <v>28</v>
      </c>
      <c r="M1038" s="22">
        <v>1.8540000000000001</v>
      </c>
      <c r="N1038" s="22">
        <v>0.75519999999999998</v>
      </c>
      <c r="O1038" s="22">
        <v>1052.3689999999999</v>
      </c>
      <c r="P1038" s="22">
        <f t="shared" si="152"/>
        <v>2243.7559449</v>
      </c>
      <c r="Q1038" s="22">
        <v>2757.7041798239825</v>
      </c>
      <c r="R1038" s="22">
        <f t="shared" si="153"/>
        <v>2395.0109260935324</v>
      </c>
      <c r="S1038" s="22">
        <f t="shared" si="154"/>
        <v>4638.7668709935324</v>
      </c>
      <c r="T1038" s="23">
        <v>0.55859868298040061</v>
      </c>
      <c r="U1038" s="24">
        <v>0.1</v>
      </c>
      <c r="V1038" s="25">
        <f t="shared" ref="V1038:V1054" si="157">S1038+S1038*T1038+(S1038+S1038*T1038)*U1038</f>
        <v>7952.973529361997</v>
      </c>
      <c r="W1038" s="26" t="s">
        <v>29</v>
      </c>
    </row>
    <row r="1039" spans="1:23" ht="89.25" x14ac:dyDescent="0.25">
      <c r="A1039" s="17">
        <f t="shared" ca="1" si="156"/>
        <v>1035</v>
      </c>
      <c r="B1039" s="18" t="s">
        <v>1453</v>
      </c>
      <c r="C1039" s="18" t="s">
        <v>2099</v>
      </c>
      <c r="D1039" s="18"/>
      <c r="E1039" s="18"/>
      <c r="F1039" s="18"/>
      <c r="G1039" s="18"/>
      <c r="H1039" s="19" t="s">
        <v>2100</v>
      </c>
      <c r="I1039" s="18" t="s">
        <v>161</v>
      </c>
      <c r="J1039" s="20">
        <v>1</v>
      </c>
      <c r="K1039" s="20">
        <v>1.1499999999999999</v>
      </c>
      <c r="L1039" s="21" t="s">
        <v>28</v>
      </c>
      <c r="M1039" s="22">
        <v>14.85</v>
      </c>
      <c r="N1039" s="22">
        <v>2.1328</v>
      </c>
      <c r="O1039" s="22">
        <v>1052.3689999999999</v>
      </c>
      <c r="P1039" s="22">
        <f t="shared" si="152"/>
        <v>17971.831597499997</v>
      </c>
      <c r="Q1039" s="22">
        <v>2757.7041798239825</v>
      </c>
      <c r="R1039" s="22">
        <f t="shared" si="153"/>
        <v>6763.8761959378771</v>
      </c>
      <c r="S1039" s="22">
        <f t="shared" si="154"/>
        <v>24735.707793437876</v>
      </c>
      <c r="T1039" s="23">
        <v>0.55859868298040061</v>
      </c>
      <c r="U1039" s="24">
        <v>0.1</v>
      </c>
      <c r="V1039" s="25">
        <f t="shared" si="157"/>
        <v>42408.345748384338</v>
      </c>
      <c r="W1039" s="26" t="s">
        <v>29</v>
      </c>
    </row>
    <row r="1040" spans="1:23" ht="89.25" x14ac:dyDescent="0.25">
      <c r="A1040" s="17">
        <f t="shared" ca="1" si="156"/>
        <v>1036</v>
      </c>
      <c r="B1040" s="18" t="s">
        <v>1453</v>
      </c>
      <c r="C1040" s="18" t="s">
        <v>2101</v>
      </c>
      <c r="D1040" s="18"/>
      <c r="E1040" s="18"/>
      <c r="F1040" s="18"/>
      <c r="G1040" s="18"/>
      <c r="H1040" s="19" t="s">
        <v>2102</v>
      </c>
      <c r="I1040" s="18" t="s">
        <v>161</v>
      </c>
      <c r="J1040" s="20">
        <v>1</v>
      </c>
      <c r="K1040" s="20">
        <v>1.1499999999999999</v>
      </c>
      <c r="L1040" s="21" t="s">
        <v>28</v>
      </c>
      <c r="M1040" s="22">
        <v>3.7080000000000002</v>
      </c>
      <c r="N1040" s="22">
        <v>0.22504000000000002</v>
      </c>
      <c r="O1040" s="22">
        <v>1052.3689999999999</v>
      </c>
      <c r="P1040" s="22">
        <f t="shared" si="152"/>
        <v>4487.5118898000001</v>
      </c>
      <c r="Q1040" s="22">
        <v>2757.7041798239825</v>
      </c>
      <c r="R1040" s="22">
        <f t="shared" si="153"/>
        <v>713.68281092172742</v>
      </c>
      <c r="S1040" s="22">
        <f t="shared" si="154"/>
        <v>5201.1947007217277</v>
      </c>
      <c r="T1040" s="23">
        <v>0.55859868298040061</v>
      </c>
      <c r="U1040" s="24">
        <v>0.1</v>
      </c>
      <c r="V1040" s="25">
        <f t="shared" si="157"/>
        <v>8917.2327315164766</v>
      </c>
      <c r="W1040" s="26" t="s">
        <v>29</v>
      </c>
    </row>
    <row r="1041" spans="1:23" ht="89.25" x14ac:dyDescent="0.25">
      <c r="A1041" s="17">
        <f t="shared" ca="1" si="156"/>
        <v>1037</v>
      </c>
      <c r="B1041" s="18" t="s">
        <v>1453</v>
      </c>
      <c r="C1041" s="18" t="s">
        <v>2103</v>
      </c>
      <c r="D1041" s="18"/>
      <c r="E1041" s="18"/>
      <c r="F1041" s="18"/>
      <c r="G1041" s="18"/>
      <c r="H1041" s="19" t="s">
        <v>2104</v>
      </c>
      <c r="I1041" s="18" t="s">
        <v>161</v>
      </c>
      <c r="J1041" s="20">
        <v>1</v>
      </c>
      <c r="K1041" s="20">
        <v>1.1499999999999999</v>
      </c>
      <c r="L1041" s="21" t="s">
        <v>28</v>
      </c>
      <c r="M1041" s="22">
        <v>3.7080000000000002</v>
      </c>
      <c r="N1041" s="22">
        <v>0.22464000000000006</v>
      </c>
      <c r="O1041" s="22">
        <v>1052.3689999999999</v>
      </c>
      <c r="P1041" s="22">
        <f t="shared" si="152"/>
        <v>4487.5118898000001</v>
      </c>
      <c r="Q1041" s="22">
        <v>2757.7041798239825</v>
      </c>
      <c r="R1041" s="22">
        <f t="shared" si="153"/>
        <v>712.41426699900842</v>
      </c>
      <c r="S1041" s="22">
        <f t="shared" si="154"/>
        <v>5199.9261567990088</v>
      </c>
      <c r="T1041" s="23">
        <v>0.55859868298040061</v>
      </c>
      <c r="U1041" s="24">
        <v>0.1</v>
      </c>
      <c r="V1041" s="25">
        <f t="shared" si="157"/>
        <v>8915.0578655404988</v>
      </c>
      <c r="W1041" s="26" t="s">
        <v>29</v>
      </c>
    </row>
    <row r="1042" spans="1:23" ht="89.25" x14ac:dyDescent="0.25">
      <c r="A1042" s="17">
        <f t="shared" ca="1" si="156"/>
        <v>1038</v>
      </c>
      <c r="B1042" s="18" t="s">
        <v>1453</v>
      </c>
      <c r="C1042" s="18" t="s">
        <v>2105</v>
      </c>
      <c r="D1042" s="18"/>
      <c r="E1042" s="18"/>
      <c r="F1042" s="18"/>
      <c r="G1042" s="18"/>
      <c r="H1042" s="19" t="s">
        <v>2106</v>
      </c>
      <c r="I1042" s="18" t="s">
        <v>161</v>
      </c>
      <c r="J1042" s="20">
        <v>1</v>
      </c>
      <c r="K1042" s="20">
        <v>1.1499999999999999</v>
      </c>
      <c r="L1042" s="21" t="s">
        <v>28</v>
      </c>
      <c r="M1042" s="22">
        <v>3.7080000000000002</v>
      </c>
      <c r="N1042" s="22">
        <v>0.22504000000000002</v>
      </c>
      <c r="O1042" s="22">
        <v>1052.3689999999999</v>
      </c>
      <c r="P1042" s="22">
        <f t="shared" si="152"/>
        <v>4487.5118898000001</v>
      </c>
      <c r="Q1042" s="22">
        <v>2757.7041798239825</v>
      </c>
      <c r="R1042" s="22">
        <f t="shared" si="153"/>
        <v>713.68281092172742</v>
      </c>
      <c r="S1042" s="22">
        <f t="shared" si="154"/>
        <v>5201.1947007217277</v>
      </c>
      <c r="T1042" s="23">
        <v>0.55859868298040061</v>
      </c>
      <c r="U1042" s="24">
        <v>0.1</v>
      </c>
      <c r="V1042" s="25">
        <f t="shared" si="157"/>
        <v>8917.2327315164766</v>
      </c>
      <c r="W1042" s="26" t="s">
        <v>29</v>
      </c>
    </row>
    <row r="1043" spans="1:23" ht="89.25" x14ac:dyDescent="0.25">
      <c r="A1043" s="17">
        <f t="shared" ca="1" si="156"/>
        <v>1039</v>
      </c>
      <c r="B1043" s="18" t="s">
        <v>1453</v>
      </c>
      <c r="C1043" s="18" t="s">
        <v>2107</v>
      </c>
      <c r="D1043" s="18"/>
      <c r="E1043" s="18"/>
      <c r="F1043" s="18"/>
      <c r="G1043" s="18"/>
      <c r="H1043" s="19" t="s">
        <v>2108</v>
      </c>
      <c r="I1043" s="18" t="s">
        <v>161</v>
      </c>
      <c r="J1043" s="20">
        <v>1</v>
      </c>
      <c r="K1043" s="20">
        <v>1.1499999999999999</v>
      </c>
      <c r="L1043" s="21" t="s">
        <v>28</v>
      </c>
      <c r="M1043" s="22">
        <v>3.7080000000000002</v>
      </c>
      <c r="N1043" s="22">
        <v>0.22504000000000002</v>
      </c>
      <c r="O1043" s="22">
        <v>1052.3689999999999</v>
      </c>
      <c r="P1043" s="22">
        <f t="shared" si="152"/>
        <v>4487.5118898000001</v>
      </c>
      <c r="Q1043" s="22">
        <v>2757.7041798239825</v>
      </c>
      <c r="R1043" s="22">
        <f t="shared" si="153"/>
        <v>713.68281092172742</v>
      </c>
      <c r="S1043" s="22">
        <f t="shared" si="154"/>
        <v>5201.1947007217277</v>
      </c>
      <c r="T1043" s="23">
        <v>0.55859868298040061</v>
      </c>
      <c r="U1043" s="24">
        <v>0.1</v>
      </c>
      <c r="V1043" s="25">
        <f t="shared" si="157"/>
        <v>8917.2327315164766</v>
      </c>
      <c r="W1043" s="26" t="s">
        <v>29</v>
      </c>
    </row>
    <row r="1044" spans="1:23" ht="89.25" x14ac:dyDescent="0.25">
      <c r="A1044" s="17">
        <f t="shared" ca="1" si="156"/>
        <v>1040</v>
      </c>
      <c r="B1044" s="18" t="s">
        <v>1453</v>
      </c>
      <c r="C1044" s="18" t="s">
        <v>2109</v>
      </c>
      <c r="D1044" s="18"/>
      <c r="E1044" s="18"/>
      <c r="F1044" s="18"/>
      <c r="G1044" s="18"/>
      <c r="H1044" s="19" t="s">
        <v>2110</v>
      </c>
      <c r="I1044" s="18" t="s">
        <v>161</v>
      </c>
      <c r="J1044" s="20">
        <v>1</v>
      </c>
      <c r="K1044" s="20">
        <v>1.1499999999999999</v>
      </c>
      <c r="L1044" s="21" t="s">
        <v>28</v>
      </c>
      <c r="M1044" s="22">
        <v>3.7080000000000002</v>
      </c>
      <c r="N1044" s="22">
        <v>0.22440000000000004</v>
      </c>
      <c r="O1044" s="22">
        <v>1052.3689999999999</v>
      </c>
      <c r="P1044" s="22">
        <f t="shared" si="152"/>
        <v>4487.5118898000001</v>
      </c>
      <c r="Q1044" s="22">
        <v>2757.7041798239825</v>
      </c>
      <c r="R1044" s="22">
        <f t="shared" si="153"/>
        <v>711.65314064537699</v>
      </c>
      <c r="S1044" s="22">
        <f t="shared" si="154"/>
        <v>5199.1650304453769</v>
      </c>
      <c r="T1044" s="23">
        <v>0.55859868298040061</v>
      </c>
      <c r="U1044" s="24">
        <v>0.1</v>
      </c>
      <c r="V1044" s="25">
        <f t="shared" si="157"/>
        <v>8913.7529459549114</v>
      </c>
      <c r="W1044" s="26" t="s">
        <v>29</v>
      </c>
    </row>
    <row r="1045" spans="1:23" ht="89.25" x14ac:dyDescent="0.25">
      <c r="A1045" s="17">
        <f t="shared" ca="1" si="156"/>
        <v>1041</v>
      </c>
      <c r="B1045" s="18" t="s">
        <v>1453</v>
      </c>
      <c r="C1045" s="18" t="s">
        <v>2111</v>
      </c>
      <c r="D1045" s="18"/>
      <c r="E1045" s="18"/>
      <c r="F1045" s="18"/>
      <c r="G1045" s="18"/>
      <c r="H1045" s="19" t="s">
        <v>2112</v>
      </c>
      <c r="I1045" s="18" t="s">
        <v>161</v>
      </c>
      <c r="J1045" s="20">
        <v>1</v>
      </c>
      <c r="K1045" s="20">
        <v>1.1499999999999999</v>
      </c>
      <c r="L1045" s="21" t="s">
        <v>28</v>
      </c>
      <c r="M1045" s="22">
        <v>1.8540000000000001</v>
      </c>
      <c r="N1045" s="22">
        <v>6.6666666666666666E-2</v>
      </c>
      <c r="O1045" s="22">
        <v>1052.3689999999999</v>
      </c>
      <c r="P1045" s="22">
        <f t="shared" si="152"/>
        <v>2243.7559449</v>
      </c>
      <c r="Q1045" s="22">
        <v>2757.7041798239825</v>
      </c>
      <c r="R1045" s="22">
        <f t="shared" si="153"/>
        <v>211.42398711983864</v>
      </c>
      <c r="S1045" s="22">
        <f t="shared" si="154"/>
        <v>2455.1799320198388</v>
      </c>
      <c r="T1045" s="23">
        <v>0.55859868298040061</v>
      </c>
      <c r="U1045" s="24">
        <v>0.1</v>
      </c>
      <c r="V1045" s="25">
        <f t="shared" si="157"/>
        <v>4209.304229378633</v>
      </c>
      <c r="W1045" s="26" t="s">
        <v>29</v>
      </c>
    </row>
    <row r="1046" spans="1:23" ht="89.25" x14ac:dyDescent="0.25">
      <c r="A1046" s="17">
        <f t="shared" ca="1" si="156"/>
        <v>1042</v>
      </c>
      <c r="B1046" s="18" t="s">
        <v>1453</v>
      </c>
      <c r="C1046" s="18" t="s">
        <v>2113</v>
      </c>
      <c r="D1046" s="18"/>
      <c r="E1046" s="18"/>
      <c r="F1046" s="18"/>
      <c r="G1046" s="18"/>
      <c r="H1046" s="19" t="s">
        <v>2114</v>
      </c>
      <c r="I1046" s="18" t="s">
        <v>161</v>
      </c>
      <c r="J1046" s="20">
        <v>1</v>
      </c>
      <c r="K1046" s="20">
        <v>1.1499999999999999</v>
      </c>
      <c r="L1046" s="21" t="s">
        <v>28</v>
      </c>
      <c r="M1046" s="22">
        <v>3.7080000000000002</v>
      </c>
      <c r="N1046" s="22">
        <v>0.22408000000000003</v>
      </c>
      <c r="O1046" s="22">
        <v>1052.3689999999999</v>
      </c>
      <c r="P1046" s="22">
        <f t="shared" si="152"/>
        <v>4487.5118898000001</v>
      </c>
      <c r="Q1046" s="22">
        <v>2757.7041798239825</v>
      </c>
      <c r="R1046" s="22">
        <f t="shared" si="153"/>
        <v>710.63830550720172</v>
      </c>
      <c r="S1046" s="22">
        <f t="shared" si="154"/>
        <v>5198.150195307202</v>
      </c>
      <c r="T1046" s="23">
        <v>0.55859868298040061</v>
      </c>
      <c r="U1046" s="24">
        <v>0.1</v>
      </c>
      <c r="V1046" s="25">
        <f t="shared" si="157"/>
        <v>8912.0130531741288</v>
      </c>
      <c r="W1046" s="26" t="s">
        <v>29</v>
      </c>
    </row>
    <row r="1047" spans="1:23" ht="89.25" x14ac:dyDescent="0.25">
      <c r="A1047" s="17">
        <f t="shared" ca="1" si="156"/>
        <v>1043</v>
      </c>
      <c r="B1047" s="18" t="s">
        <v>1453</v>
      </c>
      <c r="C1047" s="18" t="s">
        <v>2115</v>
      </c>
      <c r="D1047" s="18"/>
      <c r="E1047" s="18"/>
      <c r="F1047" s="18"/>
      <c r="G1047" s="18"/>
      <c r="H1047" s="19" t="s">
        <v>2116</v>
      </c>
      <c r="I1047" s="18" t="s">
        <v>161</v>
      </c>
      <c r="J1047" s="20">
        <v>1</v>
      </c>
      <c r="K1047" s="20">
        <v>1.1499999999999999</v>
      </c>
      <c r="L1047" s="21" t="s">
        <v>28</v>
      </c>
      <c r="M1047" s="22">
        <v>3.7080000000000002</v>
      </c>
      <c r="N1047" s="22">
        <v>0.22440000000000004</v>
      </c>
      <c r="O1047" s="22">
        <v>1052.3689999999999</v>
      </c>
      <c r="P1047" s="22">
        <f t="shared" si="152"/>
        <v>4487.5118898000001</v>
      </c>
      <c r="Q1047" s="22">
        <v>2757.7041798239825</v>
      </c>
      <c r="R1047" s="22">
        <f t="shared" si="153"/>
        <v>711.65314064537699</v>
      </c>
      <c r="S1047" s="22">
        <f t="shared" si="154"/>
        <v>5199.1650304453769</v>
      </c>
      <c r="T1047" s="23">
        <v>0.55859868298040061</v>
      </c>
      <c r="U1047" s="24">
        <v>0.1</v>
      </c>
      <c r="V1047" s="25">
        <f t="shared" si="157"/>
        <v>8913.7529459549114</v>
      </c>
      <c r="W1047" s="26" t="s">
        <v>29</v>
      </c>
    </row>
    <row r="1048" spans="1:23" ht="89.25" x14ac:dyDescent="0.25">
      <c r="A1048" s="17">
        <f t="shared" ca="1" si="156"/>
        <v>1044</v>
      </c>
      <c r="B1048" s="18" t="s">
        <v>1453</v>
      </c>
      <c r="C1048" s="18" t="s">
        <v>2117</v>
      </c>
      <c r="D1048" s="18"/>
      <c r="E1048" s="18"/>
      <c r="F1048" s="18"/>
      <c r="G1048" s="18"/>
      <c r="H1048" s="19" t="s">
        <v>2118</v>
      </c>
      <c r="I1048" s="18" t="s">
        <v>161</v>
      </c>
      <c r="J1048" s="20">
        <v>1</v>
      </c>
      <c r="K1048" s="20">
        <v>1.1499999999999999</v>
      </c>
      <c r="L1048" s="21" t="s">
        <v>28</v>
      </c>
      <c r="M1048" s="22">
        <v>10.170000000000002</v>
      </c>
      <c r="N1048" s="22">
        <v>0.64471999999999996</v>
      </c>
      <c r="O1048" s="22">
        <v>1052.3689999999999</v>
      </c>
      <c r="P1048" s="22">
        <f t="shared" si="152"/>
        <v>12307.9816395</v>
      </c>
      <c r="Q1048" s="22">
        <v>2757.7041798239825</v>
      </c>
      <c r="R1048" s="22">
        <f t="shared" si="153"/>
        <v>2044.6390946385354</v>
      </c>
      <c r="S1048" s="22">
        <f t="shared" si="154"/>
        <v>14352.620734138534</v>
      </c>
      <c r="T1048" s="23">
        <v>0.55859868298040061</v>
      </c>
      <c r="U1048" s="24">
        <v>0.1</v>
      </c>
      <c r="V1048" s="25">
        <f t="shared" si="157"/>
        <v>24606.973350900062</v>
      </c>
      <c r="W1048" s="26" t="s">
        <v>29</v>
      </c>
    </row>
    <row r="1049" spans="1:23" ht="89.25" x14ac:dyDescent="0.25">
      <c r="A1049" s="17">
        <f t="shared" ca="1" si="156"/>
        <v>1045</v>
      </c>
      <c r="B1049" s="18" t="s">
        <v>1453</v>
      </c>
      <c r="C1049" s="18" t="s">
        <v>2119</v>
      </c>
      <c r="D1049" s="18"/>
      <c r="E1049" s="18"/>
      <c r="F1049" s="18"/>
      <c r="G1049" s="18"/>
      <c r="H1049" s="19" t="s">
        <v>2120</v>
      </c>
      <c r="I1049" s="18" t="s">
        <v>161</v>
      </c>
      <c r="J1049" s="20">
        <v>1</v>
      </c>
      <c r="K1049" s="20">
        <v>1.1499999999999999</v>
      </c>
      <c r="L1049" s="21" t="s">
        <v>28</v>
      </c>
      <c r="M1049" s="22">
        <v>0.92700000000000005</v>
      </c>
      <c r="N1049" s="22">
        <v>6.6666666666666666E-2</v>
      </c>
      <c r="O1049" s="22">
        <v>1052.3689999999999</v>
      </c>
      <c r="P1049" s="22">
        <f t="shared" si="152"/>
        <v>1121.87797245</v>
      </c>
      <c r="Q1049" s="22">
        <v>2757.7041798239825</v>
      </c>
      <c r="R1049" s="22">
        <f t="shared" si="153"/>
        <v>211.42398711983864</v>
      </c>
      <c r="S1049" s="22">
        <f t="shared" si="154"/>
        <v>1333.3019595698386</v>
      </c>
      <c r="T1049" s="23">
        <v>0.55859868298040061</v>
      </c>
      <c r="U1049" s="24">
        <v>0.1</v>
      </c>
      <c r="V1049" s="25">
        <f t="shared" si="157"/>
        <v>2285.890946020812</v>
      </c>
      <c r="W1049" s="26" t="s">
        <v>29</v>
      </c>
    </row>
    <row r="1050" spans="1:23" ht="89.25" x14ac:dyDescent="0.25">
      <c r="A1050" s="17">
        <f t="shared" ca="1" si="156"/>
        <v>1046</v>
      </c>
      <c r="B1050" s="18" t="s">
        <v>1453</v>
      </c>
      <c r="C1050" s="18" t="s">
        <v>2121</v>
      </c>
      <c r="D1050" s="18"/>
      <c r="E1050" s="18"/>
      <c r="F1050" s="18"/>
      <c r="G1050" s="18"/>
      <c r="H1050" s="19" t="s">
        <v>2122</v>
      </c>
      <c r="I1050" s="18" t="s">
        <v>161</v>
      </c>
      <c r="J1050" s="20">
        <v>1</v>
      </c>
      <c r="K1050" s="20">
        <v>1.1499999999999999</v>
      </c>
      <c r="L1050" s="21" t="s">
        <v>28</v>
      </c>
      <c r="M1050" s="22">
        <v>0.92700000000000005</v>
      </c>
      <c r="N1050" s="22">
        <v>3.0724800000000001</v>
      </c>
      <c r="O1050" s="22">
        <v>1052.3689999999999</v>
      </c>
      <c r="P1050" s="22">
        <f t="shared" si="152"/>
        <v>1121.87797245</v>
      </c>
      <c r="Q1050" s="22">
        <v>2757.7041798239825</v>
      </c>
      <c r="R1050" s="22">
        <f t="shared" si="153"/>
        <v>9743.9395791894276</v>
      </c>
      <c r="S1050" s="22">
        <f t="shared" si="154"/>
        <v>10865.817551639428</v>
      </c>
      <c r="T1050" s="23">
        <v>0.55859868298040061</v>
      </c>
      <c r="U1050" s="24">
        <v>0.1</v>
      </c>
      <c r="V1050" s="25">
        <f t="shared" si="157"/>
        <v>18628.993818039587</v>
      </c>
      <c r="W1050" s="26" t="s">
        <v>29</v>
      </c>
    </row>
    <row r="1051" spans="1:23" ht="89.25" x14ac:dyDescent="0.25">
      <c r="A1051" s="17">
        <f t="shared" ca="1" si="156"/>
        <v>1047</v>
      </c>
      <c r="B1051" s="18" t="s">
        <v>1453</v>
      </c>
      <c r="C1051" s="18" t="s">
        <v>2123</v>
      </c>
      <c r="D1051" s="18"/>
      <c r="E1051" s="18"/>
      <c r="F1051" s="18"/>
      <c r="G1051" s="18"/>
      <c r="H1051" s="19" t="s">
        <v>2124</v>
      </c>
      <c r="I1051" s="18" t="s">
        <v>161</v>
      </c>
      <c r="J1051" s="20">
        <v>1</v>
      </c>
      <c r="K1051" s="20">
        <v>1.1499999999999999</v>
      </c>
      <c r="L1051" s="21" t="s">
        <v>28</v>
      </c>
      <c r="M1051" s="22">
        <v>10.170000000000002</v>
      </c>
      <c r="N1051" s="22">
        <v>0.64471999999999996</v>
      </c>
      <c r="O1051" s="22">
        <v>1052.3689999999999</v>
      </c>
      <c r="P1051" s="22">
        <f t="shared" si="152"/>
        <v>12307.9816395</v>
      </c>
      <c r="Q1051" s="22">
        <v>2757.7041798239825</v>
      </c>
      <c r="R1051" s="22">
        <f t="shared" si="153"/>
        <v>2044.6390946385354</v>
      </c>
      <c r="S1051" s="22">
        <f t="shared" si="154"/>
        <v>14352.620734138534</v>
      </c>
      <c r="T1051" s="23">
        <v>0.55859868298040061</v>
      </c>
      <c r="U1051" s="24">
        <v>0.1</v>
      </c>
      <c r="V1051" s="25">
        <f t="shared" si="157"/>
        <v>24606.973350900062</v>
      </c>
      <c r="W1051" s="26" t="s">
        <v>29</v>
      </c>
    </row>
    <row r="1052" spans="1:23" ht="89.25" x14ac:dyDescent="0.25">
      <c r="A1052" s="17">
        <f t="shared" ca="1" si="156"/>
        <v>1048</v>
      </c>
      <c r="B1052" s="18" t="s">
        <v>1453</v>
      </c>
      <c r="C1052" s="18" t="s">
        <v>2125</v>
      </c>
      <c r="D1052" s="18"/>
      <c r="E1052" s="18"/>
      <c r="F1052" s="18"/>
      <c r="G1052" s="18"/>
      <c r="H1052" s="19" t="s">
        <v>2126</v>
      </c>
      <c r="I1052" s="18" t="s">
        <v>161</v>
      </c>
      <c r="J1052" s="20">
        <v>1</v>
      </c>
      <c r="K1052" s="20">
        <v>1.1499999999999999</v>
      </c>
      <c r="L1052" s="21" t="s">
        <v>28</v>
      </c>
      <c r="M1052" s="22">
        <v>14.85</v>
      </c>
      <c r="N1052" s="22">
        <v>2.1440000000000001</v>
      </c>
      <c r="O1052" s="22">
        <v>1052.3689999999999</v>
      </c>
      <c r="P1052" s="22">
        <f t="shared" si="152"/>
        <v>17971.831597499997</v>
      </c>
      <c r="Q1052" s="22">
        <v>2757.7041798239825</v>
      </c>
      <c r="R1052" s="22">
        <f t="shared" si="153"/>
        <v>6799.3954257740115</v>
      </c>
      <c r="S1052" s="22">
        <f t="shared" si="154"/>
        <v>24771.227023274008</v>
      </c>
      <c r="T1052" s="23">
        <v>0.55859868298040061</v>
      </c>
      <c r="U1052" s="24">
        <v>0.1</v>
      </c>
      <c r="V1052" s="25">
        <f t="shared" si="157"/>
        <v>42469.241995711716</v>
      </c>
      <c r="W1052" s="26" t="s">
        <v>29</v>
      </c>
    </row>
    <row r="1053" spans="1:23" ht="89.25" x14ac:dyDescent="0.25">
      <c r="A1053" s="17">
        <f t="shared" ca="1" si="156"/>
        <v>1049</v>
      </c>
      <c r="B1053" s="18" t="s">
        <v>1453</v>
      </c>
      <c r="C1053" s="18" t="s">
        <v>2127</v>
      </c>
      <c r="D1053" s="18"/>
      <c r="E1053" s="18"/>
      <c r="F1053" s="18"/>
      <c r="G1053" s="18"/>
      <c r="H1053" s="19" t="s">
        <v>2128</v>
      </c>
      <c r="I1053" s="18" t="s">
        <v>161</v>
      </c>
      <c r="J1053" s="20">
        <v>1</v>
      </c>
      <c r="K1053" s="20">
        <v>1.1499999999999999</v>
      </c>
      <c r="L1053" s="21" t="s">
        <v>28</v>
      </c>
      <c r="M1053" s="22">
        <v>3.7080000000000002</v>
      </c>
      <c r="N1053" s="22">
        <v>0.22760000000000002</v>
      </c>
      <c r="O1053" s="22">
        <v>1052.3689999999999</v>
      </c>
      <c r="P1053" s="22">
        <f t="shared" si="152"/>
        <v>4487.5118898000001</v>
      </c>
      <c r="Q1053" s="22">
        <v>2757.7041798239825</v>
      </c>
      <c r="R1053" s="22">
        <f t="shared" si="153"/>
        <v>721.80149202712926</v>
      </c>
      <c r="S1053" s="22">
        <f t="shared" si="154"/>
        <v>5209.313381827129</v>
      </c>
      <c r="T1053" s="23">
        <v>0.55859868298040061</v>
      </c>
      <c r="U1053" s="24">
        <v>0.1</v>
      </c>
      <c r="V1053" s="25">
        <f t="shared" si="157"/>
        <v>8931.1518737627339</v>
      </c>
      <c r="W1053" s="26" t="s">
        <v>29</v>
      </c>
    </row>
    <row r="1054" spans="1:23" ht="89.25" x14ac:dyDescent="0.25">
      <c r="A1054" s="17">
        <f t="shared" ca="1" si="156"/>
        <v>1050</v>
      </c>
      <c r="B1054" s="18" t="s">
        <v>1453</v>
      </c>
      <c r="C1054" s="18" t="s">
        <v>2129</v>
      </c>
      <c r="D1054" s="18"/>
      <c r="E1054" s="18"/>
      <c r="F1054" s="18"/>
      <c r="G1054" s="18"/>
      <c r="H1054" s="19" t="s">
        <v>2130</v>
      </c>
      <c r="I1054" s="18" t="s">
        <v>161</v>
      </c>
      <c r="J1054" s="20">
        <v>1</v>
      </c>
      <c r="K1054" s="20">
        <v>1.1499999999999999</v>
      </c>
      <c r="L1054" s="21" t="s">
        <v>28</v>
      </c>
      <c r="M1054" s="22">
        <v>3.7080000000000002</v>
      </c>
      <c r="N1054" s="22">
        <v>0.22600000000000003</v>
      </c>
      <c r="O1054" s="22">
        <v>1052.3689999999999</v>
      </c>
      <c r="P1054" s="22">
        <f t="shared" si="152"/>
        <v>4487.5118898000001</v>
      </c>
      <c r="Q1054" s="22">
        <v>2757.7041798239825</v>
      </c>
      <c r="R1054" s="22">
        <f t="shared" si="153"/>
        <v>716.72731633625312</v>
      </c>
      <c r="S1054" s="22">
        <f t="shared" si="154"/>
        <v>5204.2392061362534</v>
      </c>
      <c r="T1054" s="23">
        <v>0.55859868298040061</v>
      </c>
      <c r="U1054" s="24">
        <v>0.1</v>
      </c>
      <c r="V1054" s="25">
        <f t="shared" si="157"/>
        <v>8922.4524098588226</v>
      </c>
      <c r="W1054" s="26" t="s">
        <v>29</v>
      </c>
    </row>
    <row r="1055" spans="1:23" x14ac:dyDescent="0.25">
      <c r="A1055" s="28">
        <f t="shared" ca="1" si="156"/>
        <v>1051</v>
      </c>
      <c r="B1055" s="9" t="s">
        <v>1453</v>
      </c>
      <c r="C1055" s="9" t="s">
        <v>2131</v>
      </c>
      <c r="D1055" s="9"/>
      <c r="E1055" s="9"/>
      <c r="F1055" s="9"/>
      <c r="G1055" s="9"/>
      <c r="H1055" s="10" t="s">
        <v>2132</v>
      </c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29"/>
      <c r="U1055" s="11"/>
      <c r="V1055" s="9"/>
      <c r="W1055" s="9"/>
    </row>
    <row r="1056" spans="1:23" x14ac:dyDescent="0.25">
      <c r="A1056" s="12">
        <f t="shared" ca="1" si="156"/>
        <v>1052</v>
      </c>
      <c r="B1056" s="13" t="s">
        <v>1453</v>
      </c>
      <c r="C1056" s="13" t="s">
        <v>2133</v>
      </c>
      <c r="D1056" s="13"/>
      <c r="E1056" s="13"/>
      <c r="F1056" s="13"/>
      <c r="G1056" s="13"/>
      <c r="H1056" s="15" t="s">
        <v>2134</v>
      </c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27"/>
      <c r="U1056" s="16"/>
      <c r="V1056" s="13"/>
      <c r="W1056" s="13"/>
    </row>
    <row r="1057" spans="1:23" ht="89.25" x14ac:dyDescent="0.25">
      <c r="A1057" s="17">
        <f t="shared" ca="1" si="156"/>
        <v>1053</v>
      </c>
      <c r="B1057" s="18" t="s">
        <v>1453</v>
      </c>
      <c r="C1057" s="18" t="s">
        <v>2135</v>
      </c>
      <c r="D1057" s="18"/>
      <c r="E1057" s="18"/>
      <c r="F1057" s="18"/>
      <c r="G1057" s="18"/>
      <c r="H1057" s="19" t="s">
        <v>2136</v>
      </c>
      <c r="I1057" s="18" t="s">
        <v>161</v>
      </c>
      <c r="J1057" s="20">
        <v>1</v>
      </c>
      <c r="K1057" s="20">
        <v>1.1499999999999999</v>
      </c>
      <c r="L1057" s="21" t="s">
        <v>28</v>
      </c>
      <c r="M1057" s="22">
        <v>4.08</v>
      </c>
      <c r="N1057" s="22">
        <v>0.14007</v>
      </c>
      <c r="O1057" s="22">
        <v>1052.3689999999999</v>
      </c>
      <c r="P1057" s="22">
        <f t="shared" si="152"/>
        <v>4937.7153479999988</v>
      </c>
      <c r="Q1057" s="22">
        <v>2757.7041798239825</v>
      </c>
      <c r="R1057" s="22">
        <f t="shared" si="153"/>
        <v>444.21236813813698</v>
      </c>
      <c r="S1057" s="22">
        <f t="shared" si="154"/>
        <v>5381.927716138136</v>
      </c>
      <c r="T1057" s="23">
        <v>0.55859868298040061</v>
      </c>
      <c r="U1057" s="24">
        <v>0.1</v>
      </c>
      <c r="V1057" s="25">
        <f t="shared" ref="V1057:V1063" si="158">S1057+S1057*T1057+(S1057+S1057*T1057)*U1057</f>
        <v>9227.0919952954755</v>
      </c>
      <c r="W1057" s="26" t="s">
        <v>29</v>
      </c>
    </row>
    <row r="1058" spans="1:23" ht="89.25" x14ac:dyDescent="0.25">
      <c r="A1058" s="17">
        <f t="shared" ca="1" si="156"/>
        <v>1054</v>
      </c>
      <c r="B1058" s="18" t="s">
        <v>1453</v>
      </c>
      <c r="C1058" s="18" t="s">
        <v>2137</v>
      </c>
      <c r="D1058" s="18"/>
      <c r="E1058" s="18"/>
      <c r="F1058" s="18"/>
      <c r="G1058" s="18"/>
      <c r="H1058" s="19" t="s">
        <v>2138</v>
      </c>
      <c r="I1058" s="18" t="s">
        <v>161</v>
      </c>
      <c r="J1058" s="20">
        <v>1</v>
      </c>
      <c r="K1058" s="20">
        <v>1.1499999999999999</v>
      </c>
      <c r="L1058" s="21" t="s">
        <v>28</v>
      </c>
      <c r="M1058" s="22">
        <v>4.08</v>
      </c>
      <c r="N1058" s="22">
        <v>0.14007</v>
      </c>
      <c r="O1058" s="22">
        <v>1052.3689999999999</v>
      </c>
      <c r="P1058" s="22">
        <f t="shared" si="152"/>
        <v>4937.7153479999988</v>
      </c>
      <c r="Q1058" s="22">
        <v>2757.7041798239825</v>
      </c>
      <c r="R1058" s="22">
        <f t="shared" si="153"/>
        <v>444.21236813813698</v>
      </c>
      <c r="S1058" s="22">
        <f t="shared" si="154"/>
        <v>5381.927716138136</v>
      </c>
      <c r="T1058" s="23">
        <v>0.55859868298040061</v>
      </c>
      <c r="U1058" s="24">
        <v>0.1</v>
      </c>
      <c r="V1058" s="25">
        <f t="shared" si="158"/>
        <v>9227.0919952954755</v>
      </c>
      <c r="W1058" s="26" t="s">
        <v>29</v>
      </c>
    </row>
    <row r="1059" spans="1:23" ht="89.25" x14ac:dyDescent="0.25">
      <c r="A1059" s="17">
        <f t="shared" ca="1" si="156"/>
        <v>1055</v>
      </c>
      <c r="B1059" s="18" t="s">
        <v>1453</v>
      </c>
      <c r="C1059" s="18" t="s">
        <v>2139</v>
      </c>
      <c r="D1059" s="18"/>
      <c r="E1059" s="18"/>
      <c r="F1059" s="18"/>
      <c r="G1059" s="18"/>
      <c r="H1059" s="19" t="s">
        <v>2140</v>
      </c>
      <c r="I1059" s="18" t="s">
        <v>161</v>
      </c>
      <c r="J1059" s="20">
        <v>1</v>
      </c>
      <c r="K1059" s="20">
        <v>1.1499999999999999</v>
      </c>
      <c r="L1059" s="21" t="s">
        <v>28</v>
      </c>
      <c r="M1059" s="22">
        <v>0.8</v>
      </c>
      <c r="N1059" s="22">
        <v>9.8000000000000004E-2</v>
      </c>
      <c r="O1059" s="22">
        <v>1052.3689999999999</v>
      </c>
      <c r="P1059" s="22">
        <f t="shared" si="152"/>
        <v>968.1794799999999</v>
      </c>
      <c r="Q1059" s="22">
        <v>2757.7041798239825</v>
      </c>
      <c r="R1059" s="22">
        <f t="shared" si="153"/>
        <v>310.79326106616287</v>
      </c>
      <c r="S1059" s="22">
        <f t="shared" si="154"/>
        <v>1278.9727410661628</v>
      </c>
      <c r="T1059" s="23">
        <v>0.55859868298040061</v>
      </c>
      <c r="U1059" s="24">
        <v>0.1</v>
      </c>
      <c r="V1059" s="25">
        <f t="shared" si="158"/>
        <v>2192.7457527729098</v>
      </c>
      <c r="W1059" s="26" t="s">
        <v>29</v>
      </c>
    </row>
    <row r="1060" spans="1:23" ht="89.25" x14ac:dyDescent="0.25">
      <c r="A1060" s="17">
        <f t="shared" ca="1" si="156"/>
        <v>1056</v>
      </c>
      <c r="B1060" s="18" t="s">
        <v>1453</v>
      </c>
      <c r="C1060" s="18" t="s">
        <v>2141</v>
      </c>
      <c r="D1060" s="18"/>
      <c r="E1060" s="18"/>
      <c r="F1060" s="18"/>
      <c r="G1060" s="18"/>
      <c r="H1060" s="19" t="s">
        <v>2142</v>
      </c>
      <c r="I1060" s="18" t="s">
        <v>161</v>
      </c>
      <c r="J1060" s="20">
        <v>1</v>
      </c>
      <c r="K1060" s="20">
        <v>1.1499999999999999</v>
      </c>
      <c r="L1060" s="21" t="s">
        <v>28</v>
      </c>
      <c r="M1060" s="22">
        <v>1.3440000000000001</v>
      </c>
      <c r="N1060" s="22">
        <v>4.1999999999999996E-2</v>
      </c>
      <c r="O1060" s="22">
        <v>1052.3689999999999</v>
      </c>
      <c r="P1060" s="22">
        <f t="shared" si="152"/>
        <v>1626.5415263999998</v>
      </c>
      <c r="Q1060" s="22">
        <v>2757.7041798239825</v>
      </c>
      <c r="R1060" s="22">
        <f t="shared" si="153"/>
        <v>133.19711188549832</v>
      </c>
      <c r="S1060" s="22">
        <f t="shared" si="154"/>
        <v>1759.7386382854982</v>
      </c>
      <c r="T1060" s="23">
        <v>0.55859868298040061</v>
      </c>
      <c r="U1060" s="24">
        <v>0.1</v>
      </c>
      <c r="V1060" s="25">
        <f t="shared" si="158"/>
        <v>3016.9989564236512</v>
      </c>
      <c r="W1060" s="26" t="s">
        <v>29</v>
      </c>
    </row>
    <row r="1061" spans="1:23" ht="89.25" x14ac:dyDescent="0.25">
      <c r="A1061" s="17">
        <f t="shared" ca="1" si="156"/>
        <v>1057</v>
      </c>
      <c r="B1061" s="18" t="s">
        <v>1453</v>
      </c>
      <c r="C1061" s="18" t="s">
        <v>2143</v>
      </c>
      <c r="D1061" s="18"/>
      <c r="E1061" s="18"/>
      <c r="F1061" s="18"/>
      <c r="G1061" s="18"/>
      <c r="H1061" s="19" t="s">
        <v>2144</v>
      </c>
      <c r="I1061" s="18" t="s">
        <v>161</v>
      </c>
      <c r="J1061" s="20">
        <v>1</v>
      </c>
      <c r="K1061" s="20">
        <v>1.1499999999999999</v>
      </c>
      <c r="L1061" s="21" t="s">
        <v>28</v>
      </c>
      <c r="M1061" s="22">
        <v>3.6080000000000001</v>
      </c>
      <c r="N1061" s="22">
        <v>4.1999999999999996E-2</v>
      </c>
      <c r="O1061" s="22">
        <v>1052.3689999999999</v>
      </c>
      <c r="P1061" s="22">
        <f t="shared" si="152"/>
        <v>4366.4894547999993</v>
      </c>
      <c r="Q1061" s="22">
        <v>2757.7041798239825</v>
      </c>
      <c r="R1061" s="22">
        <f t="shared" si="153"/>
        <v>133.19711188549832</v>
      </c>
      <c r="S1061" s="22">
        <f t="shared" si="154"/>
        <v>4499.6865666854974</v>
      </c>
      <c r="T1061" s="23">
        <v>0.55859868298040061</v>
      </c>
      <c r="U1061" s="24">
        <v>0.1</v>
      </c>
      <c r="V1061" s="25">
        <f t="shared" si="158"/>
        <v>7714.5261123266782</v>
      </c>
      <c r="W1061" s="26" t="s">
        <v>29</v>
      </c>
    </row>
    <row r="1062" spans="1:23" ht="89.25" x14ac:dyDescent="0.25">
      <c r="A1062" s="17">
        <f t="shared" ca="1" si="156"/>
        <v>1058</v>
      </c>
      <c r="B1062" s="18" t="s">
        <v>1453</v>
      </c>
      <c r="C1062" s="18" t="s">
        <v>2145</v>
      </c>
      <c r="D1062" s="18"/>
      <c r="E1062" s="18"/>
      <c r="F1062" s="18"/>
      <c r="G1062" s="18"/>
      <c r="H1062" s="19" t="s">
        <v>2146</v>
      </c>
      <c r="I1062" s="18" t="s">
        <v>161</v>
      </c>
      <c r="J1062" s="20">
        <v>1</v>
      </c>
      <c r="K1062" s="20">
        <v>1.1499999999999999</v>
      </c>
      <c r="L1062" s="21" t="s">
        <v>28</v>
      </c>
      <c r="M1062" s="22">
        <v>1.2080000000000002</v>
      </c>
      <c r="N1062" s="22">
        <v>4.1999999999999996E-2</v>
      </c>
      <c r="O1062" s="22">
        <v>1052.3689999999999</v>
      </c>
      <c r="P1062" s="22">
        <f t="shared" si="152"/>
        <v>1461.9510147999999</v>
      </c>
      <c r="Q1062" s="22">
        <v>2757.7041798239825</v>
      </c>
      <c r="R1062" s="22">
        <f t="shared" si="153"/>
        <v>133.19711188549832</v>
      </c>
      <c r="S1062" s="22">
        <f t="shared" si="154"/>
        <v>1595.1481266854983</v>
      </c>
      <c r="T1062" s="23">
        <v>0.55859868298040061</v>
      </c>
      <c r="U1062" s="24">
        <v>0.1</v>
      </c>
      <c r="V1062" s="25">
        <f t="shared" si="158"/>
        <v>2734.8153463517378</v>
      </c>
      <c r="W1062" s="26" t="s">
        <v>29</v>
      </c>
    </row>
    <row r="1063" spans="1:23" ht="89.25" x14ac:dyDescent="0.25">
      <c r="A1063" s="17">
        <f t="shared" ca="1" si="156"/>
        <v>1059</v>
      </c>
      <c r="B1063" s="18" t="s">
        <v>1453</v>
      </c>
      <c r="C1063" s="18" t="s">
        <v>2147</v>
      </c>
      <c r="D1063" s="18"/>
      <c r="E1063" s="18"/>
      <c r="F1063" s="18"/>
      <c r="G1063" s="18"/>
      <c r="H1063" s="19" t="s">
        <v>2148</v>
      </c>
      <c r="I1063" s="18" t="s">
        <v>161</v>
      </c>
      <c r="J1063" s="20">
        <v>1</v>
      </c>
      <c r="K1063" s="20">
        <v>1.1499999999999999</v>
      </c>
      <c r="L1063" s="21" t="s">
        <v>28</v>
      </c>
      <c r="M1063" s="22">
        <v>1.2080000000000002</v>
      </c>
      <c r="N1063" s="22">
        <v>4.1999999999999996E-2</v>
      </c>
      <c r="O1063" s="22">
        <v>1052.3689999999999</v>
      </c>
      <c r="P1063" s="22">
        <f t="shared" si="152"/>
        <v>1461.9510147999999</v>
      </c>
      <c r="Q1063" s="22">
        <v>2757.7041798239825</v>
      </c>
      <c r="R1063" s="22">
        <f t="shared" si="153"/>
        <v>133.19711188549832</v>
      </c>
      <c r="S1063" s="22">
        <f t="shared" si="154"/>
        <v>1595.1481266854983</v>
      </c>
      <c r="T1063" s="23">
        <v>0.55859868298040061</v>
      </c>
      <c r="U1063" s="24">
        <v>0.1</v>
      </c>
      <c r="V1063" s="25">
        <f t="shared" si="158"/>
        <v>2734.8153463517378</v>
      </c>
      <c r="W1063" s="26" t="s">
        <v>29</v>
      </c>
    </row>
    <row r="1064" spans="1:23" x14ac:dyDescent="0.25">
      <c r="A1064" s="12">
        <f t="shared" ca="1" si="156"/>
        <v>1060</v>
      </c>
      <c r="B1064" s="13" t="s">
        <v>1453</v>
      </c>
      <c r="C1064" s="13" t="s">
        <v>2149</v>
      </c>
      <c r="D1064" s="13"/>
      <c r="E1064" s="13"/>
      <c r="F1064" s="13"/>
      <c r="G1064" s="13"/>
      <c r="H1064" s="15" t="s">
        <v>2150</v>
      </c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27"/>
      <c r="U1064" s="16"/>
      <c r="V1064" s="13"/>
      <c r="W1064" s="13"/>
    </row>
    <row r="1065" spans="1:23" ht="89.25" x14ac:dyDescent="0.25">
      <c r="A1065" s="17">
        <f t="shared" ca="1" si="156"/>
        <v>1061</v>
      </c>
      <c r="B1065" s="18" t="s">
        <v>1453</v>
      </c>
      <c r="C1065" s="18" t="s">
        <v>2151</v>
      </c>
      <c r="D1065" s="18"/>
      <c r="E1065" s="18"/>
      <c r="F1065" s="18"/>
      <c r="G1065" s="18"/>
      <c r="H1065" s="19" t="s">
        <v>2152</v>
      </c>
      <c r="I1065" s="18" t="s">
        <v>161</v>
      </c>
      <c r="J1065" s="20">
        <v>1</v>
      </c>
      <c r="K1065" s="20">
        <v>1.1499999999999999</v>
      </c>
      <c r="L1065" s="21" t="s">
        <v>28</v>
      </c>
      <c r="M1065" s="22">
        <v>2.488</v>
      </c>
      <c r="N1065" s="22">
        <v>3.8975999999999998E-3</v>
      </c>
      <c r="O1065" s="22">
        <v>1052.3689999999999</v>
      </c>
      <c r="P1065" s="22">
        <f t="shared" si="152"/>
        <v>3011.0381827999995</v>
      </c>
      <c r="Q1065" s="22">
        <v>2757.7041798239825</v>
      </c>
      <c r="R1065" s="22">
        <f t="shared" si="153"/>
        <v>12.360691982974245</v>
      </c>
      <c r="S1065" s="22">
        <f t="shared" si="154"/>
        <v>3023.398874782974</v>
      </c>
      <c r="T1065" s="23">
        <v>0.55859868298040061</v>
      </c>
      <c r="U1065" s="24">
        <v>0.1</v>
      </c>
      <c r="V1065" s="25">
        <f t="shared" ref="V1065:V1073" si="159">S1065+S1065*T1065+(S1065+S1065*T1065)*U1065</f>
        <v>5183.4920547972852</v>
      </c>
      <c r="W1065" s="26" t="s">
        <v>29</v>
      </c>
    </row>
    <row r="1066" spans="1:23" ht="89.25" x14ac:dyDescent="0.25">
      <c r="A1066" s="17">
        <f t="shared" ca="1" si="156"/>
        <v>1062</v>
      </c>
      <c r="B1066" s="18" t="s">
        <v>1453</v>
      </c>
      <c r="C1066" s="18" t="s">
        <v>2153</v>
      </c>
      <c r="D1066" s="18"/>
      <c r="E1066" s="18"/>
      <c r="F1066" s="18"/>
      <c r="G1066" s="18"/>
      <c r="H1066" s="19" t="s">
        <v>2154</v>
      </c>
      <c r="I1066" s="18" t="s">
        <v>161</v>
      </c>
      <c r="J1066" s="20">
        <v>1</v>
      </c>
      <c r="K1066" s="20">
        <v>1.1499999999999999</v>
      </c>
      <c r="L1066" s="21" t="s">
        <v>28</v>
      </c>
      <c r="M1066" s="22">
        <v>2.6275200000000005</v>
      </c>
      <c r="N1066" s="22">
        <v>3.8975999999999998E-3</v>
      </c>
      <c r="O1066" s="22">
        <v>1052.3689999999999</v>
      </c>
      <c r="P1066" s="22">
        <f t="shared" si="152"/>
        <v>3179.8886841120002</v>
      </c>
      <c r="Q1066" s="22">
        <v>2757.7041798239825</v>
      </c>
      <c r="R1066" s="22">
        <f t="shared" si="153"/>
        <v>12.360691982974245</v>
      </c>
      <c r="S1066" s="22">
        <f t="shared" si="154"/>
        <v>3192.2493760949747</v>
      </c>
      <c r="T1066" s="23">
        <v>0.55859868298040061</v>
      </c>
      <c r="U1066" s="24">
        <v>0.1</v>
      </c>
      <c r="V1066" s="25">
        <f t="shared" si="159"/>
        <v>5472.9792406592969</v>
      </c>
      <c r="W1066" s="26" t="s">
        <v>29</v>
      </c>
    </row>
    <row r="1067" spans="1:23" ht="89.25" x14ac:dyDescent="0.25">
      <c r="A1067" s="17">
        <f t="shared" ca="1" si="156"/>
        <v>1063</v>
      </c>
      <c r="B1067" s="18" t="s">
        <v>1453</v>
      </c>
      <c r="C1067" s="18" t="s">
        <v>2155</v>
      </c>
      <c r="D1067" s="18"/>
      <c r="E1067" s="18"/>
      <c r="F1067" s="18"/>
      <c r="G1067" s="18"/>
      <c r="H1067" s="19" t="s">
        <v>2156</v>
      </c>
      <c r="I1067" s="18" t="s">
        <v>161</v>
      </c>
      <c r="J1067" s="20">
        <v>1</v>
      </c>
      <c r="K1067" s="20">
        <v>1.1499999999999999</v>
      </c>
      <c r="L1067" s="21" t="s">
        <v>28</v>
      </c>
      <c r="M1067" s="22">
        <v>2.488</v>
      </c>
      <c r="N1067" s="22">
        <v>3.8975999999999998E-3</v>
      </c>
      <c r="O1067" s="22">
        <v>1052.3689999999999</v>
      </c>
      <c r="P1067" s="22">
        <f t="shared" si="152"/>
        <v>3011.0381827999995</v>
      </c>
      <c r="Q1067" s="22">
        <v>2757.7041798239825</v>
      </c>
      <c r="R1067" s="22">
        <f t="shared" si="153"/>
        <v>12.360691982974245</v>
      </c>
      <c r="S1067" s="22">
        <f t="shared" si="154"/>
        <v>3023.398874782974</v>
      </c>
      <c r="T1067" s="23">
        <v>0.55859868298040061</v>
      </c>
      <c r="U1067" s="24">
        <v>0.1</v>
      </c>
      <c r="V1067" s="25">
        <f t="shared" si="159"/>
        <v>5183.4920547972852</v>
      </c>
      <c r="W1067" s="26" t="s">
        <v>29</v>
      </c>
    </row>
    <row r="1068" spans="1:23" ht="89.25" x14ac:dyDescent="0.25">
      <c r="A1068" s="17">
        <f t="shared" ca="1" si="156"/>
        <v>1064</v>
      </c>
      <c r="B1068" s="18" t="s">
        <v>1453</v>
      </c>
      <c r="C1068" s="18" t="s">
        <v>2157</v>
      </c>
      <c r="D1068" s="18"/>
      <c r="E1068" s="18"/>
      <c r="F1068" s="18"/>
      <c r="G1068" s="18"/>
      <c r="H1068" s="19" t="s">
        <v>2158</v>
      </c>
      <c r="I1068" s="18" t="s">
        <v>161</v>
      </c>
      <c r="J1068" s="20">
        <v>1</v>
      </c>
      <c r="K1068" s="20">
        <v>1.1499999999999999</v>
      </c>
      <c r="L1068" s="21" t="s">
        <v>28</v>
      </c>
      <c r="M1068" s="22">
        <v>2.6275200000000005</v>
      </c>
      <c r="N1068" s="22">
        <v>3.8975999999999998E-3</v>
      </c>
      <c r="O1068" s="22">
        <v>1052.3689999999999</v>
      </c>
      <c r="P1068" s="22">
        <f t="shared" si="152"/>
        <v>3179.8886841120002</v>
      </c>
      <c r="Q1068" s="22">
        <v>2757.7041798239825</v>
      </c>
      <c r="R1068" s="22">
        <f t="shared" si="153"/>
        <v>12.360691982974245</v>
      </c>
      <c r="S1068" s="22">
        <f t="shared" si="154"/>
        <v>3192.2493760949747</v>
      </c>
      <c r="T1068" s="23">
        <v>0.55859868298040061</v>
      </c>
      <c r="U1068" s="24">
        <v>0.1</v>
      </c>
      <c r="V1068" s="25">
        <f t="shared" si="159"/>
        <v>5472.9792406592969</v>
      </c>
      <c r="W1068" s="26" t="s">
        <v>29</v>
      </c>
    </row>
    <row r="1069" spans="1:23" ht="89.25" x14ac:dyDescent="0.25">
      <c r="A1069" s="17">
        <f t="shared" ca="1" si="156"/>
        <v>1065</v>
      </c>
      <c r="B1069" s="18" t="s">
        <v>1453</v>
      </c>
      <c r="C1069" s="18" t="s">
        <v>2159</v>
      </c>
      <c r="D1069" s="18"/>
      <c r="E1069" s="18"/>
      <c r="F1069" s="18"/>
      <c r="G1069" s="18"/>
      <c r="H1069" s="19" t="s">
        <v>2160</v>
      </c>
      <c r="I1069" s="18" t="s">
        <v>161</v>
      </c>
      <c r="J1069" s="20">
        <v>1</v>
      </c>
      <c r="K1069" s="20">
        <v>1.1499999999999999</v>
      </c>
      <c r="L1069" s="21" t="s">
        <v>28</v>
      </c>
      <c r="M1069" s="22">
        <v>0.41600000000000004</v>
      </c>
      <c r="N1069" s="22">
        <v>0.12180000000000002</v>
      </c>
      <c r="O1069" s="22">
        <v>1052.3689999999999</v>
      </c>
      <c r="P1069" s="22">
        <f t="shared" si="152"/>
        <v>503.45332959999996</v>
      </c>
      <c r="Q1069" s="22">
        <v>2757.7041798239825</v>
      </c>
      <c r="R1069" s="22">
        <f t="shared" si="153"/>
        <v>386.27162446794523</v>
      </c>
      <c r="S1069" s="22">
        <f t="shared" si="154"/>
        <v>889.72495406794519</v>
      </c>
      <c r="T1069" s="23">
        <v>0.55859868298040061</v>
      </c>
      <c r="U1069" s="24">
        <v>0.1</v>
      </c>
      <c r="V1069" s="25">
        <f t="shared" si="159"/>
        <v>1525.3965557876065</v>
      </c>
      <c r="W1069" s="26" t="s">
        <v>29</v>
      </c>
    </row>
    <row r="1070" spans="1:23" ht="89.25" x14ac:dyDescent="0.25">
      <c r="A1070" s="17">
        <f t="shared" ca="1" si="156"/>
        <v>1066</v>
      </c>
      <c r="B1070" s="18" t="s">
        <v>1453</v>
      </c>
      <c r="C1070" s="18" t="s">
        <v>2161</v>
      </c>
      <c r="D1070" s="18"/>
      <c r="E1070" s="18"/>
      <c r="F1070" s="18"/>
      <c r="G1070" s="18"/>
      <c r="H1070" s="19" t="s">
        <v>2162</v>
      </c>
      <c r="I1070" s="18" t="s">
        <v>161</v>
      </c>
      <c r="J1070" s="20">
        <v>1</v>
      </c>
      <c r="K1070" s="20">
        <v>1.1499999999999999</v>
      </c>
      <c r="L1070" s="21" t="s">
        <v>28</v>
      </c>
      <c r="M1070" s="22">
        <v>0.35200000000000004</v>
      </c>
      <c r="N1070" s="22">
        <v>5.8333333333333327E-2</v>
      </c>
      <c r="O1070" s="22">
        <v>1052.3689999999999</v>
      </c>
      <c r="P1070" s="22">
        <f t="shared" si="152"/>
        <v>425.99897119999997</v>
      </c>
      <c r="Q1070" s="22">
        <v>2757.7041798239825</v>
      </c>
      <c r="R1070" s="22">
        <f t="shared" si="153"/>
        <v>184.99598872985879</v>
      </c>
      <c r="S1070" s="22">
        <f t="shared" si="154"/>
        <v>610.99495992985874</v>
      </c>
      <c r="T1070" s="23">
        <v>0.55859868298040061</v>
      </c>
      <c r="U1070" s="24">
        <v>0.1</v>
      </c>
      <c r="V1070" s="25">
        <f t="shared" si="159"/>
        <v>1047.5255338397747</v>
      </c>
      <c r="W1070" s="26" t="s">
        <v>29</v>
      </c>
    </row>
    <row r="1071" spans="1:23" ht="89.25" x14ac:dyDescent="0.25">
      <c r="A1071" s="17">
        <f t="shared" ca="1" si="156"/>
        <v>1067</v>
      </c>
      <c r="B1071" s="18" t="s">
        <v>1453</v>
      </c>
      <c r="C1071" s="18" t="s">
        <v>2163</v>
      </c>
      <c r="D1071" s="18"/>
      <c r="E1071" s="18"/>
      <c r="F1071" s="18"/>
      <c r="G1071" s="18"/>
      <c r="H1071" s="19" t="s">
        <v>2164</v>
      </c>
      <c r="I1071" s="18" t="s">
        <v>161</v>
      </c>
      <c r="J1071" s="20">
        <v>1</v>
      </c>
      <c r="K1071" s="20">
        <v>1.1499999999999999</v>
      </c>
      <c r="L1071" s="21" t="s">
        <v>28</v>
      </c>
      <c r="M1071" s="22">
        <v>0.82400000000000007</v>
      </c>
      <c r="N1071" s="22">
        <v>7.0489999999999997E-3</v>
      </c>
      <c r="O1071" s="22">
        <v>1052.3689999999999</v>
      </c>
      <c r="P1071" s="22">
        <f t="shared" si="152"/>
        <v>997.22486439999989</v>
      </c>
      <c r="Q1071" s="22">
        <v>2757.7041798239825</v>
      </c>
      <c r="R1071" s="22">
        <f t="shared" si="153"/>
        <v>22.354915278116138</v>
      </c>
      <c r="S1071" s="22">
        <f t="shared" si="154"/>
        <v>1019.579779678116</v>
      </c>
      <c r="T1071" s="23">
        <v>0.55859868298040061</v>
      </c>
      <c r="U1071" s="24">
        <v>0.1</v>
      </c>
      <c r="V1071" s="25">
        <f t="shared" si="159"/>
        <v>1748.0272719797342</v>
      </c>
      <c r="W1071" s="26" t="s">
        <v>29</v>
      </c>
    </row>
    <row r="1072" spans="1:23" ht="89.25" x14ac:dyDescent="0.25">
      <c r="A1072" s="17">
        <f t="shared" ca="1" si="156"/>
        <v>1068</v>
      </c>
      <c r="B1072" s="18" t="s">
        <v>1453</v>
      </c>
      <c r="C1072" s="18" t="s">
        <v>2165</v>
      </c>
      <c r="D1072" s="18"/>
      <c r="E1072" s="18"/>
      <c r="F1072" s="18"/>
      <c r="G1072" s="18"/>
      <c r="H1072" s="19" t="s">
        <v>2166</v>
      </c>
      <c r="I1072" s="18" t="s">
        <v>161</v>
      </c>
      <c r="J1072" s="20">
        <v>1</v>
      </c>
      <c r="K1072" s="20">
        <v>1.1499999999999999</v>
      </c>
      <c r="L1072" s="21" t="s">
        <v>28</v>
      </c>
      <c r="M1072" s="22">
        <v>0.82400000000000007</v>
      </c>
      <c r="N1072" s="22">
        <v>6.9999999999999993E-3</v>
      </c>
      <c r="O1072" s="22">
        <v>1052.3689999999999</v>
      </c>
      <c r="P1072" s="22">
        <f t="shared" si="152"/>
        <v>997.22486439999989</v>
      </c>
      <c r="Q1072" s="22">
        <v>2757.7041798239825</v>
      </c>
      <c r="R1072" s="22">
        <f t="shared" si="153"/>
        <v>22.199518647583055</v>
      </c>
      <c r="S1072" s="22">
        <f t="shared" si="154"/>
        <v>1019.424383047583</v>
      </c>
      <c r="T1072" s="23">
        <v>0.55859868298040061</v>
      </c>
      <c r="U1072" s="24">
        <v>0.1</v>
      </c>
      <c r="V1072" s="25">
        <f t="shared" si="159"/>
        <v>1747.7608508976773</v>
      </c>
      <c r="W1072" s="26" t="s">
        <v>29</v>
      </c>
    </row>
    <row r="1073" spans="1:23" ht="89.25" x14ac:dyDescent="0.25">
      <c r="A1073" s="17">
        <f t="shared" ca="1" si="156"/>
        <v>1069</v>
      </c>
      <c r="B1073" s="18" t="s">
        <v>1453</v>
      </c>
      <c r="C1073" s="18" t="s">
        <v>2167</v>
      </c>
      <c r="D1073" s="18"/>
      <c r="E1073" s="18"/>
      <c r="F1073" s="18"/>
      <c r="G1073" s="18"/>
      <c r="H1073" s="19" t="s">
        <v>2168</v>
      </c>
      <c r="I1073" s="18" t="s">
        <v>161</v>
      </c>
      <c r="J1073" s="20">
        <v>1</v>
      </c>
      <c r="K1073" s="20">
        <v>1.1499999999999999</v>
      </c>
      <c r="L1073" s="21" t="s">
        <v>28</v>
      </c>
      <c r="M1073" s="22">
        <v>0.82400000000000007</v>
      </c>
      <c r="N1073" s="22">
        <v>7.2449999999999997E-3</v>
      </c>
      <c r="O1073" s="22">
        <v>1052.3689999999999</v>
      </c>
      <c r="P1073" s="22">
        <f t="shared" si="152"/>
        <v>997.22486439999989</v>
      </c>
      <c r="Q1073" s="22">
        <v>2757.7041798239825</v>
      </c>
      <c r="R1073" s="22">
        <f t="shared" si="153"/>
        <v>22.97650180024846</v>
      </c>
      <c r="S1073" s="22">
        <f t="shared" si="154"/>
        <v>1020.2013662002483</v>
      </c>
      <c r="T1073" s="23">
        <v>0.55859868298040061</v>
      </c>
      <c r="U1073" s="24">
        <v>0.1</v>
      </c>
      <c r="V1073" s="25">
        <f t="shared" si="159"/>
        <v>1749.0929563079637</v>
      </c>
      <c r="W1073" s="26" t="s">
        <v>29</v>
      </c>
    </row>
    <row r="1074" spans="1:23" x14ac:dyDescent="0.25">
      <c r="A1074" s="12">
        <f t="shared" ca="1" si="156"/>
        <v>1070</v>
      </c>
      <c r="B1074" s="13" t="s">
        <v>1453</v>
      </c>
      <c r="C1074" s="13" t="s">
        <v>2169</v>
      </c>
      <c r="D1074" s="13"/>
      <c r="E1074" s="13"/>
      <c r="F1074" s="13"/>
      <c r="G1074" s="13"/>
      <c r="H1074" s="15" t="s">
        <v>2170</v>
      </c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27"/>
      <c r="U1074" s="16"/>
      <c r="V1074" s="13"/>
      <c r="W1074" s="13"/>
    </row>
    <row r="1075" spans="1:23" ht="89.25" x14ac:dyDescent="0.25">
      <c r="A1075" s="17">
        <f t="shared" ca="1" si="156"/>
        <v>1071</v>
      </c>
      <c r="B1075" s="18" t="s">
        <v>1453</v>
      </c>
      <c r="C1075" s="18" t="s">
        <v>2171</v>
      </c>
      <c r="D1075" s="18"/>
      <c r="E1075" s="18"/>
      <c r="F1075" s="18"/>
      <c r="G1075" s="18"/>
      <c r="H1075" s="19" t="s">
        <v>2172</v>
      </c>
      <c r="I1075" s="18" t="s">
        <v>161</v>
      </c>
      <c r="J1075" s="20">
        <v>1</v>
      </c>
      <c r="K1075" s="20">
        <v>1.1499999999999999</v>
      </c>
      <c r="L1075" s="21" t="s">
        <v>28</v>
      </c>
      <c r="M1075" s="22">
        <v>0.82400000000000007</v>
      </c>
      <c r="N1075" s="22">
        <v>0.41369999999999996</v>
      </c>
      <c r="O1075" s="22">
        <v>1052.3689999999999</v>
      </c>
      <c r="P1075" s="22">
        <f t="shared" si="152"/>
        <v>997.22486439999989</v>
      </c>
      <c r="Q1075" s="22">
        <v>2757.7041798239825</v>
      </c>
      <c r="R1075" s="22">
        <f t="shared" si="153"/>
        <v>1311.9915520721586</v>
      </c>
      <c r="S1075" s="22">
        <f t="shared" si="154"/>
        <v>2309.2164164721585</v>
      </c>
      <c r="T1075" s="23">
        <v>0.55859868298040061</v>
      </c>
      <c r="U1075" s="24">
        <v>0.1</v>
      </c>
      <c r="V1075" s="25">
        <f t="shared" ref="V1075:V1088" si="160">S1075+S1075*T1075+(S1075+S1075*T1075)*U1075</f>
        <v>3959.055831973249</v>
      </c>
      <c r="W1075" s="26" t="s">
        <v>29</v>
      </c>
    </row>
    <row r="1076" spans="1:23" ht="89.25" x14ac:dyDescent="0.25">
      <c r="A1076" s="17">
        <f t="shared" ca="1" si="156"/>
        <v>1072</v>
      </c>
      <c r="B1076" s="18" t="s">
        <v>1453</v>
      </c>
      <c r="C1076" s="18" t="s">
        <v>2173</v>
      </c>
      <c r="D1076" s="18"/>
      <c r="E1076" s="18"/>
      <c r="F1076" s="18"/>
      <c r="G1076" s="18"/>
      <c r="H1076" s="19" t="s">
        <v>2174</v>
      </c>
      <c r="I1076" s="18" t="s">
        <v>161</v>
      </c>
      <c r="J1076" s="20">
        <v>1</v>
      </c>
      <c r="K1076" s="20">
        <v>1.1499999999999999</v>
      </c>
      <c r="L1076" s="21" t="s">
        <v>28</v>
      </c>
      <c r="M1076" s="22">
        <v>1.6480000000000001</v>
      </c>
      <c r="N1076" s="22">
        <v>0.66079999999999994</v>
      </c>
      <c r="O1076" s="22">
        <v>1052.3689999999999</v>
      </c>
      <c r="P1076" s="22">
        <f t="shared" si="152"/>
        <v>1994.4497287999998</v>
      </c>
      <c r="Q1076" s="22">
        <v>2757.7041798239825</v>
      </c>
      <c r="R1076" s="22">
        <f t="shared" si="153"/>
        <v>2095.6345603318405</v>
      </c>
      <c r="S1076" s="22">
        <f t="shared" si="154"/>
        <v>4090.0842891318403</v>
      </c>
      <c r="T1076" s="23">
        <v>0.55859868298040061</v>
      </c>
      <c r="U1076" s="24">
        <v>0.1</v>
      </c>
      <c r="V1076" s="25">
        <f t="shared" si="160"/>
        <v>7012.2799849516859</v>
      </c>
      <c r="W1076" s="26" t="s">
        <v>29</v>
      </c>
    </row>
    <row r="1077" spans="1:23" ht="89.25" x14ac:dyDescent="0.25">
      <c r="A1077" s="17">
        <f t="shared" ca="1" si="156"/>
        <v>1073</v>
      </c>
      <c r="B1077" s="18" t="s">
        <v>1453</v>
      </c>
      <c r="C1077" s="18" t="s">
        <v>2175</v>
      </c>
      <c r="D1077" s="18"/>
      <c r="E1077" s="18"/>
      <c r="F1077" s="18"/>
      <c r="G1077" s="18"/>
      <c r="H1077" s="19" t="s">
        <v>2176</v>
      </c>
      <c r="I1077" s="18" t="s">
        <v>161</v>
      </c>
      <c r="J1077" s="20">
        <v>1</v>
      </c>
      <c r="K1077" s="20">
        <v>1.1499999999999999</v>
      </c>
      <c r="L1077" s="21" t="s">
        <v>28</v>
      </c>
      <c r="M1077" s="22">
        <v>1.6480000000000001</v>
      </c>
      <c r="N1077" s="22">
        <v>1.0647</v>
      </c>
      <c r="O1077" s="22">
        <v>1052.3689999999999</v>
      </c>
      <c r="P1077" s="22">
        <f t="shared" si="152"/>
        <v>1994.4497287999998</v>
      </c>
      <c r="Q1077" s="22">
        <v>2757.7041798239825</v>
      </c>
      <c r="R1077" s="22">
        <f t="shared" si="153"/>
        <v>3376.5467862973828</v>
      </c>
      <c r="S1077" s="22">
        <f t="shared" si="154"/>
        <v>5370.9965150973821</v>
      </c>
      <c r="T1077" s="23">
        <v>0.55859868298040061</v>
      </c>
      <c r="U1077" s="24">
        <v>0.1</v>
      </c>
      <c r="V1077" s="25">
        <f t="shared" si="160"/>
        <v>9208.3509041954112</v>
      </c>
      <c r="W1077" s="26" t="s">
        <v>29</v>
      </c>
    </row>
    <row r="1078" spans="1:23" ht="89.25" x14ac:dyDescent="0.25">
      <c r="A1078" s="17">
        <f t="shared" ca="1" si="156"/>
        <v>1074</v>
      </c>
      <c r="B1078" s="18" t="s">
        <v>1453</v>
      </c>
      <c r="C1078" s="18" t="s">
        <v>2177</v>
      </c>
      <c r="D1078" s="18"/>
      <c r="E1078" s="18"/>
      <c r="F1078" s="18"/>
      <c r="G1078" s="18"/>
      <c r="H1078" s="19" t="s">
        <v>2178</v>
      </c>
      <c r="I1078" s="18" t="s">
        <v>161</v>
      </c>
      <c r="J1078" s="20">
        <v>1</v>
      </c>
      <c r="K1078" s="20">
        <v>1.1499999999999999</v>
      </c>
      <c r="L1078" s="21" t="s">
        <v>28</v>
      </c>
      <c r="M1078" s="22">
        <v>2.472</v>
      </c>
      <c r="N1078" s="22">
        <v>1.5266999999999999</v>
      </c>
      <c r="O1078" s="22">
        <v>1052.3689999999999</v>
      </c>
      <c r="P1078" s="22">
        <f t="shared" si="152"/>
        <v>2991.6745931999994</v>
      </c>
      <c r="Q1078" s="22">
        <v>2757.7041798239825</v>
      </c>
      <c r="R1078" s="22">
        <f t="shared" si="153"/>
        <v>4841.7150170378645</v>
      </c>
      <c r="S1078" s="22">
        <f t="shared" si="154"/>
        <v>7833.389610237864</v>
      </c>
      <c r="T1078" s="23">
        <v>0.55859868298040061</v>
      </c>
      <c r="U1078" s="24">
        <v>0.1</v>
      </c>
      <c r="V1078" s="25">
        <f t="shared" si="160"/>
        <v>13430.021802767997</v>
      </c>
      <c r="W1078" s="26" t="s">
        <v>29</v>
      </c>
    </row>
    <row r="1079" spans="1:23" ht="89.25" x14ac:dyDescent="0.25">
      <c r="A1079" s="17">
        <f t="shared" ca="1" si="156"/>
        <v>1075</v>
      </c>
      <c r="B1079" s="18" t="s">
        <v>1453</v>
      </c>
      <c r="C1079" s="18" t="s">
        <v>2179</v>
      </c>
      <c r="D1079" s="18"/>
      <c r="E1079" s="18"/>
      <c r="F1079" s="18"/>
      <c r="G1079" s="18"/>
      <c r="H1079" s="19" t="s">
        <v>2180</v>
      </c>
      <c r="I1079" s="18" t="s">
        <v>161</v>
      </c>
      <c r="J1079" s="20">
        <v>1</v>
      </c>
      <c r="K1079" s="20">
        <v>1.1499999999999999</v>
      </c>
      <c r="L1079" s="21" t="s">
        <v>28</v>
      </c>
      <c r="M1079" s="22">
        <v>2.472</v>
      </c>
      <c r="N1079" s="22">
        <v>1.5266999999999999</v>
      </c>
      <c r="O1079" s="22">
        <v>1052.3689999999999</v>
      </c>
      <c r="P1079" s="22">
        <f t="shared" si="152"/>
        <v>2991.6745931999994</v>
      </c>
      <c r="Q1079" s="22">
        <v>2757.7041798239825</v>
      </c>
      <c r="R1079" s="22">
        <f t="shared" si="153"/>
        <v>4841.7150170378645</v>
      </c>
      <c r="S1079" s="22">
        <f t="shared" si="154"/>
        <v>7833.389610237864</v>
      </c>
      <c r="T1079" s="23">
        <v>0.55859868298040061</v>
      </c>
      <c r="U1079" s="24">
        <v>0.1</v>
      </c>
      <c r="V1079" s="25">
        <f t="shared" si="160"/>
        <v>13430.021802767997</v>
      </c>
      <c r="W1079" s="26" t="s">
        <v>29</v>
      </c>
    </row>
    <row r="1080" spans="1:23" ht="89.25" x14ac:dyDescent="0.25">
      <c r="A1080" s="17">
        <f t="shared" ca="1" si="156"/>
        <v>1076</v>
      </c>
      <c r="B1080" s="18" t="s">
        <v>1453</v>
      </c>
      <c r="C1080" s="18" t="s">
        <v>2181</v>
      </c>
      <c r="D1080" s="18"/>
      <c r="E1080" s="18"/>
      <c r="F1080" s="18"/>
      <c r="G1080" s="18"/>
      <c r="H1080" s="19" t="s">
        <v>2182</v>
      </c>
      <c r="I1080" s="18" t="s">
        <v>161</v>
      </c>
      <c r="J1080" s="20">
        <v>1</v>
      </c>
      <c r="K1080" s="20">
        <v>1.1499999999999999</v>
      </c>
      <c r="L1080" s="21" t="s">
        <v>28</v>
      </c>
      <c r="M1080" s="22">
        <v>4.6456223999999997</v>
      </c>
      <c r="N1080" s="22">
        <v>0.18788399</v>
      </c>
      <c r="O1080" s="22">
        <v>1052.3689999999999</v>
      </c>
      <c r="P1080" s="22">
        <f t="shared" si="152"/>
        <v>5622.2453493854391</v>
      </c>
      <c r="Q1080" s="22">
        <v>2757.7041798239825</v>
      </c>
      <c r="R1080" s="22">
        <f t="shared" si="153"/>
        <v>595.84773422675835</v>
      </c>
      <c r="S1080" s="22">
        <f t="shared" si="154"/>
        <v>6218.093083612197</v>
      </c>
      <c r="T1080" s="23">
        <v>0.55859868298040061</v>
      </c>
      <c r="U1080" s="24">
        <v>0.1</v>
      </c>
      <c r="V1080" s="25">
        <f t="shared" si="160"/>
        <v>10660.662859844258</v>
      </c>
      <c r="W1080" s="26" t="s">
        <v>29</v>
      </c>
    </row>
    <row r="1081" spans="1:23" ht="89.25" x14ac:dyDescent="0.25">
      <c r="A1081" s="17">
        <f t="shared" ca="1" si="156"/>
        <v>1077</v>
      </c>
      <c r="B1081" s="18" t="s">
        <v>1453</v>
      </c>
      <c r="C1081" s="18" t="s">
        <v>2183</v>
      </c>
      <c r="D1081" s="18"/>
      <c r="E1081" s="18"/>
      <c r="F1081" s="18"/>
      <c r="G1081" s="18"/>
      <c r="H1081" s="19" t="s">
        <v>2184</v>
      </c>
      <c r="I1081" s="18" t="s">
        <v>161</v>
      </c>
      <c r="J1081" s="20">
        <v>1</v>
      </c>
      <c r="K1081" s="20">
        <v>1.1499999999999999</v>
      </c>
      <c r="L1081" s="21" t="s">
        <v>28</v>
      </c>
      <c r="M1081" s="22">
        <v>14.676064</v>
      </c>
      <c r="N1081" s="22">
        <v>0.18788399</v>
      </c>
      <c r="O1081" s="22">
        <v>1052.3689999999999</v>
      </c>
      <c r="P1081" s="22">
        <f t="shared" si="152"/>
        <v>17761.330014958396</v>
      </c>
      <c r="Q1081" s="22">
        <v>2757.7041798239825</v>
      </c>
      <c r="R1081" s="22">
        <f t="shared" si="153"/>
        <v>595.84773422675835</v>
      </c>
      <c r="S1081" s="22">
        <f t="shared" si="154"/>
        <v>18357.177749185154</v>
      </c>
      <c r="T1081" s="23">
        <v>0.55859868298040061</v>
      </c>
      <c r="U1081" s="24">
        <v>0.1</v>
      </c>
      <c r="V1081" s="25">
        <f t="shared" si="160"/>
        <v>31472.620369428805</v>
      </c>
      <c r="W1081" s="26" t="s">
        <v>29</v>
      </c>
    </row>
    <row r="1082" spans="1:23" ht="89.25" x14ac:dyDescent="0.25">
      <c r="A1082" s="17">
        <f t="shared" ca="1" si="156"/>
        <v>1078</v>
      </c>
      <c r="B1082" s="18" t="s">
        <v>1453</v>
      </c>
      <c r="C1082" s="18" t="s">
        <v>2185</v>
      </c>
      <c r="D1082" s="18"/>
      <c r="E1082" s="18"/>
      <c r="F1082" s="18"/>
      <c r="G1082" s="18"/>
      <c r="H1082" s="19" t="s">
        <v>2186</v>
      </c>
      <c r="I1082" s="18" t="s">
        <v>161</v>
      </c>
      <c r="J1082" s="20">
        <v>1</v>
      </c>
      <c r="K1082" s="20">
        <v>1.1499999999999999</v>
      </c>
      <c r="L1082" s="21" t="s">
        <v>28</v>
      </c>
      <c r="M1082" s="22">
        <v>14.719307200000001</v>
      </c>
      <c r="N1082" s="22">
        <v>0.42588847000000007</v>
      </c>
      <c r="O1082" s="22">
        <v>1052.3689999999999</v>
      </c>
      <c r="P1082" s="22">
        <f t="shared" si="152"/>
        <v>17813.663988570319</v>
      </c>
      <c r="Q1082" s="22">
        <v>2757.7041798239825</v>
      </c>
      <c r="R1082" s="22">
        <f t="shared" si="153"/>
        <v>1350.6455759365169</v>
      </c>
      <c r="S1082" s="22">
        <f t="shared" si="154"/>
        <v>19164.309564506835</v>
      </c>
      <c r="T1082" s="23">
        <v>0.55859868298040061</v>
      </c>
      <c r="U1082" s="24">
        <v>0.1</v>
      </c>
      <c r="V1082" s="25">
        <f t="shared" si="160"/>
        <v>32856.414412215956</v>
      </c>
      <c r="W1082" s="26" t="s">
        <v>29</v>
      </c>
    </row>
    <row r="1083" spans="1:23" ht="89.25" x14ac:dyDescent="0.25">
      <c r="A1083" s="17">
        <f t="shared" ca="1" si="156"/>
        <v>1079</v>
      </c>
      <c r="B1083" s="18" t="s">
        <v>1453</v>
      </c>
      <c r="C1083" s="18" t="s">
        <v>2187</v>
      </c>
      <c r="D1083" s="18"/>
      <c r="E1083" s="18"/>
      <c r="F1083" s="18"/>
      <c r="G1083" s="18"/>
      <c r="H1083" s="19" t="s">
        <v>2188</v>
      </c>
      <c r="I1083" s="18" t="s">
        <v>161</v>
      </c>
      <c r="J1083" s="20">
        <v>1</v>
      </c>
      <c r="K1083" s="20">
        <v>1.1499999999999999</v>
      </c>
      <c r="L1083" s="21" t="s">
        <v>28</v>
      </c>
      <c r="M1083" s="22">
        <v>14.719422399999999</v>
      </c>
      <c r="N1083" s="22">
        <v>0.42589063999999999</v>
      </c>
      <c r="O1083" s="22">
        <v>1052.3689999999999</v>
      </c>
      <c r="P1083" s="22">
        <f t="shared" si="152"/>
        <v>17813.803406415434</v>
      </c>
      <c r="Q1083" s="22">
        <v>2757.7041798239825</v>
      </c>
      <c r="R1083" s="22">
        <f t="shared" si="153"/>
        <v>1350.6524577872974</v>
      </c>
      <c r="S1083" s="22">
        <f t="shared" si="154"/>
        <v>19164.455864202733</v>
      </c>
      <c r="T1083" s="23">
        <v>0.55859868298040061</v>
      </c>
      <c r="U1083" s="24">
        <v>0.1</v>
      </c>
      <c r="V1083" s="25">
        <f t="shared" si="160"/>
        <v>32856.665236980632</v>
      </c>
      <c r="W1083" s="26" t="s">
        <v>29</v>
      </c>
    </row>
    <row r="1084" spans="1:23" ht="89.25" x14ac:dyDescent="0.25">
      <c r="A1084" s="17">
        <f t="shared" ca="1" si="156"/>
        <v>1080</v>
      </c>
      <c r="B1084" s="18" t="s">
        <v>1453</v>
      </c>
      <c r="C1084" s="18" t="s">
        <v>2189</v>
      </c>
      <c r="D1084" s="18"/>
      <c r="E1084" s="18"/>
      <c r="F1084" s="18"/>
      <c r="G1084" s="18"/>
      <c r="H1084" s="19" t="s">
        <v>2190</v>
      </c>
      <c r="I1084" s="18" t="s">
        <v>161</v>
      </c>
      <c r="J1084" s="20">
        <v>1</v>
      </c>
      <c r="K1084" s="20">
        <v>1.1499999999999999</v>
      </c>
      <c r="L1084" s="21" t="s">
        <v>28</v>
      </c>
      <c r="M1084" s="22">
        <v>14.719523200000001</v>
      </c>
      <c r="N1084" s="22">
        <v>0.42589344000000001</v>
      </c>
      <c r="O1084" s="22">
        <v>1052.3689999999999</v>
      </c>
      <c r="P1084" s="22">
        <f t="shared" si="152"/>
        <v>17813.925397029918</v>
      </c>
      <c r="Q1084" s="22">
        <v>2757.7041798239825</v>
      </c>
      <c r="R1084" s="22">
        <f t="shared" si="153"/>
        <v>1350.6613375947566</v>
      </c>
      <c r="S1084" s="22">
        <f t="shared" si="154"/>
        <v>19164.586734624674</v>
      </c>
      <c r="T1084" s="23">
        <v>0.55859868298040061</v>
      </c>
      <c r="U1084" s="24">
        <v>0.1</v>
      </c>
      <c r="V1084" s="25">
        <f t="shared" si="160"/>
        <v>32856.889608894642</v>
      </c>
      <c r="W1084" s="26" t="s">
        <v>29</v>
      </c>
    </row>
    <row r="1085" spans="1:23" ht="89.25" x14ac:dyDescent="0.25">
      <c r="A1085" s="17">
        <f t="shared" ca="1" si="156"/>
        <v>1081</v>
      </c>
      <c r="B1085" s="18" t="s">
        <v>1453</v>
      </c>
      <c r="C1085" s="18" t="s">
        <v>2191</v>
      </c>
      <c r="D1085" s="18"/>
      <c r="E1085" s="18"/>
      <c r="F1085" s="18"/>
      <c r="G1085" s="18"/>
      <c r="H1085" s="19" t="s">
        <v>2192</v>
      </c>
      <c r="I1085" s="18" t="s">
        <v>161</v>
      </c>
      <c r="J1085" s="20">
        <v>1</v>
      </c>
      <c r="K1085" s="20">
        <v>1.1499999999999999</v>
      </c>
      <c r="L1085" s="21" t="s">
        <v>28</v>
      </c>
      <c r="M1085" s="22">
        <v>6.6872000000000007</v>
      </c>
      <c r="N1085" s="22">
        <v>4.0776399999999997E-2</v>
      </c>
      <c r="O1085" s="22">
        <v>1052.3689999999999</v>
      </c>
      <c r="P1085" s="22">
        <f t="shared" si="152"/>
        <v>8093.0122733199996</v>
      </c>
      <c r="Q1085" s="22">
        <v>2757.7041798239825</v>
      </c>
      <c r="R1085" s="22">
        <f t="shared" si="153"/>
        <v>129.31663602590081</v>
      </c>
      <c r="S1085" s="22">
        <f t="shared" si="154"/>
        <v>8222.3289093459007</v>
      </c>
      <c r="T1085" s="23">
        <v>0.55859868298040061</v>
      </c>
      <c r="U1085" s="24">
        <v>0.1</v>
      </c>
      <c r="V1085" s="25">
        <f t="shared" si="160"/>
        <v>14096.842110052014</v>
      </c>
      <c r="W1085" s="26" t="s">
        <v>29</v>
      </c>
    </row>
    <row r="1086" spans="1:23" ht="89.25" x14ac:dyDescent="0.25">
      <c r="A1086" s="17">
        <f t="shared" ca="1" si="156"/>
        <v>1082</v>
      </c>
      <c r="B1086" s="18" t="s">
        <v>1453</v>
      </c>
      <c r="C1086" s="18" t="s">
        <v>2193</v>
      </c>
      <c r="D1086" s="18"/>
      <c r="E1086" s="18"/>
      <c r="F1086" s="18"/>
      <c r="G1086" s="18"/>
      <c r="H1086" s="19" t="s">
        <v>2194</v>
      </c>
      <c r="I1086" s="18" t="s">
        <v>115</v>
      </c>
      <c r="J1086" s="20">
        <v>1</v>
      </c>
      <c r="K1086" s="20">
        <v>1.1499999999999999</v>
      </c>
      <c r="L1086" s="21" t="s">
        <v>28</v>
      </c>
      <c r="M1086" s="22">
        <v>21.647200000000002</v>
      </c>
      <c r="N1086" s="22">
        <v>8.5315999999999992</v>
      </c>
      <c r="O1086" s="22">
        <v>1052.3689999999999</v>
      </c>
      <c r="P1086" s="22">
        <f t="shared" si="152"/>
        <v>26197.968549319998</v>
      </c>
      <c r="Q1086" s="22">
        <v>2757.7041798239825</v>
      </c>
      <c r="R1086" s="22">
        <f t="shared" si="153"/>
        <v>27056.773327674229</v>
      </c>
      <c r="S1086" s="22">
        <f t="shared" si="154"/>
        <v>53254.741876994231</v>
      </c>
      <c r="T1086" s="23">
        <v>0.55859868298040061</v>
      </c>
      <c r="U1086" s="24">
        <v>0.1</v>
      </c>
      <c r="V1086" s="25">
        <f t="shared" si="160"/>
        <v>91303.04760713884</v>
      </c>
      <c r="W1086" s="26" t="s">
        <v>29</v>
      </c>
    </row>
    <row r="1087" spans="1:23" ht="89.25" x14ac:dyDescent="0.25">
      <c r="A1087" s="17">
        <f t="shared" ca="1" si="156"/>
        <v>1083</v>
      </c>
      <c r="B1087" s="18" t="s">
        <v>1453</v>
      </c>
      <c r="C1087" s="18" t="s">
        <v>2195</v>
      </c>
      <c r="D1087" s="18"/>
      <c r="E1087" s="18"/>
      <c r="F1087" s="18"/>
      <c r="G1087" s="18"/>
      <c r="H1087" s="19" t="s">
        <v>2196</v>
      </c>
      <c r="I1087" s="18" t="s">
        <v>161</v>
      </c>
      <c r="J1087" s="20">
        <v>1</v>
      </c>
      <c r="K1087" s="20">
        <v>1.1499999999999999</v>
      </c>
      <c r="L1087" s="21" t="s">
        <v>28</v>
      </c>
      <c r="M1087" s="22">
        <v>1.6080000000000003</v>
      </c>
      <c r="N1087" s="22">
        <v>2.7999999999999997E-2</v>
      </c>
      <c r="O1087" s="22">
        <v>1052.3689999999999</v>
      </c>
      <c r="P1087" s="22">
        <f t="shared" si="152"/>
        <v>1946.0407548000003</v>
      </c>
      <c r="Q1087" s="22">
        <v>2757.7041798239825</v>
      </c>
      <c r="R1087" s="22">
        <f t="shared" si="153"/>
        <v>88.79807459033222</v>
      </c>
      <c r="S1087" s="22">
        <f t="shared" si="154"/>
        <v>2034.8388293903324</v>
      </c>
      <c r="T1087" s="23">
        <v>0.55859868298040061</v>
      </c>
      <c r="U1087" s="24">
        <v>0.1</v>
      </c>
      <c r="V1087" s="25">
        <f t="shared" si="160"/>
        <v>3488.6468315216675</v>
      </c>
      <c r="W1087" s="26" t="s">
        <v>29</v>
      </c>
    </row>
    <row r="1088" spans="1:23" ht="89.25" x14ac:dyDescent="0.25">
      <c r="A1088" s="17">
        <f t="shared" ca="1" si="156"/>
        <v>1084</v>
      </c>
      <c r="B1088" s="18" t="s">
        <v>1453</v>
      </c>
      <c r="C1088" s="18" t="s">
        <v>2197</v>
      </c>
      <c r="D1088" s="18"/>
      <c r="E1088" s="18"/>
      <c r="F1088" s="18"/>
      <c r="G1088" s="18"/>
      <c r="H1088" s="19" t="s">
        <v>2198</v>
      </c>
      <c r="I1088" s="18" t="s">
        <v>161</v>
      </c>
      <c r="J1088" s="20">
        <v>1</v>
      </c>
      <c r="K1088" s="20">
        <v>1.1499999999999999</v>
      </c>
      <c r="L1088" s="21" t="s">
        <v>28</v>
      </c>
      <c r="M1088" s="22">
        <v>1.3920000000000001</v>
      </c>
      <c r="N1088" s="22">
        <v>2.0999999999999998E-2</v>
      </c>
      <c r="O1088" s="22">
        <v>1052.3689999999999</v>
      </c>
      <c r="P1088" s="22">
        <f t="shared" ref="P1088:P1151" si="161">O1088*M1088*K1088</f>
        <v>1684.6322952</v>
      </c>
      <c r="Q1088" s="22">
        <v>2757.7041798239825</v>
      </c>
      <c r="R1088" s="22">
        <f t="shared" ref="R1088:R1151" si="162">N1088*Q1088*K1088</f>
        <v>66.598555942749158</v>
      </c>
      <c r="S1088" s="22">
        <f t="shared" ref="S1088:S1151" si="163">P1088+R1088</f>
        <v>1751.2308511427491</v>
      </c>
      <c r="T1088" s="23">
        <v>0.55859868298040061</v>
      </c>
      <c r="U1088" s="24">
        <v>0.1</v>
      </c>
      <c r="V1088" s="25">
        <f t="shared" si="160"/>
        <v>3002.4127080043081</v>
      </c>
      <c r="W1088" s="26" t="s">
        <v>29</v>
      </c>
    </row>
    <row r="1089" spans="1:23" x14ac:dyDescent="0.25">
      <c r="A1089" s="12">
        <f t="shared" ca="1" si="156"/>
        <v>1085</v>
      </c>
      <c r="B1089" s="13" t="s">
        <v>1453</v>
      </c>
      <c r="C1089" s="13" t="s">
        <v>2199</v>
      </c>
      <c r="D1089" s="13"/>
      <c r="E1089" s="13"/>
      <c r="F1089" s="13"/>
      <c r="G1089" s="13"/>
      <c r="H1089" s="15" t="s">
        <v>2200</v>
      </c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27"/>
      <c r="U1089" s="16"/>
      <c r="V1089" s="13"/>
      <c r="W1089" s="13"/>
    </row>
    <row r="1090" spans="1:23" ht="89.25" x14ac:dyDescent="0.25">
      <c r="A1090" s="17">
        <f t="shared" ca="1" si="156"/>
        <v>1086</v>
      </c>
      <c r="B1090" s="18" t="s">
        <v>1453</v>
      </c>
      <c r="C1090" s="18" t="s">
        <v>2201</v>
      </c>
      <c r="D1090" s="18"/>
      <c r="E1090" s="18"/>
      <c r="F1090" s="18"/>
      <c r="G1090" s="18"/>
      <c r="H1090" s="19" t="s">
        <v>2202</v>
      </c>
      <c r="I1090" s="18" t="s">
        <v>161</v>
      </c>
      <c r="J1090" s="20">
        <v>1</v>
      </c>
      <c r="K1090" s="20">
        <v>1.1499999999999999</v>
      </c>
      <c r="L1090" s="21" t="s">
        <v>28</v>
      </c>
      <c r="M1090" s="22">
        <v>7.7030999999999992</v>
      </c>
      <c r="N1090" s="22">
        <v>5.6000000000000008E-3</v>
      </c>
      <c r="O1090" s="22">
        <v>1052.3689999999999</v>
      </c>
      <c r="P1090" s="22">
        <f t="shared" si="161"/>
        <v>9322.4791904849972</v>
      </c>
      <c r="Q1090" s="22">
        <v>2757.7041798239825</v>
      </c>
      <c r="R1090" s="22">
        <f t="shared" si="162"/>
        <v>17.759614918066447</v>
      </c>
      <c r="S1090" s="22">
        <f t="shared" si="163"/>
        <v>9340.2388054030635</v>
      </c>
      <c r="T1090" s="23">
        <v>0.55859868298040061</v>
      </c>
      <c r="U1090" s="24">
        <v>0.1</v>
      </c>
      <c r="V1090" s="25">
        <f t="shared" ref="V1090:V1105" si="164">S1090+S1090*T1090+(S1090+S1090*T1090)*U1090</f>
        <v>16013.452290906011</v>
      </c>
      <c r="W1090" s="26" t="s">
        <v>29</v>
      </c>
    </row>
    <row r="1091" spans="1:23" ht="89.25" x14ac:dyDescent="0.25">
      <c r="A1091" s="17">
        <f t="shared" ref="A1091:A1154" ca="1" si="165">CELL("строка",A1091)-4</f>
        <v>1087</v>
      </c>
      <c r="B1091" s="18" t="s">
        <v>1453</v>
      </c>
      <c r="C1091" s="18" t="s">
        <v>2203</v>
      </c>
      <c r="D1091" s="18"/>
      <c r="E1091" s="18"/>
      <c r="F1091" s="18"/>
      <c r="G1091" s="18"/>
      <c r="H1091" s="19" t="s">
        <v>2204</v>
      </c>
      <c r="I1091" s="18" t="s">
        <v>161</v>
      </c>
      <c r="J1091" s="20">
        <v>1</v>
      </c>
      <c r="K1091" s="20">
        <v>1.1499999999999999</v>
      </c>
      <c r="L1091" s="21" t="s">
        <v>28</v>
      </c>
      <c r="M1091" s="22">
        <v>12.383100000000001</v>
      </c>
      <c r="N1091" s="22">
        <v>1.7751999999999999</v>
      </c>
      <c r="O1091" s="22">
        <v>1052.3689999999999</v>
      </c>
      <c r="P1091" s="22">
        <f t="shared" si="161"/>
        <v>14986.329148484998</v>
      </c>
      <c r="Q1091" s="22">
        <v>2757.7041798239825</v>
      </c>
      <c r="R1091" s="22">
        <f t="shared" si="162"/>
        <v>5629.7979290270623</v>
      </c>
      <c r="S1091" s="22">
        <f t="shared" si="163"/>
        <v>20616.127077512061</v>
      </c>
      <c r="T1091" s="23">
        <v>0.55859868298040061</v>
      </c>
      <c r="U1091" s="24">
        <v>0.1</v>
      </c>
      <c r="V1091" s="25">
        <f t="shared" si="164"/>
        <v>35345.49536228356</v>
      </c>
      <c r="W1091" s="26" t="s">
        <v>29</v>
      </c>
    </row>
    <row r="1092" spans="1:23" ht="89.25" x14ac:dyDescent="0.25">
      <c r="A1092" s="17">
        <f t="shared" ca="1" si="165"/>
        <v>1088</v>
      </c>
      <c r="B1092" s="18" t="s">
        <v>1453</v>
      </c>
      <c r="C1092" s="18" t="s">
        <v>2205</v>
      </c>
      <c r="D1092" s="18"/>
      <c r="E1092" s="18"/>
      <c r="F1092" s="18"/>
      <c r="G1092" s="18"/>
      <c r="H1092" s="19" t="s">
        <v>2206</v>
      </c>
      <c r="I1092" s="18" t="s">
        <v>161</v>
      </c>
      <c r="J1092" s="20">
        <v>1</v>
      </c>
      <c r="K1092" s="20">
        <v>1.1499999999999999</v>
      </c>
      <c r="L1092" s="21" t="s">
        <v>28</v>
      </c>
      <c r="M1092" s="22">
        <v>15.173100000000002</v>
      </c>
      <c r="N1092" s="22">
        <v>2.1623999999999999</v>
      </c>
      <c r="O1092" s="22">
        <v>1052.3689999999999</v>
      </c>
      <c r="P1092" s="22">
        <f t="shared" si="161"/>
        <v>18362.855084985</v>
      </c>
      <c r="Q1092" s="22">
        <v>2757.7041798239825</v>
      </c>
      <c r="R1092" s="22">
        <f t="shared" si="162"/>
        <v>6857.748446219086</v>
      </c>
      <c r="S1092" s="22">
        <f t="shared" si="163"/>
        <v>25220.603531204084</v>
      </c>
      <c r="T1092" s="23">
        <v>0.55859868298040061</v>
      </c>
      <c r="U1092" s="24">
        <v>0.1</v>
      </c>
      <c r="V1092" s="25">
        <f t="shared" si="164"/>
        <v>43239.679392476079</v>
      </c>
      <c r="W1092" s="26" t="s">
        <v>29</v>
      </c>
    </row>
    <row r="1093" spans="1:23" ht="89.25" x14ac:dyDescent="0.25">
      <c r="A1093" s="17">
        <f t="shared" ca="1" si="165"/>
        <v>1089</v>
      </c>
      <c r="B1093" s="18" t="s">
        <v>1453</v>
      </c>
      <c r="C1093" s="18" t="s">
        <v>2207</v>
      </c>
      <c r="D1093" s="18"/>
      <c r="E1093" s="18"/>
      <c r="F1093" s="18"/>
      <c r="G1093" s="18"/>
      <c r="H1093" s="19" t="s">
        <v>2208</v>
      </c>
      <c r="I1093" s="18" t="s">
        <v>161</v>
      </c>
      <c r="J1093" s="20">
        <v>1</v>
      </c>
      <c r="K1093" s="20">
        <v>1.1499999999999999</v>
      </c>
      <c r="L1093" s="21" t="s">
        <v>28</v>
      </c>
      <c r="M1093" s="22">
        <v>0.87200000000000011</v>
      </c>
      <c r="N1093" s="22">
        <v>7.2449999999999997E-3</v>
      </c>
      <c r="O1093" s="22">
        <v>1052.3689999999999</v>
      </c>
      <c r="P1093" s="22">
        <f t="shared" si="161"/>
        <v>1055.3156332000001</v>
      </c>
      <c r="Q1093" s="22">
        <v>2757.7041798239825</v>
      </c>
      <c r="R1093" s="22">
        <f t="shared" si="162"/>
        <v>22.97650180024846</v>
      </c>
      <c r="S1093" s="22">
        <f t="shared" si="163"/>
        <v>1078.2921350002487</v>
      </c>
      <c r="T1093" s="23">
        <v>0.55859868298040061</v>
      </c>
      <c r="U1093" s="24">
        <v>0.1</v>
      </c>
      <c r="V1093" s="25">
        <f t="shared" si="164"/>
        <v>1848.6871716274632</v>
      </c>
      <c r="W1093" s="26" t="s">
        <v>29</v>
      </c>
    </row>
    <row r="1094" spans="1:23" ht="89.25" x14ac:dyDescent="0.25">
      <c r="A1094" s="17">
        <f t="shared" ca="1" si="165"/>
        <v>1090</v>
      </c>
      <c r="B1094" s="18" t="s">
        <v>1453</v>
      </c>
      <c r="C1094" s="18" t="s">
        <v>2209</v>
      </c>
      <c r="D1094" s="18"/>
      <c r="E1094" s="18"/>
      <c r="F1094" s="18"/>
      <c r="G1094" s="18"/>
      <c r="H1094" s="19" t="s">
        <v>2210</v>
      </c>
      <c r="I1094" s="18" t="s">
        <v>161</v>
      </c>
      <c r="J1094" s="20">
        <v>1</v>
      </c>
      <c r="K1094" s="20">
        <v>1.1499999999999999</v>
      </c>
      <c r="L1094" s="21" t="s">
        <v>28</v>
      </c>
      <c r="M1094" s="22">
        <v>0.87200000000000011</v>
      </c>
      <c r="N1094" s="22">
        <v>7.2449999999999997E-3</v>
      </c>
      <c r="O1094" s="22">
        <v>1052.3689999999999</v>
      </c>
      <c r="P1094" s="22">
        <f t="shared" si="161"/>
        <v>1055.3156332000001</v>
      </c>
      <c r="Q1094" s="22">
        <v>2757.7041798239825</v>
      </c>
      <c r="R1094" s="22">
        <f t="shared" si="162"/>
        <v>22.97650180024846</v>
      </c>
      <c r="S1094" s="22">
        <f t="shared" si="163"/>
        <v>1078.2921350002487</v>
      </c>
      <c r="T1094" s="23">
        <v>0.55859868298040061</v>
      </c>
      <c r="U1094" s="24">
        <v>0.1</v>
      </c>
      <c r="V1094" s="25">
        <f t="shared" si="164"/>
        <v>1848.6871716274632</v>
      </c>
      <c r="W1094" s="26" t="s">
        <v>29</v>
      </c>
    </row>
    <row r="1095" spans="1:23" ht="89.25" x14ac:dyDescent="0.25">
      <c r="A1095" s="17">
        <f t="shared" ca="1" si="165"/>
        <v>1091</v>
      </c>
      <c r="B1095" s="18" t="s">
        <v>1453</v>
      </c>
      <c r="C1095" s="18" t="s">
        <v>2211</v>
      </c>
      <c r="D1095" s="18"/>
      <c r="E1095" s="18"/>
      <c r="F1095" s="18"/>
      <c r="G1095" s="18"/>
      <c r="H1095" s="19" t="s">
        <v>2212</v>
      </c>
      <c r="I1095" s="18" t="s">
        <v>161</v>
      </c>
      <c r="J1095" s="20">
        <v>1</v>
      </c>
      <c r="K1095" s="20">
        <v>1.1499999999999999</v>
      </c>
      <c r="L1095" s="21" t="s">
        <v>28</v>
      </c>
      <c r="M1095" s="22">
        <v>0.87200000000000011</v>
      </c>
      <c r="N1095" s="22">
        <v>7.2449999999999997E-3</v>
      </c>
      <c r="O1095" s="22">
        <v>1052.3689999999999</v>
      </c>
      <c r="P1095" s="22">
        <f t="shared" si="161"/>
        <v>1055.3156332000001</v>
      </c>
      <c r="Q1095" s="22">
        <v>2757.7041798239825</v>
      </c>
      <c r="R1095" s="22">
        <f t="shared" si="162"/>
        <v>22.97650180024846</v>
      </c>
      <c r="S1095" s="22">
        <f t="shared" si="163"/>
        <v>1078.2921350002487</v>
      </c>
      <c r="T1095" s="23">
        <v>0.55859868298040061</v>
      </c>
      <c r="U1095" s="24">
        <v>0.1</v>
      </c>
      <c r="V1095" s="25">
        <f t="shared" si="164"/>
        <v>1848.6871716274632</v>
      </c>
      <c r="W1095" s="26" t="s">
        <v>29</v>
      </c>
    </row>
    <row r="1096" spans="1:23" ht="89.25" x14ac:dyDescent="0.25">
      <c r="A1096" s="17">
        <f t="shared" ca="1" si="165"/>
        <v>1092</v>
      </c>
      <c r="B1096" s="18" t="s">
        <v>1453</v>
      </c>
      <c r="C1096" s="18" t="s">
        <v>2213</v>
      </c>
      <c r="D1096" s="18"/>
      <c r="E1096" s="18"/>
      <c r="F1096" s="18"/>
      <c r="G1096" s="18"/>
      <c r="H1096" s="19" t="s">
        <v>2214</v>
      </c>
      <c r="I1096" s="18" t="s">
        <v>161</v>
      </c>
      <c r="J1096" s="20">
        <v>1</v>
      </c>
      <c r="K1096" s="20">
        <v>1.1499999999999999</v>
      </c>
      <c r="L1096" s="21" t="s">
        <v>28</v>
      </c>
      <c r="M1096" s="22">
        <v>1.6960000000000002</v>
      </c>
      <c r="N1096" s="22">
        <v>7.4899999999999993E-3</v>
      </c>
      <c r="O1096" s="22">
        <v>1052.3689999999999</v>
      </c>
      <c r="P1096" s="22">
        <f t="shared" si="161"/>
        <v>2052.5404976</v>
      </c>
      <c r="Q1096" s="22">
        <v>2757.7041798239825</v>
      </c>
      <c r="R1096" s="22">
        <f t="shared" si="162"/>
        <v>23.753484952913869</v>
      </c>
      <c r="S1096" s="22">
        <f t="shared" si="163"/>
        <v>2076.2939825529138</v>
      </c>
      <c r="T1096" s="23">
        <v>0.55859868298040061</v>
      </c>
      <c r="U1096" s="24">
        <v>0.1</v>
      </c>
      <c r="V1096" s="25">
        <f t="shared" si="164"/>
        <v>3559.7199733558127</v>
      </c>
      <c r="W1096" s="26" t="s">
        <v>29</v>
      </c>
    </row>
    <row r="1097" spans="1:23" ht="89.25" x14ac:dyDescent="0.25">
      <c r="A1097" s="17">
        <f t="shared" ca="1" si="165"/>
        <v>1093</v>
      </c>
      <c r="B1097" s="18" t="s">
        <v>1453</v>
      </c>
      <c r="C1097" s="18" t="s">
        <v>2215</v>
      </c>
      <c r="D1097" s="18"/>
      <c r="E1097" s="18"/>
      <c r="F1097" s="18"/>
      <c r="G1097" s="18"/>
      <c r="H1097" s="19" t="s">
        <v>2216</v>
      </c>
      <c r="I1097" s="18" t="s">
        <v>161</v>
      </c>
      <c r="J1097" s="20">
        <v>1</v>
      </c>
      <c r="K1097" s="20">
        <v>1.1499999999999999</v>
      </c>
      <c r="L1097" s="21" t="s">
        <v>28</v>
      </c>
      <c r="M1097" s="22">
        <v>14.8</v>
      </c>
      <c r="N1097" s="22">
        <v>1.0051999999999999</v>
      </c>
      <c r="O1097" s="22">
        <v>1052.3689999999999</v>
      </c>
      <c r="P1097" s="22">
        <f t="shared" si="161"/>
        <v>17911.320379999997</v>
      </c>
      <c r="Q1097" s="22">
        <v>2757.7041798239825</v>
      </c>
      <c r="R1097" s="22">
        <f t="shared" si="162"/>
        <v>3187.8508777929269</v>
      </c>
      <c r="S1097" s="22">
        <f t="shared" si="163"/>
        <v>21099.171257792925</v>
      </c>
      <c r="T1097" s="23">
        <v>0.55859868298040061</v>
      </c>
      <c r="U1097" s="24">
        <v>0.1</v>
      </c>
      <c r="V1097" s="25">
        <f t="shared" si="164"/>
        <v>36173.654587811376</v>
      </c>
      <c r="W1097" s="26" t="s">
        <v>29</v>
      </c>
    </row>
    <row r="1098" spans="1:23" ht="89.25" x14ac:dyDescent="0.25">
      <c r="A1098" s="17">
        <f t="shared" ca="1" si="165"/>
        <v>1094</v>
      </c>
      <c r="B1098" s="18" t="s">
        <v>1453</v>
      </c>
      <c r="C1098" s="18" t="s">
        <v>2217</v>
      </c>
      <c r="D1098" s="18"/>
      <c r="E1098" s="18"/>
      <c r="F1098" s="18"/>
      <c r="G1098" s="18"/>
      <c r="H1098" s="19" t="s">
        <v>2218</v>
      </c>
      <c r="I1098" s="18" t="s">
        <v>161</v>
      </c>
      <c r="J1098" s="20">
        <v>1</v>
      </c>
      <c r="K1098" s="20">
        <v>1.1499999999999999</v>
      </c>
      <c r="L1098" s="21" t="s">
        <v>28</v>
      </c>
      <c r="M1098" s="22">
        <v>0.82400000000000007</v>
      </c>
      <c r="N1098" s="22">
        <v>7.2449999999999997E-3</v>
      </c>
      <c r="O1098" s="22">
        <v>1052.3689999999999</v>
      </c>
      <c r="P1098" s="22">
        <f t="shared" si="161"/>
        <v>997.22486439999989</v>
      </c>
      <c r="Q1098" s="22">
        <v>2757.7041798239825</v>
      </c>
      <c r="R1098" s="22">
        <f t="shared" si="162"/>
        <v>22.97650180024846</v>
      </c>
      <c r="S1098" s="22">
        <f t="shared" si="163"/>
        <v>1020.2013662002483</v>
      </c>
      <c r="T1098" s="23">
        <v>0.55859868298040061</v>
      </c>
      <c r="U1098" s="24">
        <v>0.1</v>
      </c>
      <c r="V1098" s="25">
        <f t="shared" si="164"/>
        <v>1749.0929563079637</v>
      </c>
      <c r="W1098" s="26" t="s">
        <v>29</v>
      </c>
    </row>
    <row r="1099" spans="1:23" ht="89.25" x14ac:dyDescent="0.25">
      <c r="A1099" s="17">
        <f t="shared" ca="1" si="165"/>
        <v>1095</v>
      </c>
      <c r="B1099" s="18" t="s">
        <v>1453</v>
      </c>
      <c r="C1099" s="18" t="s">
        <v>2219</v>
      </c>
      <c r="D1099" s="18"/>
      <c r="E1099" s="18"/>
      <c r="F1099" s="18"/>
      <c r="G1099" s="18"/>
      <c r="H1099" s="19" t="s">
        <v>2220</v>
      </c>
      <c r="I1099" s="18" t="s">
        <v>161</v>
      </c>
      <c r="J1099" s="20">
        <v>1</v>
      </c>
      <c r="K1099" s="20">
        <v>1.1499999999999999</v>
      </c>
      <c r="L1099" s="21" t="s">
        <v>28</v>
      </c>
      <c r="M1099" s="22">
        <v>0.82400000000000007</v>
      </c>
      <c r="N1099" s="22">
        <v>7.2449999999999997E-3</v>
      </c>
      <c r="O1099" s="22">
        <v>1052.3689999999999</v>
      </c>
      <c r="P1099" s="22">
        <f t="shared" si="161"/>
        <v>997.22486439999989</v>
      </c>
      <c r="Q1099" s="22">
        <v>2757.7041798239825</v>
      </c>
      <c r="R1099" s="22">
        <f t="shared" si="162"/>
        <v>22.97650180024846</v>
      </c>
      <c r="S1099" s="22">
        <f t="shared" si="163"/>
        <v>1020.2013662002483</v>
      </c>
      <c r="T1099" s="23">
        <v>0.55859868298040061</v>
      </c>
      <c r="U1099" s="24">
        <v>0.1</v>
      </c>
      <c r="V1099" s="25">
        <f t="shared" si="164"/>
        <v>1749.0929563079637</v>
      </c>
      <c r="W1099" s="26" t="s">
        <v>29</v>
      </c>
    </row>
    <row r="1100" spans="1:23" ht="89.25" x14ac:dyDescent="0.25">
      <c r="A1100" s="17">
        <f t="shared" ca="1" si="165"/>
        <v>1096</v>
      </c>
      <c r="B1100" s="18" t="s">
        <v>1453</v>
      </c>
      <c r="C1100" s="18" t="s">
        <v>2221</v>
      </c>
      <c r="D1100" s="18"/>
      <c r="E1100" s="18"/>
      <c r="F1100" s="18"/>
      <c r="G1100" s="18"/>
      <c r="H1100" s="19" t="s">
        <v>2222</v>
      </c>
      <c r="I1100" s="18" t="s">
        <v>161</v>
      </c>
      <c r="J1100" s="20">
        <v>1</v>
      </c>
      <c r="K1100" s="20">
        <v>1.1499999999999999</v>
      </c>
      <c r="L1100" s="21" t="s">
        <v>28</v>
      </c>
      <c r="M1100" s="22">
        <v>0.96</v>
      </c>
      <c r="N1100" s="22">
        <v>1.0499999999999999E-2</v>
      </c>
      <c r="O1100" s="22">
        <v>1052.3689999999999</v>
      </c>
      <c r="P1100" s="22">
        <f t="shared" si="161"/>
        <v>1161.8153759999998</v>
      </c>
      <c r="Q1100" s="22">
        <v>2757.7041798239825</v>
      </c>
      <c r="R1100" s="22">
        <f t="shared" si="162"/>
        <v>33.299277971374579</v>
      </c>
      <c r="S1100" s="22">
        <f t="shared" si="163"/>
        <v>1195.1146539713743</v>
      </c>
      <c r="T1100" s="23">
        <v>0.55859868298040061</v>
      </c>
      <c r="U1100" s="24">
        <v>0.1</v>
      </c>
      <c r="V1100" s="25">
        <f t="shared" si="164"/>
        <v>2048.9745382593974</v>
      </c>
      <c r="W1100" s="26" t="s">
        <v>29</v>
      </c>
    </row>
    <row r="1101" spans="1:23" ht="89.25" x14ac:dyDescent="0.25">
      <c r="A1101" s="17">
        <f t="shared" ca="1" si="165"/>
        <v>1097</v>
      </c>
      <c r="B1101" s="18" t="s">
        <v>1453</v>
      </c>
      <c r="C1101" s="18" t="s">
        <v>2223</v>
      </c>
      <c r="D1101" s="18"/>
      <c r="E1101" s="18"/>
      <c r="F1101" s="18"/>
      <c r="G1101" s="18"/>
      <c r="H1101" s="19" t="s">
        <v>2224</v>
      </c>
      <c r="I1101" s="18" t="s">
        <v>161</v>
      </c>
      <c r="J1101" s="20">
        <v>1</v>
      </c>
      <c r="K1101" s="20">
        <v>1.1499999999999999</v>
      </c>
      <c r="L1101" s="21" t="s">
        <v>28</v>
      </c>
      <c r="M1101" s="22">
        <v>0.52960000000000007</v>
      </c>
      <c r="N1101" s="22">
        <v>1.12E-2</v>
      </c>
      <c r="O1101" s="22">
        <v>1052.3689999999999</v>
      </c>
      <c r="P1101" s="22">
        <f t="shared" si="161"/>
        <v>640.93481575999999</v>
      </c>
      <c r="Q1101" s="22">
        <v>2757.7041798239825</v>
      </c>
      <c r="R1101" s="22">
        <f t="shared" si="162"/>
        <v>35.519229836132894</v>
      </c>
      <c r="S1101" s="22">
        <f t="shared" si="163"/>
        <v>676.45404559613291</v>
      </c>
      <c r="T1101" s="23">
        <v>0.55859868298040061</v>
      </c>
      <c r="U1101" s="24">
        <v>0.1</v>
      </c>
      <c r="V1101" s="25">
        <f t="shared" si="164"/>
        <v>1159.7524230191862</v>
      </c>
      <c r="W1101" s="26" t="s">
        <v>29</v>
      </c>
    </row>
    <row r="1102" spans="1:23" ht="89.25" x14ac:dyDescent="0.25">
      <c r="A1102" s="17">
        <f t="shared" ca="1" si="165"/>
        <v>1098</v>
      </c>
      <c r="B1102" s="18" t="s">
        <v>1453</v>
      </c>
      <c r="C1102" s="18" t="s">
        <v>2225</v>
      </c>
      <c r="D1102" s="18"/>
      <c r="E1102" s="18"/>
      <c r="F1102" s="18"/>
      <c r="G1102" s="18"/>
      <c r="H1102" s="19" t="s">
        <v>2226</v>
      </c>
      <c r="I1102" s="18" t="s">
        <v>161</v>
      </c>
      <c r="J1102" s="20">
        <v>1</v>
      </c>
      <c r="K1102" s="20">
        <v>1.1499999999999999</v>
      </c>
      <c r="L1102" s="21" t="s">
        <v>28</v>
      </c>
      <c r="M1102" s="22">
        <v>0.8</v>
      </c>
      <c r="N1102" s="22">
        <v>1.0499999999999999E-2</v>
      </c>
      <c r="O1102" s="22">
        <v>1052.3689999999999</v>
      </c>
      <c r="P1102" s="22">
        <f t="shared" si="161"/>
        <v>968.1794799999999</v>
      </c>
      <c r="Q1102" s="22">
        <v>2757.7041798239825</v>
      </c>
      <c r="R1102" s="22">
        <f t="shared" si="162"/>
        <v>33.299277971374579</v>
      </c>
      <c r="S1102" s="22">
        <f t="shared" si="163"/>
        <v>1001.4787579713745</v>
      </c>
      <c r="T1102" s="23">
        <v>0.55859868298040061</v>
      </c>
      <c r="U1102" s="24">
        <v>0.1</v>
      </c>
      <c r="V1102" s="25">
        <f t="shared" si="164"/>
        <v>1716.9938205277349</v>
      </c>
      <c r="W1102" s="26" t="s">
        <v>29</v>
      </c>
    </row>
    <row r="1103" spans="1:23" ht="89.25" x14ac:dyDescent="0.25">
      <c r="A1103" s="17">
        <f t="shared" ca="1" si="165"/>
        <v>1099</v>
      </c>
      <c r="B1103" s="18" t="s">
        <v>1453</v>
      </c>
      <c r="C1103" s="18" t="s">
        <v>2227</v>
      </c>
      <c r="D1103" s="18"/>
      <c r="E1103" s="18"/>
      <c r="F1103" s="18"/>
      <c r="G1103" s="18"/>
      <c r="H1103" s="19" t="s">
        <v>2228</v>
      </c>
      <c r="I1103" s="18" t="s">
        <v>161</v>
      </c>
      <c r="J1103" s="20">
        <v>1</v>
      </c>
      <c r="K1103" s="20">
        <v>1.1499999999999999</v>
      </c>
      <c r="L1103" s="21" t="s">
        <v>28</v>
      </c>
      <c r="M1103" s="22">
        <v>0.41600000000000004</v>
      </c>
      <c r="N1103" s="22">
        <v>1.0499999999999999E-2</v>
      </c>
      <c r="O1103" s="22">
        <v>1052.3689999999999</v>
      </c>
      <c r="P1103" s="22">
        <f t="shared" si="161"/>
        <v>503.45332959999996</v>
      </c>
      <c r="Q1103" s="22">
        <v>2757.7041798239825</v>
      </c>
      <c r="R1103" s="22">
        <f t="shared" si="162"/>
        <v>33.299277971374579</v>
      </c>
      <c r="S1103" s="22">
        <f t="shared" si="163"/>
        <v>536.75260757137448</v>
      </c>
      <c r="T1103" s="23">
        <v>0.55859868298040061</v>
      </c>
      <c r="U1103" s="24">
        <v>0.1</v>
      </c>
      <c r="V1103" s="25">
        <f t="shared" si="164"/>
        <v>920.24009797174415</v>
      </c>
      <c r="W1103" s="26" t="s">
        <v>29</v>
      </c>
    </row>
    <row r="1104" spans="1:23" ht="89.25" x14ac:dyDescent="0.25">
      <c r="A1104" s="17">
        <f t="shared" ca="1" si="165"/>
        <v>1100</v>
      </c>
      <c r="B1104" s="18" t="s">
        <v>1453</v>
      </c>
      <c r="C1104" s="18" t="s">
        <v>2229</v>
      </c>
      <c r="D1104" s="18"/>
      <c r="E1104" s="18"/>
      <c r="F1104" s="18"/>
      <c r="G1104" s="18"/>
      <c r="H1104" s="19" t="s">
        <v>2230</v>
      </c>
      <c r="I1104" s="18" t="s">
        <v>161</v>
      </c>
      <c r="J1104" s="20">
        <v>1</v>
      </c>
      <c r="K1104" s="20">
        <v>1.1499999999999999</v>
      </c>
      <c r="L1104" s="21" t="s">
        <v>28</v>
      </c>
      <c r="M1104" s="22">
        <v>1.3440000000000003</v>
      </c>
      <c r="N1104" s="22">
        <v>1.3999999999999999E-2</v>
      </c>
      <c r="O1104" s="22">
        <v>1052.3689999999999</v>
      </c>
      <c r="P1104" s="22">
        <f t="shared" si="161"/>
        <v>1626.5415264000001</v>
      </c>
      <c r="Q1104" s="22">
        <v>2757.7041798239825</v>
      </c>
      <c r="R1104" s="22">
        <f t="shared" si="162"/>
        <v>44.39903729516611</v>
      </c>
      <c r="S1104" s="22">
        <f t="shared" si="163"/>
        <v>1670.9405636951662</v>
      </c>
      <c r="T1104" s="23">
        <v>0.55859868298040061</v>
      </c>
      <c r="U1104" s="24">
        <v>0.1</v>
      </c>
      <c r="V1104" s="25">
        <f t="shared" si="164"/>
        <v>2864.7583381051959</v>
      </c>
      <c r="W1104" s="26" t="s">
        <v>29</v>
      </c>
    </row>
    <row r="1105" spans="1:23" ht="89.25" x14ac:dyDescent="0.25">
      <c r="A1105" s="17">
        <f t="shared" ca="1" si="165"/>
        <v>1101</v>
      </c>
      <c r="B1105" s="18" t="s">
        <v>1453</v>
      </c>
      <c r="C1105" s="18" t="s">
        <v>2231</v>
      </c>
      <c r="D1105" s="18"/>
      <c r="E1105" s="18"/>
      <c r="F1105" s="18"/>
      <c r="G1105" s="18"/>
      <c r="H1105" s="19" t="s">
        <v>2232</v>
      </c>
      <c r="I1105" s="18" t="s">
        <v>161</v>
      </c>
      <c r="J1105" s="20">
        <v>1</v>
      </c>
      <c r="K1105" s="20">
        <v>1.1499999999999999</v>
      </c>
      <c r="L1105" s="21" t="s">
        <v>28</v>
      </c>
      <c r="M1105" s="22">
        <v>1.0640000000000001</v>
      </c>
      <c r="N1105" s="22">
        <v>1.3999999999999999E-2</v>
      </c>
      <c r="O1105" s="22">
        <v>1052.3689999999999</v>
      </c>
      <c r="P1105" s="22">
        <f t="shared" si="161"/>
        <v>1287.6787084</v>
      </c>
      <c r="Q1105" s="22">
        <v>2757.7041798239825</v>
      </c>
      <c r="R1105" s="22">
        <f t="shared" si="162"/>
        <v>44.39903729516611</v>
      </c>
      <c r="S1105" s="22">
        <f t="shared" si="163"/>
        <v>1332.0777456951662</v>
      </c>
      <c r="T1105" s="23">
        <v>0.55859868298040061</v>
      </c>
      <c r="U1105" s="24">
        <v>0.1</v>
      </c>
      <c r="V1105" s="25">
        <f t="shared" si="164"/>
        <v>2283.7920820747859</v>
      </c>
      <c r="W1105" s="26" t="s">
        <v>29</v>
      </c>
    </row>
    <row r="1106" spans="1:23" x14ac:dyDescent="0.25">
      <c r="A1106" s="28">
        <f t="shared" ca="1" si="165"/>
        <v>1102</v>
      </c>
      <c r="B1106" s="9" t="s">
        <v>1453</v>
      </c>
      <c r="C1106" s="9" t="s">
        <v>2233</v>
      </c>
      <c r="D1106" s="9"/>
      <c r="E1106" s="9"/>
      <c r="F1106" s="9"/>
      <c r="G1106" s="9"/>
      <c r="H1106" s="10" t="s">
        <v>2234</v>
      </c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29"/>
      <c r="U1106" s="11"/>
      <c r="V1106" s="9"/>
      <c r="W1106" s="9"/>
    </row>
    <row r="1107" spans="1:23" x14ac:dyDescent="0.25">
      <c r="A1107" s="12">
        <f t="shared" ca="1" si="165"/>
        <v>1103</v>
      </c>
      <c r="B1107" s="13" t="s">
        <v>1453</v>
      </c>
      <c r="C1107" s="13" t="s">
        <v>2235</v>
      </c>
      <c r="D1107" s="13"/>
      <c r="E1107" s="13"/>
      <c r="F1107" s="13"/>
      <c r="G1107" s="13"/>
      <c r="H1107" s="15" t="s">
        <v>2234</v>
      </c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27"/>
      <c r="U1107" s="16"/>
      <c r="V1107" s="13"/>
      <c r="W1107" s="13"/>
    </row>
    <row r="1108" spans="1:23" ht="89.25" x14ac:dyDescent="0.25">
      <c r="A1108" s="17">
        <f t="shared" ca="1" si="165"/>
        <v>1104</v>
      </c>
      <c r="B1108" s="18" t="s">
        <v>1453</v>
      </c>
      <c r="C1108" s="18" t="s">
        <v>2236</v>
      </c>
      <c r="D1108" s="18"/>
      <c r="E1108" s="18"/>
      <c r="F1108" s="18"/>
      <c r="G1108" s="18"/>
      <c r="H1108" s="34" t="s">
        <v>2237</v>
      </c>
      <c r="I1108" s="18" t="s">
        <v>161</v>
      </c>
      <c r="J1108" s="20">
        <v>1</v>
      </c>
      <c r="K1108" s="20">
        <v>1.1499999999999999</v>
      </c>
      <c r="L1108" s="21" t="s">
        <v>28</v>
      </c>
      <c r="M1108" s="22">
        <v>1.3440000000000001</v>
      </c>
      <c r="N1108" s="22">
        <v>1.0499999999999999E-2</v>
      </c>
      <c r="O1108" s="22">
        <v>1052.3689999999999</v>
      </c>
      <c r="P1108" s="22">
        <f t="shared" si="161"/>
        <v>1626.5415263999998</v>
      </c>
      <c r="Q1108" s="22">
        <v>2757.7041798239825</v>
      </c>
      <c r="R1108" s="22">
        <f t="shared" si="162"/>
        <v>33.299277971374579</v>
      </c>
      <c r="S1108" s="22">
        <f t="shared" si="163"/>
        <v>1659.8408043713744</v>
      </c>
      <c r="T1108" s="23">
        <v>0.55859868298040061</v>
      </c>
      <c r="U1108" s="24">
        <v>0.1</v>
      </c>
      <c r="V1108" s="25">
        <f t="shared" ref="V1108:V1171" si="166">S1108+S1108*T1108+(S1108+S1108*T1108)*U1108</f>
        <v>2845.7282608153882</v>
      </c>
      <c r="W1108" s="26" t="s">
        <v>29</v>
      </c>
    </row>
    <row r="1109" spans="1:23" ht="89.25" x14ac:dyDescent="0.25">
      <c r="A1109" s="17">
        <f t="shared" ca="1" si="165"/>
        <v>1105</v>
      </c>
      <c r="B1109" s="18" t="s">
        <v>1453</v>
      </c>
      <c r="C1109" s="18" t="s">
        <v>2238</v>
      </c>
      <c r="D1109" s="18"/>
      <c r="E1109" s="18"/>
      <c r="F1109" s="18"/>
      <c r="G1109" s="18"/>
      <c r="H1109" s="34" t="s">
        <v>2239</v>
      </c>
      <c r="I1109" s="18" t="s">
        <v>161</v>
      </c>
      <c r="J1109" s="20">
        <v>1</v>
      </c>
      <c r="K1109" s="20">
        <v>1.1499999999999999</v>
      </c>
      <c r="L1109" s="21" t="s">
        <v>28</v>
      </c>
      <c r="M1109" s="22">
        <v>1.3440000000000001</v>
      </c>
      <c r="N1109" s="22">
        <v>1.0499999999999999E-2</v>
      </c>
      <c r="O1109" s="22">
        <v>1052.3689999999999</v>
      </c>
      <c r="P1109" s="22">
        <f t="shared" si="161"/>
        <v>1626.5415263999998</v>
      </c>
      <c r="Q1109" s="22">
        <v>2757.7041798239825</v>
      </c>
      <c r="R1109" s="22">
        <f t="shared" si="162"/>
        <v>33.299277971374579</v>
      </c>
      <c r="S1109" s="22">
        <f t="shared" si="163"/>
        <v>1659.8408043713744</v>
      </c>
      <c r="T1109" s="23">
        <v>0.55859868298040061</v>
      </c>
      <c r="U1109" s="24">
        <v>0.1</v>
      </c>
      <c r="V1109" s="25">
        <f t="shared" si="166"/>
        <v>2845.7282608153882</v>
      </c>
      <c r="W1109" s="26" t="s">
        <v>29</v>
      </c>
    </row>
    <row r="1110" spans="1:23" ht="89.25" x14ac:dyDescent="0.25">
      <c r="A1110" s="17">
        <f t="shared" ca="1" si="165"/>
        <v>1106</v>
      </c>
      <c r="B1110" s="18" t="s">
        <v>1453</v>
      </c>
      <c r="C1110" s="18" t="s">
        <v>2240</v>
      </c>
      <c r="D1110" s="18"/>
      <c r="E1110" s="18"/>
      <c r="F1110" s="18"/>
      <c r="G1110" s="18"/>
      <c r="H1110" s="34" t="s">
        <v>2241</v>
      </c>
      <c r="I1110" s="18" t="s">
        <v>161</v>
      </c>
      <c r="J1110" s="20">
        <v>1</v>
      </c>
      <c r="K1110" s="20">
        <v>1.1499999999999999</v>
      </c>
      <c r="L1110" s="21" t="s">
        <v>28</v>
      </c>
      <c r="M1110" s="22">
        <v>1.3440000000000001</v>
      </c>
      <c r="N1110" s="22">
        <v>1.0499999999999999E-2</v>
      </c>
      <c r="O1110" s="22">
        <v>1052.3689999999999</v>
      </c>
      <c r="P1110" s="22">
        <f t="shared" si="161"/>
        <v>1626.5415263999998</v>
      </c>
      <c r="Q1110" s="22">
        <v>2757.7041798239825</v>
      </c>
      <c r="R1110" s="22">
        <f t="shared" si="162"/>
        <v>33.299277971374579</v>
      </c>
      <c r="S1110" s="22">
        <f t="shared" si="163"/>
        <v>1659.8408043713744</v>
      </c>
      <c r="T1110" s="23">
        <v>0.55859868298040061</v>
      </c>
      <c r="U1110" s="24">
        <v>0.1</v>
      </c>
      <c r="V1110" s="25">
        <f t="shared" si="166"/>
        <v>2845.7282608153882</v>
      </c>
      <c r="W1110" s="26" t="s">
        <v>29</v>
      </c>
    </row>
    <row r="1111" spans="1:23" ht="89.25" x14ac:dyDescent="0.25">
      <c r="A1111" s="17">
        <f t="shared" ca="1" si="165"/>
        <v>1107</v>
      </c>
      <c r="B1111" s="18" t="s">
        <v>1453</v>
      </c>
      <c r="C1111" s="18" t="s">
        <v>2242</v>
      </c>
      <c r="D1111" s="18"/>
      <c r="E1111" s="18"/>
      <c r="F1111" s="18"/>
      <c r="G1111" s="18"/>
      <c r="H1111" s="34" t="s">
        <v>2243</v>
      </c>
      <c r="I1111" s="18" t="s">
        <v>161</v>
      </c>
      <c r="J1111" s="20">
        <v>1</v>
      </c>
      <c r="K1111" s="20">
        <v>1.1499999999999999</v>
      </c>
      <c r="L1111" s="21" t="s">
        <v>28</v>
      </c>
      <c r="M1111" s="22">
        <v>0.67200000000000004</v>
      </c>
      <c r="N1111" s="22">
        <v>1.0499999999999999E-2</v>
      </c>
      <c r="O1111" s="22">
        <v>1052.3689999999999</v>
      </c>
      <c r="P1111" s="22">
        <f t="shared" si="161"/>
        <v>813.27076319999992</v>
      </c>
      <c r="Q1111" s="22">
        <v>2757.7041798239825</v>
      </c>
      <c r="R1111" s="22">
        <f t="shared" si="162"/>
        <v>33.299277971374579</v>
      </c>
      <c r="S1111" s="22">
        <f t="shared" si="163"/>
        <v>846.57004117137444</v>
      </c>
      <c r="T1111" s="23">
        <v>0.55859868298040061</v>
      </c>
      <c r="U1111" s="24">
        <v>0.1</v>
      </c>
      <c r="V1111" s="25">
        <f t="shared" si="166"/>
        <v>1451.4092463424047</v>
      </c>
      <c r="W1111" s="26" t="s">
        <v>29</v>
      </c>
    </row>
    <row r="1112" spans="1:23" ht="89.25" x14ac:dyDescent="0.25">
      <c r="A1112" s="17">
        <f t="shared" ca="1" si="165"/>
        <v>1108</v>
      </c>
      <c r="B1112" s="18" t="s">
        <v>1453</v>
      </c>
      <c r="C1112" s="18" t="s">
        <v>2244</v>
      </c>
      <c r="D1112" s="18"/>
      <c r="E1112" s="18"/>
      <c r="F1112" s="18"/>
      <c r="G1112" s="18"/>
      <c r="H1112" s="34" t="s">
        <v>2245</v>
      </c>
      <c r="I1112" s="18" t="s">
        <v>161</v>
      </c>
      <c r="J1112" s="20">
        <v>1</v>
      </c>
      <c r="K1112" s="20">
        <v>1.1499999999999999</v>
      </c>
      <c r="L1112" s="21" t="s">
        <v>28</v>
      </c>
      <c r="M1112" s="22">
        <v>3.84</v>
      </c>
      <c r="N1112" s="22">
        <v>1.0499999999999999E-2</v>
      </c>
      <c r="O1112" s="22">
        <v>1052.3689999999999</v>
      </c>
      <c r="P1112" s="22">
        <f t="shared" si="161"/>
        <v>4647.2615039999991</v>
      </c>
      <c r="Q1112" s="22">
        <v>2757.7041798239825</v>
      </c>
      <c r="R1112" s="22">
        <f t="shared" si="162"/>
        <v>33.299277971374579</v>
      </c>
      <c r="S1112" s="22">
        <f t="shared" si="163"/>
        <v>4680.5607819713741</v>
      </c>
      <c r="T1112" s="23">
        <v>0.55859868298040061</v>
      </c>
      <c r="U1112" s="24">
        <v>0.1</v>
      </c>
      <c r="V1112" s="25">
        <f t="shared" si="166"/>
        <v>8024.6274574293284</v>
      </c>
      <c r="W1112" s="26" t="s">
        <v>29</v>
      </c>
    </row>
    <row r="1113" spans="1:23" ht="89.25" x14ac:dyDescent="0.25">
      <c r="A1113" s="17">
        <f t="shared" ca="1" si="165"/>
        <v>1109</v>
      </c>
      <c r="B1113" s="18" t="s">
        <v>1453</v>
      </c>
      <c r="C1113" s="18" t="s">
        <v>2246</v>
      </c>
      <c r="D1113" s="18"/>
      <c r="E1113" s="18"/>
      <c r="F1113" s="18"/>
      <c r="G1113" s="18"/>
      <c r="H1113" s="34" t="s">
        <v>2247</v>
      </c>
      <c r="I1113" s="18" t="s">
        <v>161</v>
      </c>
      <c r="J1113" s="20">
        <v>1</v>
      </c>
      <c r="K1113" s="20">
        <v>1.1499999999999999</v>
      </c>
      <c r="L1113" s="21" t="s">
        <v>28</v>
      </c>
      <c r="M1113" s="22">
        <v>3.84</v>
      </c>
      <c r="N1113" s="22">
        <v>1.0499999999999999E-2</v>
      </c>
      <c r="O1113" s="22">
        <v>1052.3689999999999</v>
      </c>
      <c r="P1113" s="22">
        <f t="shared" si="161"/>
        <v>4647.2615039999991</v>
      </c>
      <c r="Q1113" s="22">
        <v>2757.7041798239825</v>
      </c>
      <c r="R1113" s="22">
        <f t="shared" si="162"/>
        <v>33.299277971374579</v>
      </c>
      <c r="S1113" s="22">
        <f t="shared" si="163"/>
        <v>4680.5607819713741</v>
      </c>
      <c r="T1113" s="23">
        <v>0.55859868298040061</v>
      </c>
      <c r="U1113" s="24">
        <v>0.1</v>
      </c>
      <c r="V1113" s="25">
        <f t="shared" si="166"/>
        <v>8024.6274574293284</v>
      </c>
      <c r="W1113" s="26" t="s">
        <v>29</v>
      </c>
    </row>
    <row r="1114" spans="1:23" ht="89.25" x14ac:dyDescent="0.25">
      <c r="A1114" s="17">
        <f t="shared" ca="1" si="165"/>
        <v>1110</v>
      </c>
      <c r="B1114" s="18" t="s">
        <v>1453</v>
      </c>
      <c r="C1114" s="18" t="s">
        <v>2248</v>
      </c>
      <c r="D1114" s="18"/>
      <c r="E1114" s="18"/>
      <c r="F1114" s="18"/>
      <c r="G1114" s="18"/>
      <c r="H1114" s="19" t="s">
        <v>2249</v>
      </c>
      <c r="I1114" s="18" t="s">
        <v>104</v>
      </c>
      <c r="J1114" s="20">
        <v>1</v>
      </c>
      <c r="K1114" s="20">
        <v>1.1499999999999999</v>
      </c>
      <c r="L1114" s="21" t="s">
        <v>28</v>
      </c>
      <c r="M1114" s="22">
        <v>0.10688</v>
      </c>
      <c r="N1114" s="22">
        <v>4.6620979999999999E-2</v>
      </c>
      <c r="O1114" s="22">
        <v>1052.3689999999999</v>
      </c>
      <c r="P1114" s="22">
        <f t="shared" si="161"/>
        <v>129.34877852799997</v>
      </c>
      <c r="Q1114" s="22">
        <v>2757.7041798239825</v>
      </c>
      <c r="R1114" s="22">
        <f t="shared" si="162"/>
        <v>147.85190212551382</v>
      </c>
      <c r="S1114" s="22">
        <f t="shared" si="163"/>
        <v>277.20068065351381</v>
      </c>
      <c r="T1114" s="23">
        <v>0.55859868298040061</v>
      </c>
      <c r="U1114" s="24">
        <v>0.1</v>
      </c>
      <c r="V1114" s="25">
        <f t="shared" si="166"/>
        <v>475.24907736662095</v>
      </c>
      <c r="W1114" s="26" t="s">
        <v>29</v>
      </c>
    </row>
    <row r="1115" spans="1:23" ht="89.25" x14ac:dyDescent="0.25">
      <c r="A1115" s="17">
        <f t="shared" ca="1" si="165"/>
        <v>1111</v>
      </c>
      <c r="B1115" s="18" t="s">
        <v>1453</v>
      </c>
      <c r="C1115" s="18" t="s">
        <v>2250</v>
      </c>
      <c r="D1115" s="18"/>
      <c r="E1115" s="18"/>
      <c r="F1115" s="18"/>
      <c r="G1115" s="18"/>
      <c r="H1115" s="19" t="s">
        <v>2251</v>
      </c>
      <c r="I1115" s="18" t="s">
        <v>161</v>
      </c>
      <c r="J1115" s="20">
        <v>1</v>
      </c>
      <c r="K1115" s="20">
        <v>1.1499999999999999</v>
      </c>
      <c r="L1115" s="21" t="s">
        <v>28</v>
      </c>
      <c r="M1115" s="22">
        <v>1.3440000000000001</v>
      </c>
      <c r="N1115" s="22">
        <v>1.0499999999999999E-2</v>
      </c>
      <c r="O1115" s="22">
        <v>1052.3689999999999</v>
      </c>
      <c r="P1115" s="22">
        <f t="shared" si="161"/>
        <v>1626.5415263999998</v>
      </c>
      <c r="Q1115" s="22">
        <v>2757.7041798239825</v>
      </c>
      <c r="R1115" s="22">
        <f t="shared" si="162"/>
        <v>33.299277971374579</v>
      </c>
      <c r="S1115" s="22">
        <f t="shared" si="163"/>
        <v>1659.8408043713744</v>
      </c>
      <c r="T1115" s="23">
        <v>0.55859868298040061</v>
      </c>
      <c r="U1115" s="24">
        <v>0.1</v>
      </c>
      <c r="V1115" s="25">
        <f t="shared" si="166"/>
        <v>2845.7282608153882</v>
      </c>
      <c r="W1115" s="26" t="s">
        <v>29</v>
      </c>
    </row>
    <row r="1116" spans="1:23" ht="89.25" x14ac:dyDescent="0.25">
      <c r="A1116" s="17">
        <f t="shared" ca="1" si="165"/>
        <v>1112</v>
      </c>
      <c r="B1116" s="18" t="s">
        <v>1453</v>
      </c>
      <c r="C1116" s="18" t="s">
        <v>2252</v>
      </c>
      <c r="D1116" s="18"/>
      <c r="E1116" s="18"/>
      <c r="F1116" s="18"/>
      <c r="G1116" s="18"/>
      <c r="H1116" s="19" t="s">
        <v>2253</v>
      </c>
      <c r="I1116" s="18" t="s">
        <v>161</v>
      </c>
      <c r="J1116" s="20">
        <v>1</v>
      </c>
      <c r="K1116" s="20">
        <v>1.1499999999999999</v>
      </c>
      <c r="L1116" s="21" t="s">
        <v>28</v>
      </c>
      <c r="M1116" s="22">
        <v>1.3440000000000001</v>
      </c>
      <c r="N1116" s="22">
        <v>1.0499999999999999E-2</v>
      </c>
      <c r="O1116" s="22">
        <v>1052.3689999999999</v>
      </c>
      <c r="P1116" s="22">
        <f t="shared" si="161"/>
        <v>1626.5415263999998</v>
      </c>
      <c r="Q1116" s="22">
        <v>2757.7041798239825</v>
      </c>
      <c r="R1116" s="22">
        <f t="shared" si="162"/>
        <v>33.299277971374579</v>
      </c>
      <c r="S1116" s="22">
        <f t="shared" si="163"/>
        <v>1659.8408043713744</v>
      </c>
      <c r="T1116" s="23">
        <v>0.55859868298040061</v>
      </c>
      <c r="U1116" s="24">
        <v>0.1</v>
      </c>
      <c r="V1116" s="25">
        <f t="shared" si="166"/>
        <v>2845.7282608153882</v>
      </c>
      <c r="W1116" s="26" t="s">
        <v>29</v>
      </c>
    </row>
    <row r="1117" spans="1:23" ht="89.25" x14ac:dyDescent="0.25">
      <c r="A1117" s="17">
        <f t="shared" ca="1" si="165"/>
        <v>1113</v>
      </c>
      <c r="B1117" s="18" t="s">
        <v>1453</v>
      </c>
      <c r="C1117" s="18" t="s">
        <v>2254</v>
      </c>
      <c r="D1117" s="18"/>
      <c r="E1117" s="18"/>
      <c r="F1117" s="18"/>
      <c r="G1117" s="18"/>
      <c r="H1117" s="19" t="s">
        <v>2255</v>
      </c>
      <c r="I1117" s="18" t="s">
        <v>161</v>
      </c>
      <c r="J1117" s="20">
        <v>1</v>
      </c>
      <c r="K1117" s="20">
        <v>1.1499999999999999</v>
      </c>
      <c r="L1117" s="21" t="s">
        <v>28</v>
      </c>
      <c r="M1117" s="22">
        <v>3.6080000000000001</v>
      </c>
      <c r="N1117" s="22">
        <v>1.0499999999999999E-2</v>
      </c>
      <c r="O1117" s="22">
        <v>1052.3689999999999</v>
      </c>
      <c r="P1117" s="22">
        <f t="shared" si="161"/>
        <v>4366.4894547999993</v>
      </c>
      <c r="Q1117" s="22">
        <v>2757.7041798239825</v>
      </c>
      <c r="R1117" s="22">
        <f t="shared" si="162"/>
        <v>33.299277971374579</v>
      </c>
      <c r="S1117" s="22">
        <f t="shared" si="163"/>
        <v>4399.7887327713743</v>
      </c>
      <c r="T1117" s="23">
        <v>0.55859868298040061</v>
      </c>
      <c r="U1117" s="24">
        <v>0.1</v>
      </c>
      <c r="V1117" s="25">
        <f t="shared" si="166"/>
        <v>7543.2554167184162</v>
      </c>
      <c r="W1117" s="26" t="s">
        <v>29</v>
      </c>
    </row>
    <row r="1118" spans="1:23" ht="89.25" x14ac:dyDescent="0.25">
      <c r="A1118" s="17">
        <f t="shared" ca="1" si="165"/>
        <v>1114</v>
      </c>
      <c r="B1118" s="18" t="s">
        <v>1453</v>
      </c>
      <c r="C1118" s="18" t="s">
        <v>2256</v>
      </c>
      <c r="D1118" s="18"/>
      <c r="E1118" s="18"/>
      <c r="F1118" s="18"/>
      <c r="G1118" s="18"/>
      <c r="H1118" s="19" t="s">
        <v>2257</v>
      </c>
      <c r="I1118" s="18" t="s">
        <v>161</v>
      </c>
      <c r="J1118" s="20">
        <v>1</v>
      </c>
      <c r="K1118" s="20">
        <v>1.1499999999999999</v>
      </c>
      <c r="L1118" s="21" t="s">
        <v>28</v>
      </c>
      <c r="M1118" s="22">
        <v>1.2080000000000002</v>
      </c>
      <c r="N1118" s="22">
        <v>1.0499999999999999E-2</v>
      </c>
      <c r="O1118" s="22">
        <v>1052.3689999999999</v>
      </c>
      <c r="P1118" s="22">
        <f t="shared" si="161"/>
        <v>1461.9510147999999</v>
      </c>
      <c r="Q1118" s="22">
        <v>2757.7041798239825</v>
      </c>
      <c r="R1118" s="22">
        <f t="shared" si="162"/>
        <v>33.299277971374579</v>
      </c>
      <c r="S1118" s="22">
        <f t="shared" si="163"/>
        <v>1495.2502927713745</v>
      </c>
      <c r="T1118" s="23">
        <v>0.55859868298040061</v>
      </c>
      <c r="U1118" s="24">
        <v>0.1</v>
      </c>
      <c r="V1118" s="25">
        <f t="shared" si="166"/>
        <v>2563.5446507434754</v>
      </c>
      <c r="W1118" s="26" t="s">
        <v>29</v>
      </c>
    </row>
    <row r="1119" spans="1:23" ht="89.25" x14ac:dyDescent="0.25">
      <c r="A1119" s="17">
        <f t="shared" ca="1" si="165"/>
        <v>1115</v>
      </c>
      <c r="B1119" s="18" t="s">
        <v>1453</v>
      </c>
      <c r="C1119" s="18" t="s">
        <v>2258</v>
      </c>
      <c r="D1119" s="18"/>
      <c r="E1119" s="18"/>
      <c r="F1119" s="18"/>
      <c r="G1119" s="18"/>
      <c r="H1119" s="19" t="s">
        <v>2259</v>
      </c>
      <c r="I1119" s="18" t="s">
        <v>161</v>
      </c>
      <c r="J1119" s="20">
        <v>1</v>
      </c>
      <c r="K1119" s="20">
        <v>1.1499999999999999</v>
      </c>
      <c r="L1119" s="21" t="s">
        <v>28</v>
      </c>
      <c r="M1119" s="22">
        <v>1.2080000000000002</v>
      </c>
      <c r="N1119" s="22">
        <v>1.0499999999999999E-2</v>
      </c>
      <c r="O1119" s="22">
        <v>1052.3689999999999</v>
      </c>
      <c r="P1119" s="22">
        <f t="shared" si="161"/>
        <v>1461.9510147999999</v>
      </c>
      <c r="Q1119" s="22">
        <v>2757.7041798239825</v>
      </c>
      <c r="R1119" s="22">
        <f t="shared" si="162"/>
        <v>33.299277971374579</v>
      </c>
      <c r="S1119" s="22">
        <f t="shared" si="163"/>
        <v>1495.2502927713745</v>
      </c>
      <c r="T1119" s="23">
        <v>0.55859868298040061</v>
      </c>
      <c r="U1119" s="24">
        <v>0.1</v>
      </c>
      <c r="V1119" s="25">
        <f t="shared" si="166"/>
        <v>2563.5446507434754</v>
      </c>
      <c r="W1119" s="26" t="s">
        <v>29</v>
      </c>
    </row>
    <row r="1120" spans="1:23" ht="89.25" x14ac:dyDescent="0.25">
      <c r="A1120" s="17">
        <f t="shared" ca="1" si="165"/>
        <v>1116</v>
      </c>
      <c r="B1120" s="18" t="s">
        <v>1453</v>
      </c>
      <c r="C1120" s="18" t="s">
        <v>2260</v>
      </c>
      <c r="D1120" s="18"/>
      <c r="E1120" s="18"/>
      <c r="F1120" s="18"/>
      <c r="G1120" s="18"/>
      <c r="H1120" s="19" t="s">
        <v>2261</v>
      </c>
      <c r="I1120" s="18" t="s">
        <v>161</v>
      </c>
      <c r="J1120" s="20">
        <v>1</v>
      </c>
      <c r="K1120" s="20">
        <v>1.1499999999999999</v>
      </c>
      <c r="L1120" s="21" t="s">
        <v>28</v>
      </c>
      <c r="M1120" s="22">
        <v>1.2080000000000002</v>
      </c>
      <c r="N1120" s="22">
        <v>1.0499999999999999E-2</v>
      </c>
      <c r="O1120" s="22">
        <v>1052.3689999999999</v>
      </c>
      <c r="P1120" s="22">
        <f t="shared" si="161"/>
        <v>1461.9510147999999</v>
      </c>
      <c r="Q1120" s="22">
        <v>2757.7041798239825</v>
      </c>
      <c r="R1120" s="22">
        <f t="shared" si="162"/>
        <v>33.299277971374579</v>
      </c>
      <c r="S1120" s="22">
        <f t="shared" si="163"/>
        <v>1495.2502927713745</v>
      </c>
      <c r="T1120" s="23">
        <v>0.55859868298040061</v>
      </c>
      <c r="U1120" s="24">
        <v>0.1</v>
      </c>
      <c r="V1120" s="25">
        <f t="shared" si="166"/>
        <v>2563.5446507434754</v>
      </c>
      <c r="W1120" s="26" t="s">
        <v>29</v>
      </c>
    </row>
    <row r="1121" spans="1:23" ht="89.25" x14ac:dyDescent="0.25">
      <c r="A1121" s="17">
        <f t="shared" ca="1" si="165"/>
        <v>1117</v>
      </c>
      <c r="B1121" s="18" t="s">
        <v>1453</v>
      </c>
      <c r="C1121" s="18" t="s">
        <v>2262</v>
      </c>
      <c r="D1121" s="18"/>
      <c r="E1121" s="18"/>
      <c r="F1121" s="18"/>
      <c r="G1121" s="18"/>
      <c r="H1121" s="19" t="s">
        <v>2263</v>
      </c>
      <c r="I1121" s="18" t="s">
        <v>161</v>
      </c>
      <c r="J1121" s="20">
        <v>1</v>
      </c>
      <c r="K1121" s="20">
        <v>1.1499999999999999</v>
      </c>
      <c r="L1121" s="21" t="s">
        <v>28</v>
      </c>
      <c r="M1121" s="22">
        <v>0.67200000000000004</v>
      </c>
      <c r="N1121" s="22">
        <v>1.0499999999999999E-2</v>
      </c>
      <c r="O1121" s="22">
        <v>1052.3689999999999</v>
      </c>
      <c r="P1121" s="22">
        <f t="shared" si="161"/>
        <v>813.27076319999992</v>
      </c>
      <c r="Q1121" s="22">
        <v>2757.7041798239825</v>
      </c>
      <c r="R1121" s="22">
        <f t="shared" si="162"/>
        <v>33.299277971374579</v>
      </c>
      <c r="S1121" s="22">
        <f t="shared" si="163"/>
        <v>846.57004117137444</v>
      </c>
      <c r="T1121" s="23">
        <v>0.55859868298040061</v>
      </c>
      <c r="U1121" s="24">
        <v>0.1</v>
      </c>
      <c r="V1121" s="25">
        <f t="shared" si="166"/>
        <v>1451.4092463424047</v>
      </c>
      <c r="W1121" s="26" t="s">
        <v>29</v>
      </c>
    </row>
    <row r="1122" spans="1:23" ht="89.25" x14ac:dyDescent="0.25">
      <c r="A1122" s="17">
        <f t="shared" ca="1" si="165"/>
        <v>1118</v>
      </c>
      <c r="B1122" s="18" t="s">
        <v>1453</v>
      </c>
      <c r="C1122" s="18" t="s">
        <v>2264</v>
      </c>
      <c r="D1122" s="18"/>
      <c r="E1122" s="18"/>
      <c r="F1122" s="18"/>
      <c r="G1122" s="18"/>
      <c r="H1122" s="19" t="s">
        <v>2265</v>
      </c>
      <c r="I1122" s="18" t="s">
        <v>161</v>
      </c>
      <c r="J1122" s="20">
        <v>1</v>
      </c>
      <c r="K1122" s="20">
        <v>1.1499999999999999</v>
      </c>
      <c r="L1122" s="21" t="s">
        <v>28</v>
      </c>
      <c r="M1122" s="22">
        <v>0.67200000000000004</v>
      </c>
      <c r="N1122" s="22">
        <v>1.0499999999999999E-2</v>
      </c>
      <c r="O1122" s="22">
        <v>1052.3689999999999</v>
      </c>
      <c r="P1122" s="22">
        <f t="shared" si="161"/>
        <v>813.27076319999992</v>
      </c>
      <c r="Q1122" s="22">
        <v>2757.7041798239825</v>
      </c>
      <c r="R1122" s="22">
        <f t="shared" si="162"/>
        <v>33.299277971374579</v>
      </c>
      <c r="S1122" s="22">
        <f t="shared" si="163"/>
        <v>846.57004117137444</v>
      </c>
      <c r="T1122" s="23">
        <v>0.55859868298040061</v>
      </c>
      <c r="U1122" s="24">
        <v>0.1</v>
      </c>
      <c r="V1122" s="25">
        <f t="shared" si="166"/>
        <v>1451.4092463424047</v>
      </c>
      <c r="W1122" s="26" t="s">
        <v>29</v>
      </c>
    </row>
    <row r="1123" spans="1:23" ht="89.25" x14ac:dyDescent="0.25">
      <c r="A1123" s="17">
        <f t="shared" ca="1" si="165"/>
        <v>1119</v>
      </c>
      <c r="B1123" s="18" t="s">
        <v>1453</v>
      </c>
      <c r="C1123" s="18" t="s">
        <v>2266</v>
      </c>
      <c r="D1123" s="18"/>
      <c r="E1123" s="18"/>
      <c r="F1123" s="18"/>
      <c r="G1123" s="18"/>
      <c r="H1123" s="19" t="s">
        <v>2267</v>
      </c>
      <c r="I1123" s="18" t="s">
        <v>161</v>
      </c>
      <c r="J1123" s="20">
        <v>1</v>
      </c>
      <c r="K1123" s="20">
        <v>1.1499999999999999</v>
      </c>
      <c r="L1123" s="21" t="s">
        <v>28</v>
      </c>
      <c r="M1123" s="22">
        <v>1.3440000000000001</v>
      </c>
      <c r="N1123" s="22">
        <v>1.0499999999999999E-2</v>
      </c>
      <c r="O1123" s="22">
        <v>1052.3689999999999</v>
      </c>
      <c r="P1123" s="22">
        <f t="shared" si="161"/>
        <v>1626.5415263999998</v>
      </c>
      <c r="Q1123" s="22">
        <v>2757.7041798239825</v>
      </c>
      <c r="R1123" s="22">
        <f t="shared" si="162"/>
        <v>33.299277971374579</v>
      </c>
      <c r="S1123" s="22">
        <f t="shared" si="163"/>
        <v>1659.8408043713744</v>
      </c>
      <c r="T1123" s="23">
        <v>0.55859868298040061</v>
      </c>
      <c r="U1123" s="24">
        <v>0.1</v>
      </c>
      <c r="V1123" s="25">
        <f t="shared" si="166"/>
        <v>2845.7282608153882</v>
      </c>
      <c r="W1123" s="26" t="s">
        <v>29</v>
      </c>
    </row>
    <row r="1124" spans="1:23" ht="89.25" x14ac:dyDescent="0.25">
      <c r="A1124" s="17">
        <f t="shared" ca="1" si="165"/>
        <v>1120</v>
      </c>
      <c r="B1124" s="18" t="s">
        <v>1453</v>
      </c>
      <c r="C1124" s="18" t="s">
        <v>2268</v>
      </c>
      <c r="D1124" s="18"/>
      <c r="E1124" s="18"/>
      <c r="F1124" s="18"/>
      <c r="G1124" s="18"/>
      <c r="H1124" s="19" t="s">
        <v>2269</v>
      </c>
      <c r="I1124" s="18" t="s">
        <v>161</v>
      </c>
      <c r="J1124" s="20">
        <v>1</v>
      </c>
      <c r="K1124" s="20">
        <v>1.1499999999999999</v>
      </c>
      <c r="L1124" s="21" t="s">
        <v>28</v>
      </c>
      <c r="M1124" s="22">
        <v>1.3440000000000001</v>
      </c>
      <c r="N1124" s="22">
        <v>1.0499999999999999E-2</v>
      </c>
      <c r="O1124" s="22">
        <v>1052.3689999999999</v>
      </c>
      <c r="P1124" s="22">
        <f t="shared" si="161"/>
        <v>1626.5415263999998</v>
      </c>
      <c r="Q1124" s="22">
        <v>2757.7041798239825</v>
      </c>
      <c r="R1124" s="22">
        <f t="shared" si="162"/>
        <v>33.299277971374579</v>
      </c>
      <c r="S1124" s="22">
        <f t="shared" si="163"/>
        <v>1659.8408043713744</v>
      </c>
      <c r="T1124" s="23">
        <v>0.55859868298040061</v>
      </c>
      <c r="U1124" s="24">
        <v>0.1</v>
      </c>
      <c r="V1124" s="25">
        <f t="shared" si="166"/>
        <v>2845.7282608153882</v>
      </c>
      <c r="W1124" s="26" t="s">
        <v>29</v>
      </c>
    </row>
    <row r="1125" spans="1:23" ht="89.25" x14ac:dyDescent="0.25">
      <c r="A1125" s="17">
        <f t="shared" ca="1" si="165"/>
        <v>1121</v>
      </c>
      <c r="B1125" s="18" t="s">
        <v>1453</v>
      </c>
      <c r="C1125" s="18" t="s">
        <v>2270</v>
      </c>
      <c r="D1125" s="18"/>
      <c r="E1125" s="18"/>
      <c r="F1125" s="18"/>
      <c r="G1125" s="18"/>
      <c r="H1125" s="19" t="s">
        <v>2271</v>
      </c>
      <c r="I1125" s="18" t="s">
        <v>161</v>
      </c>
      <c r="J1125" s="20">
        <v>1</v>
      </c>
      <c r="K1125" s="20">
        <v>1.1499999999999999</v>
      </c>
      <c r="L1125" s="21" t="s">
        <v>28</v>
      </c>
      <c r="M1125" s="22">
        <v>4.12</v>
      </c>
      <c r="N1125" s="22">
        <v>0.51124500000000006</v>
      </c>
      <c r="O1125" s="22">
        <v>1052.3689999999999</v>
      </c>
      <c r="P1125" s="22">
        <f t="shared" si="161"/>
        <v>4986.1243219999988</v>
      </c>
      <c r="Q1125" s="22">
        <v>2757.7041798239825</v>
      </c>
      <c r="R1125" s="22">
        <f t="shared" si="162"/>
        <v>1621.3418444262288</v>
      </c>
      <c r="S1125" s="22">
        <f t="shared" si="163"/>
        <v>6607.4661664262276</v>
      </c>
      <c r="T1125" s="23">
        <v>0.55859868298040061</v>
      </c>
      <c r="U1125" s="24">
        <v>0.1</v>
      </c>
      <c r="V1125" s="25">
        <f t="shared" si="166"/>
        <v>11328.226871312421</v>
      </c>
      <c r="W1125" s="26" t="s">
        <v>29</v>
      </c>
    </row>
    <row r="1126" spans="1:23" ht="89.25" x14ac:dyDescent="0.25">
      <c r="A1126" s="17">
        <f t="shared" ca="1" si="165"/>
        <v>1122</v>
      </c>
      <c r="B1126" s="18" t="s">
        <v>1453</v>
      </c>
      <c r="C1126" s="18" t="s">
        <v>2272</v>
      </c>
      <c r="D1126" s="18"/>
      <c r="E1126" s="18"/>
      <c r="F1126" s="18"/>
      <c r="G1126" s="18"/>
      <c r="H1126" s="19" t="s">
        <v>2273</v>
      </c>
      <c r="I1126" s="18" t="s">
        <v>161</v>
      </c>
      <c r="J1126" s="20">
        <v>1</v>
      </c>
      <c r="K1126" s="20">
        <v>1.1499999999999999</v>
      </c>
      <c r="L1126" s="21" t="s">
        <v>28</v>
      </c>
      <c r="M1126" s="22">
        <v>4.12</v>
      </c>
      <c r="N1126" s="22">
        <v>0.51124500000000006</v>
      </c>
      <c r="O1126" s="22">
        <v>1052.3689999999999</v>
      </c>
      <c r="P1126" s="22">
        <f t="shared" si="161"/>
        <v>4986.1243219999988</v>
      </c>
      <c r="Q1126" s="22">
        <v>2757.7041798239825</v>
      </c>
      <c r="R1126" s="22">
        <f t="shared" si="162"/>
        <v>1621.3418444262288</v>
      </c>
      <c r="S1126" s="22">
        <f t="shared" si="163"/>
        <v>6607.4661664262276</v>
      </c>
      <c r="T1126" s="23">
        <v>0.55859868298040061</v>
      </c>
      <c r="U1126" s="24">
        <v>0.1</v>
      </c>
      <c r="V1126" s="25">
        <f t="shared" si="166"/>
        <v>11328.226871312421</v>
      </c>
      <c r="W1126" s="26" t="s">
        <v>29</v>
      </c>
    </row>
    <row r="1127" spans="1:23" ht="89.25" x14ac:dyDescent="0.25">
      <c r="A1127" s="17">
        <f t="shared" ca="1" si="165"/>
        <v>1123</v>
      </c>
      <c r="B1127" s="18" t="s">
        <v>1453</v>
      </c>
      <c r="C1127" s="18" t="s">
        <v>2274</v>
      </c>
      <c r="D1127" s="18"/>
      <c r="E1127" s="18"/>
      <c r="F1127" s="18"/>
      <c r="G1127" s="18"/>
      <c r="H1127" s="19" t="s">
        <v>2275</v>
      </c>
      <c r="I1127" s="18" t="s">
        <v>161</v>
      </c>
      <c r="J1127" s="20">
        <v>1</v>
      </c>
      <c r="K1127" s="20">
        <v>1.1499999999999999</v>
      </c>
      <c r="L1127" s="21" t="s">
        <v>28</v>
      </c>
      <c r="M1127" s="22">
        <v>1.92</v>
      </c>
      <c r="N1127" s="22">
        <v>1.0499999999999999E-2</v>
      </c>
      <c r="O1127" s="22">
        <v>1052.3689999999999</v>
      </c>
      <c r="P1127" s="22">
        <f t="shared" si="161"/>
        <v>2323.6307519999996</v>
      </c>
      <c r="Q1127" s="22">
        <v>2757.7041798239825</v>
      </c>
      <c r="R1127" s="22">
        <f t="shared" si="162"/>
        <v>33.299277971374579</v>
      </c>
      <c r="S1127" s="22">
        <f t="shared" si="163"/>
        <v>2356.9300299713741</v>
      </c>
      <c r="T1127" s="23">
        <v>0.55859868298040061</v>
      </c>
      <c r="U1127" s="24">
        <v>0.1</v>
      </c>
      <c r="V1127" s="25">
        <f t="shared" si="166"/>
        <v>4040.8588446493741</v>
      </c>
      <c r="W1127" s="26" t="s">
        <v>29</v>
      </c>
    </row>
    <row r="1128" spans="1:23" ht="89.25" x14ac:dyDescent="0.25">
      <c r="A1128" s="17">
        <f t="shared" ca="1" si="165"/>
        <v>1124</v>
      </c>
      <c r="B1128" s="18" t="s">
        <v>1453</v>
      </c>
      <c r="C1128" s="18" t="s">
        <v>2276</v>
      </c>
      <c r="D1128" s="18"/>
      <c r="E1128" s="18"/>
      <c r="F1128" s="18"/>
      <c r="G1128" s="18"/>
      <c r="H1128" s="19" t="s">
        <v>2277</v>
      </c>
      <c r="I1128" s="18" t="s">
        <v>161</v>
      </c>
      <c r="J1128" s="20">
        <v>1</v>
      </c>
      <c r="K1128" s="20">
        <v>1.1499999999999999</v>
      </c>
      <c r="L1128" s="21" t="s">
        <v>28</v>
      </c>
      <c r="M1128" s="22">
        <v>3.4560000000000004</v>
      </c>
      <c r="N1128" s="22">
        <v>1.0499999999999999E-2</v>
      </c>
      <c r="O1128" s="22">
        <v>1052.3689999999999</v>
      </c>
      <c r="P1128" s="22">
        <f t="shared" si="161"/>
        <v>4182.5353536000002</v>
      </c>
      <c r="Q1128" s="22">
        <v>2757.7041798239825</v>
      </c>
      <c r="R1128" s="22">
        <f t="shared" si="162"/>
        <v>33.299277971374579</v>
      </c>
      <c r="S1128" s="22">
        <f t="shared" si="163"/>
        <v>4215.8346315713752</v>
      </c>
      <c r="T1128" s="23">
        <v>0.55859868298040061</v>
      </c>
      <c r="U1128" s="24">
        <v>0.1</v>
      </c>
      <c r="V1128" s="25">
        <f t="shared" si="166"/>
        <v>7227.8737348733393</v>
      </c>
      <c r="W1128" s="26" t="s">
        <v>29</v>
      </c>
    </row>
    <row r="1129" spans="1:23" ht="89.25" x14ac:dyDescent="0.25">
      <c r="A1129" s="17">
        <f t="shared" ca="1" si="165"/>
        <v>1125</v>
      </c>
      <c r="B1129" s="18" t="s">
        <v>1453</v>
      </c>
      <c r="C1129" s="18" t="s">
        <v>2278</v>
      </c>
      <c r="D1129" s="18"/>
      <c r="E1129" s="18"/>
      <c r="F1129" s="18"/>
      <c r="G1129" s="18"/>
      <c r="H1129" s="19" t="s">
        <v>2279</v>
      </c>
      <c r="I1129" s="18" t="s">
        <v>161</v>
      </c>
      <c r="J1129" s="20">
        <v>1</v>
      </c>
      <c r="K1129" s="20">
        <v>1.1499999999999999</v>
      </c>
      <c r="L1129" s="21" t="s">
        <v>28</v>
      </c>
      <c r="M1129" s="22">
        <v>3.8880000000000003</v>
      </c>
      <c r="N1129" s="22">
        <v>1.0499999999999999E-2</v>
      </c>
      <c r="O1129" s="22">
        <v>1052.3689999999999</v>
      </c>
      <c r="P1129" s="22">
        <f t="shared" si="161"/>
        <v>4705.3522727999998</v>
      </c>
      <c r="Q1129" s="22">
        <v>2757.7041798239825</v>
      </c>
      <c r="R1129" s="22">
        <f t="shared" si="162"/>
        <v>33.299277971374579</v>
      </c>
      <c r="S1129" s="22">
        <f t="shared" si="163"/>
        <v>4738.6515507713748</v>
      </c>
      <c r="T1129" s="23">
        <v>0.55859868298040061</v>
      </c>
      <c r="U1129" s="24">
        <v>0.1</v>
      </c>
      <c r="V1129" s="25">
        <f t="shared" si="166"/>
        <v>8124.2216727488276</v>
      </c>
      <c r="W1129" s="26" t="s">
        <v>29</v>
      </c>
    </row>
    <row r="1130" spans="1:23" ht="89.25" x14ac:dyDescent="0.25">
      <c r="A1130" s="17">
        <f t="shared" ca="1" si="165"/>
        <v>1126</v>
      </c>
      <c r="B1130" s="18" t="s">
        <v>1453</v>
      </c>
      <c r="C1130" s="18" t="s">
        <v>2280</v>
      </c>
      <c r="D1130" s="18"/>
      <c r="E1130" s="18"/>
      <c r="F1130" s="18"/>
      <c r="G1130" s="18"/>
      <c r="H1130" s="19" t="s">
        <v>2281</v>
      </c>
      <c r="I1130" s="18" t="s">
        <v>161</v>
      </c>
      <c r="J1130" s="20">
        <v>1</v>
      </c>
      <c r="K1130" s="20">
        <v>1.1499999999999999</v>
      </c>
      <c r="L1130" s="21" t="s">
        <v>28</v>
      </c>
      <c r="M1130" s="22">
        <v>3.2960000000000003</v>
      </c>
      <c r="N1130" s="22">
        <v>0.1961764</v>
      </c>
      <c r="O1130" s="22">
        <v>1052.3689999999999</v>
      </c>
      <c r="P1130" s="22">
        <f t="shared" si="161"/>
        <v>3988.8994575999996</v>
      </c>
      <c r="Q1130" s="22">
        <v>2757.7041798239825</v>
      </c>
      <c r="R1130" s="22">
        <f t="shared" si="162"/>
        <v>622.1459500022446</v>
      </c>
      <c r="S1130" s="22">
        <f t="shared" si="163"/>
        <v>4611.0454076022443</v>
      </c>
      <c r="T1130" s="23">
        <v>0.55859868298040061</v>
      </c>
      <c r="U1130" s="24">
        <v>0.1</v>
      </c>
      <c r="V1130" s="25">
        <f t="shared" si="166"/>
        <v>7905.44622939685</v>
      </c>
      <c r="W1130" s="26" t="s">
        <v>29</v>
      </c>
    </row>
    <row r="1131" spans="1:23" ht="89.25" x14ac:dyDescent="0.25">
      <c r="A1131" s="17">
        <f t="shared" ca="1" si="165"/>
        <v>1127</v>
      </c>
      <c r="B1131" s="18" t="s">
        <v>1453</v>
      </c>
      <c r="C1131" s="18" t="s">
        <v>2282</v>
      </c>
      <c r="D1131" s="18"/>
      <c r="E1131" s="18"/>
      <c r="F1131" s="18"/>
      <c r="G1131" s="18"/>
      <c r="H1131" s="19" t="s">
        <v>2283</v>
      </c>
      <c r="I1131" s="18" t="s">
        <v>161</v>
      </c>
      <c r="J1131" s="20">
        <v>1</v>
      </c>
      <c r="K1131" s="20">
        <v>1.1499999999999999</v>
      </c>
      <c r="L1131" s="21" t="s">
        <v>28</v>
      </c>
      <c r="M1131" s="22">
        <v>3.2960000000000003</v>
      </c>
      <c r="N1131" s="22">
        <v>0.1961764</v>
      </c>
      <c r="O1131" s="22">
        <v>1052.3689999999999</v>
      </c>
      <c r="P1131" s="22">
        <f t="shared" si="161"/>
        <v>3988.8994575999996</v>
      </c>
      <c r="Q1131" s="22">
        <v>2757.7041798239825</v>
      </c>
      <c r="R1131" s="22">
        <f t="shared" si="162"/>
        <v>622.1459500022446</v>
      </c>
      <c r="S1131" s="22">
        <f t="shared" si="163"/>
        <v>4611.0454076022443</v>
      </c>
      <c r="T1131" s="23">
        <v>0.55859868298040061</v>
      </c>
      <c r="U1131" s="24">
        <v>0.1</v>
      </c>
      <c r="V1131" s="25">
        <f t="shared" si="166"/>
        <v>7905.44622939685</v>
      </c>
      <c r="W1131" s="26" t="s">
        <v>29</v>
      </c>
    </row>
    <row r="1132" spans="1:23" ht="89.25" x14ac:dyDescent="0.25">
      <c r="A1132" s="17">
        <f t="shared" ca="1" si="165"/>
        <v>1128</v>
      </c>
      <c r="B1132" s="18" t="s">
        <v>1453</v>
      </c>
      <c r="C1132" s="18" t="s">
        <v>2284</v>
      </c>
      <c r="D1132" s="18"/>
      <c r="E1132" s="18"/>
      <c r="F1132" s="18"/>
      <c r="G1132" s="18"/>
      <c r="H1132" s="19" t="s">
        <v>2285</v>
      </c>
      <c r="I1132" s="18" t="s">
        <v>161</v>
      </c>
      <c r="J1132" s="20">
        <v>1</v>
      </c>
      <c r="K1132" s="20">
        <v>1.1499999999999999</v>
      </c>
      <c r="L1132" s="21" t="s">
        <v>28</v>
      </c>
      <c r="M1132" s="22">
        <v>1.3440000000000001</v>
      </c>
      <c r="N1132" s="22">
        <v>1.0499999999999999E-2</v>
      </c>
      <c r="O1132" s="22">
        <v>1052.3689999999999</v>
      </c>
      <c r="P1132" s="22">
        <f t="shared" si="161"/>
        <v>1626.5415263999998</v>
      </c>
      <c r="Q1132" s="22">
        <v>2757.7041798239825</v>
      </c>
      <c r="R1132" s="22">
        <f t="shared" si="162"/>
        <v>33.299277971374579</v>
      </c>
      <c r="S1132" s="22">
        <f t="shared" si="163"/>
        <v>1659.8408043713744</v>
      </c>
      <c r="T1132" s="23">
        <v>0.55859868298040061</v>
      </c>
      <c r="U1132" s="24">
        <v>0.1</v>
      </c>
      <c r="V1132" s="25">
        <f t="shared" si="166"/>
        <v>2845.7282608153882</v>
      </c>
      <c r="W1132" s="26" t="s">
        <v>29</v>
      </c>
    </row>
    <row r="1133" spans="1:23" ht="89.25" x14ac:dyDescent="0.25">
      <c r="A1133" s="17">
        <f t="shared" ca="1" si="165"/>
        <v>1129</v>
      </c>
      <c r="B1133" s="18" t="s">
        <v>1453</v>
      </c>
      <c r="C1133" s="18" t="s">
        <v>2286</v>
      </c>
      <c r="D1133" s="18"/>
      <c r="E1133" s="18"/>
      <c r="F1133" s="18"/>
      <c r="G1133" s="18"/>
      <c r="H1133" s="19" t="s">
        <v>2287</v>
      </c>
      <c r="I1133" s="18" t="s">
        <v>161</v>
      </c>
      <c r="J1133" s="20">
        <v>1</v>
      </c>
      <c r="K1133" s="20">
        <v>1.1499999999999999</v>
      </c>
      <c r="L1133" s="21" t="s">
        <v>28</v>
      </c>
      <c r="M1133" s="22">
        <v>1.3440000000000001</v>
      </c>
      <c r="N1133" s="22">
        <v>1.0499999999999999E-2</v>
      </c>
      <c r="O1133" s="22">
        <v>1052.3689999999999</v>
      </c>
      <c r="P1133" s="22">
        <f t="shared" si="161"/>
        <v>1626.5415263999998</v>
      </c>
      <c r="Q1133" s="22">
        <v>2757.7041798239825</v>
      </c>
      <c r="R1133" s="22">
        <f t="shared" si="162"/>
        <v>33.299277971374579</v>
      </c>
      <c r="S1133" s="22">
        <f t="shared" si="163"/>
        <v>1659.8408043713744</v>
      </c>
      <c r="T1133" s="23">
        <v>0.55859868298040061</v>
      </c>
      <c r="U1133" s="24">
        <v>0.1</v>
      </c>
      <c r="V1133" s="25">
        <f t="shared" si="166"/>
        <v>2845.7282608153882</v>
      </c>
      <c r="W1133" s="26" t="s">
        <v>29</v>
      </c>
    </row>
    <row r="1134" spans="1:23" ht="89.25" x14ac:dyDescent="0.25">
      <c r="A1134" s="17">
        <f t="shared" ca="1" si="165"/>
        <v>1130</v>
      </c>
      <c r="B1134" s="18" t="s">
        <v>1453</v>
      </c>
      <c r="C1134" s="18" t="s">
        <v>2288</v>
      </c>
      <c r="D1134" s="18"/>
      <c r="E1134" s="18"/>
      <c r="F1134" s="18"/>
      <c r="G1134" s="18"/>
      <c r="H1134" s="19" t="s">
        <v>2289</v>
      </c>
      <c r="I1134" s="18" t="s">
        <v>161</v>
      </c>
      <c r="J1134" s="20">
        <v>1</v>
      </c>
      <c r="K1134" s="20">
        <v>1.1499999999999999</v>
      </c>
      <c r="L1134" s="21" t="s">
        <v>28</v>
      </c>
      <c r="M1134" s="22">
        <v>1.3440000000000001</v>
      </c>
      <c r="N1134" s="22">
        <v>1.0499999999999999E-2</v>
      </c>
      <c r="O1134" s="22">
        <v>1052.3689999999999</v>
      </c>
      <c r="P1134" s="22">
        <f t="shared" si="161"/>
        <v>1626.5415263999998</v>
      </c>
      <c r="Q1134" s="22">
        <v>2757.7041798239825</v>
      </c>
      <c r="R1134" s="22">
        <f t="shared" si="162"/>
        <v>33.299277971374579</v>
      </c>
      <c r="S1134" s="22">
        <f t="shared" si="163"/>
        <v>1659.8408043713744</v>
      </c>
      <c r="T1134" s="23">
        <v>0.55859868298040061</v>
      </c>
      <c r="U1134" s="24">
        <v>0.1</v>
      </c>
      <c r="V1134" s="25">
        <f t="shared" si="166"/>
        <v>2845.7282608153882</v>
      </c>
      <c r="W1134" s="26" t="s">
        <v>29</v>
      </c>
    </row>
    <row r="1135" spans="1:23" ht="89.25" x14ac:dyDescent="0.25">
      <c r="A1135" s="17">
        <f t="shared" ca="1" si="165"/>
        <v>1131</v>
      </c>
      <c r="B1135" s="18" t="s">
        <v>1453</v>
      </c>
      <c r="C1135" s="18" t="s">
        <v>2290</v>
      </c>
      <c r="D1135" s="18"/>
      <c r="E1135" s="18"/>
      <c r="F1135" s="18"/>
      <c r="G1135" s="18"/>
      <c r="H1135" s="19" t="s">
        <v>2291</v>
      </c>
      <c r="I1135" s="18" t="s">
        <v>104</v>
      </c>
      <c r="J1135" s="20">
        <v>1</v>
      </c>
      <c r="K1135" s="20">
        <v>1.1499999999999999</v>
      </c>
      <c r="L1135" s="21" t="s">
        <v>28</v>
      </c>
      <c r="M1135" s="22">
        <v>8.2400000000000001E-2</v>
      </c>
      <c r="N1135" s="22">
        <v>1.0499999999999999E-2</v>
      </c>
      <c r="O1135" s="22">
        <v>1052.3689999999999</v>
      </c>
      <c r="P1135" s="22">
        <f t="shared" si="161"/>
        <v>99.722486439999983</v>
      </c>
      <c r="Q1135" s="22">
        <v>2757.7041798239825</v>
      </c>
      <c r="R1135" s="22">
        <f t="shared" si="162"/>
        <v>33.299277971374579</v>
      </c>
      <c r="S1135" s="22">
        <f t="shared" si="163"/>
        <v>133.02176441137456</v>
      </c>
      <c r="T1135" s="23">
        <v>0.55859868298040061</v>
      </c>
      <c r="U1135" s="24">
        <v>0.1</v>
      </c>
      <c r="V1135" s="25">
        <f t="shared" si="166"/>
        <v>228.06030150122729</v>
      </c>
      <c r="W1135" s="26" t="s">
        <v>29</v>
      </c>
    </row>
    <row r="1136" spans="1:23" ht="89.25" x14ac:dyDescent="0.25">
      <c r="A1136" s="17">
        <f t="shared" ca="1" si="165"/>
        <v>1132</v>
      </c>
      <c r="B1136" s="18" t="s">
        <v>1453</v>
      </c>
      <c r="C1136" s="18" t="s">
        <v>2292</v>
      </c>
      <c r="D1136" s="18"/>
      <c r="E1136" s="18"/>
      <c r="F1136" s="18"/>
      <c r="G1136" s="18"/>
      <c r="H1136" s="19" t="s">
        <v>2293</v>
      </c>
      <c r="I1136" s="18" t="s">
        <v>161</v>
      </c>
      <c r="J1136" s="20">
        <v>1</v>
      </c>
      <c r="K1136" s="20">
        <v>1.1499999999999999</v>
      </c>
      <c r="L1136" s="21" t="s">
        <v>28</v>
      </c>
      <c r="M1136" s="22">
        <v>3.84</v>
      </c>
      <c r="N1136" s="22">
        <v>1.0499999999999999E-2</v>
      </c>
      <c r="O1136" s="22">
        <v>1052.3689999999999</v>
      </c>
      <c r="P1136" s="22">
        <f t="shared" si="161"/>
        <v>4647.2615039999991</v>
      </c>
      <c r="Q1136" s="22">
        <v>2757.7041798239825</v>
      </c>
      <c r="R1136" s="22">
        <f t="shared" si="162"/>
        <v>33.299277971374579</v>
      </c>
      <c r="S1136" s="22">
        <f t="shared" si="163"/>
        <v>4680.5607819713741</v>
      </c>
      <c r="T1136" s="23">
        <v>0.55859868298040061</v>
      </c>
      <c r="U1136" s="24">
        <v>0.1</v>
      </c>
      <c r="V1136" s="25">
        <f t="shared" si="166"/>
        <v>8024.6274574293284</v>
      </c>
      <c r="W1136" s="26" t="s">
        <v>29</v>
      </c>
    </row>
    <row r="1137" spans="1:23" ht="89.25" x14ac:dyDescent="0.25">
      <c r="A1137" s="17">
        <f t="shared" ca="1" si="165"/>
        <v>1133</v>
      </c>
      <c r="B1137" s="18" t="s">
        <v>1453</v>
      </c>
      <c r="C1137" s="18" t="s">
        <v>2294</v>
      </c>
      <c r="D1137" s="18"/>
      <c r="E1137" s="18"/>
      <c r="F1137" s="18"/>
      <c r="G1137" s="18"/>
      <c r="H1137" s="19" t="s">
        <v>2295</v>
      </c>
      <c r="I1137" s="18" t="s">
        <v>161</v>
      </c>
      <c r="J1137" s="20">
        <v>1</v>
      </c>
      <c r="K1137" s="20">
        <v>1.1499999999999999</v>
      </c>
      <c r="L1137" s="21" t="s">
        <v>28</v>
      </c>
      <c r="M1137" s="22">
        <v>0.82400000000000007</v>
      </c>
      <c r="N1137" s="22">
        <v>0.11199999999999999</v>
      </c>
      <c r="O1137" s="22">
        <v>1052.3689999999999</v>
      </c>
      <c r="P1137" s="22">
        <f t="shared" si="161"/>
        <v>997.22486439999989</v>
      </c>
      <c r="Q1137" s="22">
        <v>2757.7041798239825</v>
      </c>
      <c r="R1137" s="22">
        <f t="shared" si="162"/>
        <v>355.19229836132888</v>
      </c>
      <c r="S1137" s="22">
        <f t="shared" si="163"/>
        <v>1352.4171627613287</v>
      </c>
      <c r="T1137" s="23">
        <v>0.55859868298040061</v>
      </c>
      <c r="U1137" s="24">
        <v>0.1</v>
      </c>
      <c r="V1137" s="25">
        <f t="shared" si="166"/>
        <v>2318.6631695918868</v>
      </c>
      <c r="W1137" s="26" t="s">
        <v>29</v>
      </c>
    </row>
    <row r="1138" spans="1:23" ht="89.25" x14ac:dyDescent="0.25">
      <c r="A1138" s="17">
        <f t="shared" ca="1" si="165"/>
        <v>1134</v>
      </c>
      <c r="B1138" s="18" t="s">
        <v>1453</v>
      </c>
      <c r="C1138" s="18" t="s">
        <v>2296</v>
      </c>
      <c r="D1138" s="18"/>
      <c r="E1138" s="18"/>
      <c r="F1138" s="18"/>
      <c r="G1138" s="18"/>
      <c r="H1138" s="19" t="s">
        <v>2297</v>
      </c>
      <c r="I1138" s="18" t="s">
        <v>161</v>
      </c>
      <c r="J1138" s="20">
        <v>1</v>
      </c>
      <c r="K1138" s="20">
        <v>1.1499999999999999</v>
      </c>
      <c r="L1138" s="21" t="s">
        <v>28</v>
      </c>
      <c r="M1138" s="22">
        <v>0.96</v>
      </c>
      <c r="N1138" s="22">
        <v>1.0499999999999999E-2</v>
      </c>
      <c r="O1138" s="22">
        <v>1052.3689999999999</v>
      </c>
      <c r="P1138" s="22">
        <f t="shared" si="161"/>
        <v>1161.8153759999998</v>
      </c>
      <c r="Q1138" s="22">
        <v>2757.7041798239825</v>
      </c>
      <c r="R1138" s="22">
        <f t="shared" si="162"/>
        <v>33.299277971374579</v>
      </c>
      <c r="S1138" s="22">
        <f t="shared" si="163"/>
        <v>1195.1146539713743</v>
      </c>
      <c r="T1138" s="23">
        <v>0.55859868298040061</v>
      </c>
      <c r="U1138" s="24">
        <v>0.1</v>
      </c>
      <c r="V1138" s="25">
        <f t="shared" si="166"/>
        <v>2048.9745382593974</v>
      </c>
      <c r="W1138" s="26" t="s">
        <v>29</v>
      </c>
    </row>
    <row r="1139" spans="1:23" ht="89.25" x14ac:dyDescent="0.25">
      <c r="A1139" s="17">
        <f t="shared" ca="1" si="165"/>
        <v>1135</v>
      </c>
      <c r="B1139" s="18" t="s">
        <v>1453</v>
      </c>
      <c r="C1139" s="18" t="s">
        <v>2298</v>
      </c>
      <c r="D1139" s="18"/>
      <c r="E1139" s="18"/>
      <c r="F1139" s="18"/>
      <c r="G1139" s="18"/>
      <c r="H1139" s="19" t="s">
        <v>2299</v>
      </c>
      <c r="I1139" s="18" t="s">
        <v>161</v>
      </c>
      <c r="J1139" s="20">
        <v>1</v>
      </c>
      <c r="K1139" s="20">
        <v>1.1499999999999999</v>
      </c>
      <c r="L1139" s="21" t="s">
        <v>28</v>
      </c>
      <c r="M1139" s="22">
        <v>0.8</v>
      </c>
      <c r="N1139" s="22">
        <v>1.0499999999999999E-2</v>
      </c>
      <c r="O1139" s="22">
        <v>1052.3689999999999</v>
      </c>
      <c r="P1139" s="22">
        <f t="shared" si="161"/>
        <v>968.1794799999999</v>
      </c>
      <c r="Q1139" s="22">
        <v>2757.7041798239825</v>
      </c>
      <c r="R1139" s="22">
        <f t="shared" si="162"/>
        <v>33.299277971374579</v>
      </c>
      <c r="S1139" s="22">
        <f t="shared" si="163"/>
        <v>1001.4787579713745</v>
      </c>
      <c r="T1139" s="23">
        <v>0.55859868298040061</v>
      </c>
      <c r="U1139" s="24">
        <v>0.1</v>
      </c>
      <c r="V1139" s="25">
        <f t="shared" si="166"/>
        <v>1716.9938205277349</v>
      </c>
      <c r="W1139" s="26" t="s">
        <v>29</v>
      </c>
    </row>
    <row r="1140" spans="1:23" ht="89.25" x14ac:dyDescent="0.25">
      <c r="A1140" s="17">
        <f t="shared" ca="1" si="165"/>
        <v>1136</v>
      </c>
      <c r="B1140" s="18" t="s">
        <v>1453</v>
      </c>
      <c r="C1140" s="18" t="s">
        <v>2300</v>
      </c>
      <c r="D1140" s="18"/>
      <c r="E1140" s="18"/>
      <c r="F1140" s="18"/>
      <c r="G1140" s="18"/>
      <c r="H1140" s="19" t="s">
        <v>2301</v>
      </c>
      <c r="I1140" s="18" t="s">
        <v>161</v>
      </c>
      <c r="J1140" s="20">
        <v>1</v>
      </c>
      <c r="K1140" s="20">
        <v>1.1499999999999999</v>
      </c>
      <c r="L1140" s="21" t="s">
        <v>28</v>
      </c>
      <c r="M1140" s="22">
        <v>14.480000000000002</v>
      </c>
      <c r="N1140" s="22">
        <v>1.0499999999999999E-2</v>
      </c>
      <c r="O1140" s="22">
        <v>1052.3689999999999</v>
      </c>
      <c r="P1140" s="22">
        <f t="shared" si="161"/>
        <v>17524.048587999998</v>
      </c>
      <c r="Q1140" s="22">
        <v>2757.7041798239825</v>
      </c>
      <c r="R1140" s="22">
        <f t="shared" si="162"/>
        <v>33.299277971374579</v>
      </c>
      <c r="S1140" s="22">
        <f t="shared" si="163"/>
        <v>17557.347865971373</v>
      </c>
      <c r="T1140" s="23">
        <v>0.55859868298040061</v>
      </c>
      <c r="U1140" s="24">
        <v>0.1</v>
      </c>
      <c r="V1140" s="25">
        <f t="shared" si="166"/>
        <v>30101.345186584902</v>
      </c>
      <c r="W1140" s="26" t="s">
        <v>29</v>
      </c>
    </row>
    <row r="1141" spans="1:23" ht="89.25" x14ac:dyDescent="0.25">
      <c r="A1141" s="17">
        <f t="shared" ca="1" si="165"/>
        <v>1137</v>
      </c>
      <c r="B1141" s="18" t="s">
        <v>1453</v>
      </c>
      <c r="C1141" s="18" t="s">
        <v>2302</v>
      </c>
      <c r="D1141" s="18"/>
      <c r="E1141" s="18"/>
      <c r="F1141" s="18"/>
      <c r="G1141" s="18"/>
      <c r="H1141" s="19" t="s">
        <v>2303</v>
      </c>
      <c r="I1141" s="18" t="s">
        <v>161</v>
      </c>
      <c r="J1141" s="20">
        <v>1</v>
      </c>
      <c r="K1141" s="20">
        <v>1.1499999999999999</v>
      </c>
      <c r="L1141" s="21" t="s">
        <v>28</v>
      </c>
      <c r="M1141" s="22">
        <v>26.400000000000002</v>
      </c>
      <c r="N1141" s="22">
        <v>1.47E-2</v>
      </c>
      <c r="O1141" s="22">
        <v>1052.3689999999999</v>
      </c>
      <c r="P1141" s="22">
        <f t="shared" si="161"/>
        <v>31949.922839999999</v>
      </c>
      <c r="Q1141" s="22">
        <v>2757.7041798239825</v>
      </c>
      <c r="R1141" s="22">
        <f t="shared" si="162"/>
        <v>46.618989159924418</v>
      </c>
      <c r="S1141" s="22">
        <f t="shared" si="163"/>
        <v>31996.541829159924</v>
      </c>
      <c r="T1141" s="23">
        <v>0.55859868298040061</v>
      </c>
      <c r="U1141" s="24">
        <v>0.1</v>
      </c>
      <c r="V1141" s="25">
        <f t="shared" si="166"/>
        <v>54856.744750341546</v>
      </c>
      <c r="W1141" s="26" t="s">
        <v>29</v>
      </c>
    </row>
    <row r="1142" spans="1:23" ht="89.25" x14ac:dyDescent="0.25">
      <c r="A1142" s="17">
        <f t="shared" ca="1" si="165"/>
        <v>1138</v>
      </c>
      <c r="B1142" s="18" t="s">
        <v>1453</v>
      </c>
      <c r="C1142" s="18" t="s">
        <v>2304</v>
      </c>
      <c r="D1142" s="18"/>
      <c r="E1142" s="18"/>
      <c r="F1142" s="18"/>
      <c r="G1142" s="18"/>
      <c r="H1142" s="19" t="s">
        <v>2305</v>
      </c>
      <c r="I1142" s="18" t="s">
        <v>161</v>
      </c>
      <c r="J1142" s="20">
        <v>1</v>
      </c>
      <c r="K1142" s="20">
        <v>1.1499999999999999</v>
      </c>
      <c r="L1142" s="21" t="s">
        <v>28</v>
      </c>
      <c r="M1142" s="22">
        <v>7.4400000000000013</v>
      </c>
      <c r="N1142" s="22">
        <v>0.28025234999999998</v>
      </c>
      <c r="O1142" s="22">
        <v>1052.3689999999999</v>
      </c>
      <c r="P1142" s="22">
        <f t="shared" si="161"/>
        <v>9004.0691640000005</v>
      </c>
      <c r="Q1142" s="22">
        <v>2757.7041798239825</v>
      </c>
      <c r="R1142" s="22">
        <f t="shared" si="162"/>
        <v>888.78103855056759</v>
      </c>
      <c r="S1142" s="22">
        <f t="shared" si="163"/>
        <v>9892.8502025505677</v>
      </c>
      <c r="T1142" s="23">
        <v>0.55859868298040061</v>
      </c>
      <c r="U1142" s="24">
        <v>0.1</v>
      </c>
      <c r="V1142" s="25">
        <f t="shared" si="166"/>
        <v>16960.881626279475</v>
      </c>
      <c r="W1142" s="26" t="s">
        <v>29</v>
      </c>
    </row>
    <row r="1143" spans="1:23" ht="89.25" x14ac:dyDescent="0.25">
      <c r="A1143" s="17">
        <f t="shared" ca="1" si="165"/>
        <v>1139</v>
      </c>
      <c r="B1143" s="18" t="s">
        <v>1453</v>
      </c>
      <c r="C1143" s="18" t="s">
        <v>2306</v>
      </c>
      <c r="D1143" s="18"/>
      <c r="E1143" s="18"/>
      <c r="F1143" s="18"/>
      <c r="G1143" s="18"/>
      <c r="H1143" s="19" t="s">
        <v>2307</v>
      </c>
      <c r="I1143" s="18" t="s">
        <v>161</v>
      </c>
      <c r="J1143" s="20">
        <v>1</v>
      </c>
      <c r="K1143" s="20">
        <v>1.1499999999999999</v>
      </c>
      <c r="L1143" s="21" t="s">
        <v>28</v>
      </c>
      <c r="M1143" s="22">
        <v>7.4400000000000013</v>
      </c>
      <c r="N1143" s="22">
        <v>0.28025234999999998</v>
      </c>
      <c r="O1143" s="22">
        <v>1052.3689999999999</v>
      </c>
      <c r="P1143" s="22">
        <f t="shared" si="161"/>
        <v>9004.0691640000005</v>
      </c>
      <c r="Q1143" s="22">
        <v>2757.7041798239825</v>
      </c>
      <c r="R1143" s="22">
        <f t="shared" si="162"/>
        <v>888.78103855056759</v>
      </c>
      <c r="S1143" s="22">
        <f t="shared" si="163"/>
        <v>9892.8502025505677</v>
      </c>
      <c r="T1143" s="23">
        <v>0.55859868298040061</v>
      </c>
      <c r="U1143" s="24">
        <v>0.1</v>
      </c>
      <c r="V1143" s="25">
        <f t="shared" si="166"/>
        <v>16960.881626279475</v>
      </c>
      <c r="W1143" s="26" t="s">
        <v>29</v>
      </c>
    </row>
    <row r="1144" spans="1:23" ht="89.25" x14ac:dyDescent="0.25">
      <c r="A1144" s="17">
        <f t="shared" ca="1" si="165"/>
        <v>1140</v>
      </c>
      <c r="B1144" s="18" t="s">
        <v>1453</v>
      </c>
      <c r="C1144" s="18" t="s">
        <v>2308</v>
      </c>
      <c r="D1144" s="18"/>
      <c r="E1144" s="18"/>
      <c r="F1144" s="18"/>
      <c r="G1144" s="18"/>
      <c r="H1144" s="19" t="s">
        <v>2309</v>
      </c>
      <c r="I1144" s="18" t="s">
        <v>161</v>
      </c>
      <c r="J1144" s="20">
        <v>1</v>
      </c>
      <c r="K1144" s="20">
        <v>1.1499999999999999</v>
      </c>
      <c r="L1144" s="21" t="s">
        <v>28</v>
      </c>
      <c r="M1144" s="22">
        <v>0.67200000000000004</v>
      </c>
      <c r="N1144" s="22">
        <v>1.0499999999999999E-2</v>
      </c>
      <c r="O1144" s="22">
        <v>1052.3689999999999</v>
      </c>
      <c r="P1144" s="22">
        <f t="shared" si="161"/>
        <v>813.27076319999992</v>
      </c>
      <c r="Q1144" s="22">
        <v>2757.7041798239825</v>
      </c>
      <c r="R1144" s="22">
        <f t="shared" si="162"/>
        <v>33.299277971374579</v>
      </c>
      <c r="S1144" s="22">
        <f t="shared" si="163"/>
        <v>846.57004117137444</v>
      </c>
      <c r="T1144" s="23">
        <v>0.55859868298040061</v>
      </c>
      <c r="U1144" s="24">
        <v>0.1</v>
      </c>
      <c r="V1144" s="25">
        <f t="shared" si="166"/>
        <v>1451.4092463424047</v>
      </c>
      <c r="W1144" s="26" t="s">
        <v>29</v>
      </c>
    </row>
    <row r="1145" spans="1:23" ht="89.25" x14ac:dyDescent="0.25">
      <c r="A1145" s="17">
        <f t="shared" ca="1" si="165"/>
        <v>1141</v>
      </c>
      <c r="B1145" s="18" t="s">
        <v>1453</v>
      </c>
      <c r="C1145" s="18" t="s">
        <v>2310</v>
      </c>
      <c r="D1145" s="18"/>
      <c r="E1145" s="18"/>
      <c r="F1145" s="18"/>
      <c r="G1145" s="18"/>
      <c r="H1145" s="19" t="s">
        <v>2311</v>
      </c>
      <c r="I1145" s="18" t="s">
        <v>161</v>
      </c>
      <c r="J1145" s="20">
        <v>1</v>
      </c>
      <c r="K1145" s="20">
        <v>1.1499999999999999</v>
      </c>
      <c r="L1145" s="21" t="s">
        <v>28</v>
      </c>
      <c r="M1145" s="22">
        <v>0.67200000000000004</v>
      </c>
      <c r="N1145" s="22">
        <v>1.0499999999999999E-2</v>
      </c>
      <c r="O1145" s="22">
        <v>1052.3689999999999</v>
      </c>
      <c r="P1145" s="22">
        <f t="shared" si="161"/>
        <v>813.27076319999992</v>
      </c>
      <c r="Q1145" s="22">
        <v>2757.7041798239825</v>
      </c>
      <c r="R1145" s="22">
        <f t="shared" si="162"/>
        <v>33.299277971374579</v>
      </c>
      <c r="S1145" s="22">
        <f t="shared" si="163"/>
        <v>846.57004117137444</v>
      </c>
      <c r="T1145" s="23">
        <v>0.55859868298040061</v>
      </c>
      <c r="U1145" s="24">
        <v>0.1</v>
      </c>
      <c r="V1145" s="25">
        <f t="shared" si="166"/>
        <v>1451.4092463424047</v>
      </c>
      <c r="W1145" s="26" t="s">
        <v>29</v>
      </c>
    </row>
    <row r="1146" spans="1:23" ht="89.25" x14ac:dyDescent="0.25">
      <c r="A1146" s="17">
        <f t="shared" ca="1" si="165"/>
        <v>1142</v>
      </c>
      <c r="B1146" s="18" t="s">
        <v>1453</v>
      </c>
      <c r="C1146" s="18" t="s">
        <v>2312</v>
      </c>
      <c r="D1146" s="18"/>
      <c r="E1146" s="18"/>
      <c r="F1146" s="18"/>
      <c r="G1146" s="18"/>
      <c r="H1146" s="19" t="s">
        <v>2313</v>
      </c>
      <c r="I1146" s="18" t="s">
        <v>161</v>
      </c>
      <c r="J1146" s="20">
        <v>1</v>
      </c>
      <c r="K1146" s="20">
        <v>1.1499999999999999</v>
      </c>
      <c r="L1146" s="21" t="s">
        <v>28</v>
      </c>
      <c r="M1146" s="22">
        <v>0.67200000000000004</v>
      </c>
      <c r="N1146" s="22">
        <v>1.0499999999999999E-2</v>
      </c>
      <c r="O1146" s="22">
        <v>1052.3689999999999</v>
      </c>
      <c r="P1146" s="22">
        <f t="shared" si="161"/>
        <v>813.27076319999992</v>
      </c>
      <c r="Q1146" s="22">
        <v>2757.7041798239825</v>
      </c>
      <c r="R1146" s="22">
        <f t="shared" si="162"/>
        <v>33.299277971374579</v>
      </c>
      <c r="S1146" s="22">
        <f t="shared" si="163"/>
        <v>846.57004117137444</v>
      </c>
      <c r="T1146" s="23">
        <v>0.55859868298040061</v>
      </c>
      <c r="U1146" s="24">
        <v>0.1</v>
      </c>
      <c r="V1146" s="25">
        <f t="shared" si="166"/>
        <v>1451.4092463424047</v>
      </c>
      <c r="W1146" s="26" t="s">
        <v>29</v>
      </c>
    </row>
    <row r="1147" spans="1:23" ht="89.25" x14ac:dyDescent="0.25">
      <c r="A1147" s="17">
        <f t="shared" ca="1" si="165"/>
        <v>1143</v>
      </c>
      <c r="B1147" s="18" t="s">
        <v>1453</v>
      </c>
      <c r="C1147" s="18" t="s">
        <v>2314</v>
      </c>
      <c r="D1147" s="18"/>
      <c r="E1147" s="18"/>
      <c r="F1147" s="18"/>
      <c r="G1147" s="18"/>
      <c r="H1147" s="19" t="s">
        <v>2315</v>
      </c>
      <c r="I1147" s="18" t="s">
        <v>161</v>
      </c>
      <c r="J1147" s="20">
        <v>1</v>
      </c>
      <c r="K1147" s="20">
        <v>1.1499999999999999</v>
      </c>
      <c r="L1147" s="21" t="s">
        <v>28</v>
      </c>
      <c r="M1147" s="22">
        <v>0.67200000000000004</v>
      </c>
      <c r="N1147" s="22">
        <v>1.0499999999999999E-2</v>
      </c>
      <c r="O1147" s="22">
        <v>1052.3689999999999</v>
      </c>
      <c r="P1147" s="22">
        <f t="shared" si="161"/>
        <v>813.27076319999992</v>
      </c>
      <c r="Q1147" s="22">
        <v>2757.7041798239825</v>
      </c>
      <c r="R1147" s="22">
        <f t="shared" si="162"/>
        <v>33.299277971374579</v>
      </c>
      <c r="S1147" s="22">
        <f t="shared" si="163"/>
        <v>846.57004117137444</v>
      </c>
      <c r="T1147" s="23">
        <v>0.55859868298040061</v>
      </c>
      <c r="U1147" s="24">
        <v>0.1</v>
      </c>
      <c r="V1147" s="25">
        <f t="shared" si="166"/>
        <v>1451.4092463424047</v>
      </c>
      <c r="W1147" s="26" t="s">
        <v>29</v>
      </c>
    </row>
    <row r="1148" spans="1:23" ht="89.25" x14ac:dyDescent="0.25">
      <c r="A1148" s="17">
        <f t="shared" ca="1" si="165"/>
        <v>1144</v>
      </c>
      <c r="B1148" s="18" t="s">
        <v>1453</v>
      </c>
      <c r="C1148" s="18" t="s">
        <v>2316</v>
      </c>
      <c r="D1148" s="18"/>
      <c r="E1148" s="18"/>
      <c r="F1148" s="18"/>
      <c r="G1148" s="18"/>
      <c r="H1148" s="19" t="s">
        <v>2317</v>
      </c>
      <c r="I1148" s="18" t="s">
        <v>161</v>
      </c>
      <c r="J1148" s="20">
        <v>1</v>
      </c>
      <c r="K1148" s="20">
        <v>1.1499999999999999</v>
      </c>
      <c r="L1148" s="21" t="s">
        <v>28</v>
      </c>
      <c r="M1148" s="22">
        <v>0.4</v>
      </c>
      <c r="N1148" s="22">
        <v>1.0499999999999999E-2</v>
      </c>
      <c r="O1148" s="22">
        <v>1052.3689999999999</v>
      </c>
      <c r="P1148" s="22">
        <f t="shared" si="161"/>
        <v>484.08973999999995</v>
      </c>
      <c r="Q1148" s="22">
        <v>2757.7041798239825</v>
      </c>
      <c r="R1148" s="22">
        <f t="shared" si="162"/>
        <v>33.299277971374579</v>
      </c>
      <c r="S1148" s="22">
        <f t="shared" si="163"/>
        <v>517.38901797137453</v>
      </c>
      <c r="T1148" s="23">
        <v>0.55859868298040061</v>
      </c>
      <c r="U1148" s="24">
        <v>0.1</v>
      </c>
      <c r="V1148" s="25">
        <f t="shared" si="166"/>
        <v>887.0420261985779</v>
      </c>
      <c r="W1148" s="26" t="s">
        <v>29</v>
      </c>
    </row>
    <row r="1149" spans="1:23" ht="89.25" x14ac:dyDescent="0.25">
      <c r="A1149" s="17">
        <f t="shared" ca="1" si="165"/>
        <v>1145</v>
      </c>
      <c r="B1149" s="18" t="s">
        <v>1453</v>
      </c>
      <c r="C1149" s="18" t="s">
        <v>2318</v>
      </c>
      <c r="D1149" s="18"/>
      <c r="E1149" s="18"/>
      <c r="F1149" s="18"/>
      <c r="G1149" s="18"/>
      <c r="H1149" s="19" t="s">
        <v>2319</v>
      </c>
      <c r="I1149" s="18" t="s">
        <v>161</v>
      </c>
      <c r="J1149" s="20">
        <v>1</v>
      </c>
      <c r="K1149" s="20">
        <v>1.1499999999999999</v>
      </c>
      <c r="L1149" s="21" t="s">
        <v>28</v>
      </c>
      <c r="M1149" s="22">
        <v>0.8</v>
      </c>
      <c r="N1149" s="22">
        <v>1.0499999999999999E-2</v>
      </c>
      <c r="O1149" s="22">
        <v>1052.3689999999999</v>
      </c>
      <c r="P1149" s="22">
        <f t="shared" si="161"/>
        <v>968.1794799999999</v>
      </c>
      <c r="Q1149" s="22">
        <v>2757.7041798239825</v>
      </c>
      <c r="R1149" s="22">
        <f t="shared" si="162"/>
        <v>33.299277971374579</v>
      </c>
      <c r="S1149" s="22">
        <f t="shared" si="163"/>
        <v>1001.4787579713745</v>
      </c>
      <c r="T1149" s="23">
        <v>0.55859868298040061</v>
      </c>
      <c r="U1149" s="24">
        <v>0.1</v>
      </c>
      <c r="V1149" s="25">
        <f t="shared" si="166"/>
        <v>1716.9938205277349</v>
      </c>
      <c r="W1149" s="26" t="s">
        <v>29</v>
      </c>
    </row>
    <row r="1150" spans="1:23" ht="89.25" x14ac:dyDescent="0.25">
      <c r="A1150" s="17">
        <f t="shared" ca="1" si="165"/>
        <v>1146</v>
      </c>
      <c r="B1150" s="18" t="s">
        <v>1453</v>
      </c>
      <c r="C1150" s="18" t="s">
        <v>2320</v>
      </c>
      <c r="D1150" s="18"/>
      <c r="E1150" s="18"/>
      <c r="F1150" s="18"/>
      <c r="G1150" s="18"/>
      <c r="H1150" s="19" t="s">
        <v>2321</v>
      </c>
      <c r="I1150" s="18" t="s">
        <v>161</v>
      </c>
      <c r="J1150" s="20">
        <v>1</v>
      </c>
      <c r="K1150" s="20">
        <v>1.1499999999999999</v>
      </c>
      <c r="L1150" s="21" t="s">
        <v>28</v>
      </c>
      <c r="M1150" s="22">
        <v>0.8</v>
      </c>
      <c r="N1150" s="22">
        <v>1.0499999999999999E-2</v>
      </c>
      <c r="O1150" s="22">
        <v>1052.3689999999999</v>
      </c>
      <c r="P1150" s="22">
        <f t="shared" si="161"/>
        <v>968.1794799999999</v>
      </c>
      <c r="Q1150" s="22">
        <v>2757.7041798239825</v>
      </c>
      <c r="R1150" s="22">
        <f t="shared" si="162"/>
        <v>33.299277971374579</v>
      </c>
      <c r="S1150" s="22">
        <f t="shared" si="163"/>
        <v>1001.4787579713745</v>
      </c>
      <c r="T1150" s="23">
        <v>0.55859868298040061</v>
      </c>
      <c r="U1150" s="24">
        <v>0.1</v>
      </c>
      <c r="V1150" s="25">
        <f t="shared" si="166"/>
        <v>1716.9938205277349</v>
      </c>
      <c r="W1150" s="26" t="s">
        <v>29</v>
      </c>
    </row>
    <row r="1151" spans="1:23" ht="89.25" x14ac:dyDescent="0.25">
      <c r="A1151" s="17">
        <f t="shared" ca="1" si="165"/>
        <v>1147</v>
      </c>
      <c r="B1151" s="18" t="s">
        <v>1453</v>
      </c>
      <c r="C1151" s="18" t="s">
        <v>2322</v>
      </c>
      <c r="D1151" s="18"/>
      <c r="E1151" s="18"/>
      <c r="F1151" s="18"/>
      <c r="G1151" s="18"/>
      <c r="H1151" s="19" t="s">
        <v>2323</v>
      </c>
      <c r="I1151" s="18" t="s">
        <v>161</v>
      </c>
      <c r="J1151" s="20">
        <v>1</v>
      </c>
      <c r="K1151" s="20">
        <v>1.1499999999999999</v>
      </c>
      <c r="L1151" s="21" t="s">
        <v>28</v>
      </c>
      <c r="M1151" s="22">
        <v>1.3440000000000001</v>
      </c>
      <c r="N1151" s="22">
        <v>1.0499999999999999E-2</v>
      </c>
      <c r="O1151" s="22">
        <v>1052.3689999999999</v>
      </c>
      <c r="P1151" s="22">
        <f t="shared" si="161"/>
        <v>1626.5415263999998</v>
      </c>
      <c r="Q1151" s="22">
        <v>2757.7041798239825</v>
      </c>
      <c r="R1151" s="22">
        <f t="shared" si="162"/>
        <v>33.299277971374579</v>
      </c>
      <c r="S1151" s="22">
        <f t="shared" si="163"/>
        <v>1659.8408043713744</v>
      </c>
      <c r="T1151" s="23">
        <v>0.55859868298040061</v>
      </c>
      <c r="U1151" s="24">
        <v>0.1</v>
      </c>
      <c r="V1151" s="25">
        <f t="shared" si="166"/>
        <v>2845.7282608153882</v>
      </c>
      <c r="W1151" s="26" t="s">
        <v>29</v>
      </c>
    </row>
    <row r="1152" spans="1:23" ht="89.25" x14ac:dyDescent="0.25">
      <c r="A1152" s="17">
        <f t="shared" ca="1" si="165"/>
        <v>1148</v>
      </c>
      <c r="B1152" s="18" t="s">
        <v>1453</v>
      </c>
      <c r="C1152" s="18" t="s">
        <v>2324</v>
      </c>
      <c r="D1152" s="18"/>
      <c r="E1152" s="18"/>
      <c r="F1152" s="18"/>
      <c r="G1152" s="18"/>
      <c r="H1152" s="19" t="s">
        <v>2325</v>
      </c>
      <c r="I1152" s="18" t="s">
        <v>161</v>
      </c>
      <c r="J1152" s="20">
        <v>1</v>
      </c>
      <c r="K1152" s="20">
        <v>1.1499999999999999</v>
      </c>
      <c r="L1152" s="21" t="s">
        <v>28</v>
      </c>
      <c r="M1152" s="22">
        <v>6.56</v>
      </c>
      <c r="N1152" s="22">
        <v>1.1631480000000001</v>
      </c>
      <c r="O1152" s="22">
        <v>1052.3689999999999</v>
      </c>
      <c r="P1152" s="22">
        <f t="shared" ref="P1152:P1213" si="167">O1152*M1152*K1152</f>
        <v>7939.071735999999</v>
      </c>
      <c r="Q1152" s="22">
        <v>2757.7041798239825</v>
      </c>
      <c r="R1152" s="22">
        <f t="shared" ref="R1152:R1213" si="168">N1152*Q1152*K1152</f>
        <v>3688.7608165569914</v>
      </c>
      <c r="S1152" s="22">
        <f t="shared" ref="S1152:S1213" si="169">P1152+R1152</f>
        <v>11627.832552556991</v>
      </c>
      <c r="T1152" s="23">
        <v>0.55859868298040061</v>
      </c>
      <c r="U1152" s="24">
        <v>0.1</v>
      </c>
      <c r="V1152" s="25">
        <f t="shared" si="166"/>
        <v>19935.436952565153</v>
      </c>
      <c r="W1152" s="26" t="s">
        <v>29</v>
      </c>
    </row>
    <row r="1153" spans="1:23" ht="89.25" x14ac:dyDescent="0.25">
      <c r="A1153" s="17">
        <f t="shared" ca="1" si="165"/>
        <v>1149</v>
      </c>
      <c r="B1153" s="18" t="s">
        <v>1453</v>
      </c>
      <c r="C1153" s="18" t="s">
        <v>2326</v>
      </c>
      <c r="D1153" s="18"/>
      <c r="E1153" s="18"/>
      <c r="F1153" s="18"/>
      <c r="G1153" s="18"/>
      <c r="H1153" s="19" t="s">
        <v>2327</v>
      </c>
      <c r="I1153" s="18" t="s">
        <v>161</v>
      </c>
      <c r="J1153" s="20">
        <v>1</v>
      </c>
      <c r="K1153" s="20">
        <v>1.1499999999999999</v>
      </c>
      <c r="L1153" s="21" t="s">
        <v>28</v>
      </c>
      <c r="M1153" s="22">
        <v>3.84</v>
      </c>
      <c r="N1153" s="22">
        <v>1.0499999999999999E-2</v>
      </c>
      <c r="O1153" s="22">
        <v>1052.3689999999999</v>
      </c>
      <c r="P1153" s="22">
        <f t="shared" si="167"/>
        <v>4647.2615039999991</v>
      </c>
      <c r="Q1153" s="22">
        <v>2757.7041798239825</v>
      </c>
      <c r="R1153" s="22">
        <f t="shared" si="168"/>
        <v>33.299277971374579</v>
      </c>
      <c r="S1153" s="22">
        <f t="shared" si="169"/>
        <v>4680.5607819713741</v>
      </c>
      <c r="T1153" s="23">
        <v>0.55859868298040061</v>
      </c>
      <c r="U1153" s="24">
        <v>0.1</v>
      </c>
      <c r="V1153" s="25">
        <f t="shared" si="166"/>
        <v>8024.6274574293284</v>
      </c>
      <c r="W1153" s="26" t="s">
        <v>29</v>
      </c>
    </row>
    <row r="1154" spans="1:23" ht="89.25" x14ac:dyDescent="0.25">
      <c r="A1154" s="17">
        <f t="shared" ca="1" si="165"/>
        <v>1150</v>
      </c>
      <c r="B1154" s="18" t="s">
        <v>1453</v>
      </c>
      <c r="C1154" s="18" t="s">
        <v>2328</v>
      </c>
      <c r="D1154" s="18"/>
      <c r="E1154" s="18"/>
      <c r="F1154" s="18"/>
      <c r="G1154" s="18"/>
      <c r="H1154" s="19" t="s">
        <v>2329</v>
      </c>
      <c r="I1154" s="18" t="s">
        <v>161</v>
      </c>
      <c r="J1154" s="20">
        <v>1</v>
      </c>
      <c r="K1154" s="20">
        <v>1.1499999999999999</v>
      </c>
      <c r="L1154" s="21" t="s">
        <v>28</v>
      </c>
      <c r="M1154" s="22">
        <v>0.8</v>
      </c>
      <c r="N1154" s="22">
        <v>1.0499999999999999E-2</v>
      </c>
      <c r="O1154" s="22">
        <v>1052.3689999999999</v>
      </c>
      <c r="P1154" s="22">
        <f t="shared" si="167"/>
        <v>968.1794799999999</v>
      </c>
      <c r="Q1154" s="22">
        <v>2757.7041798239825</v>
      </c>
      <c r="R1154" s="22">
        <f t="shared" si="168"/>
        <v>33.299277971374579</v>
      </c>
      <c r="S1154" s="22">
        <f t="shared" si="169"/>
        <v>1001.4787579713745</v>
      </c>
      <c r="T1154" s="23">
        <v>0.55859868298040061</v>
      </c>
      <c r="U1154" s="24">
        <v>0.1</v>
      </c>
      <c r="V1154" s="25">
        <f t="shared" si="166"/>
        <v>1716.9938205277349</v>
      </c>
      <c r="W1154" s="26" t="s">
        <v>29</v>
      </c>
    </row>
    <row r="1155" spans="1:23" ht="89.25" x14ac:dyDescent="0.25">
      <c r="A1155" s="17">
        <f t="shared" ref="A1155:A1218" ca="1" si="170">CELL("строка",A1155)-4</f>
        <v>1151</v>
      </c>
      <c r="B1155" s="18" t="s">
        <v>1453</v>
      </c>
      <c r="C1155" s="18" t="s">
        <v>2330</v>
      </c>
      <c r="D1155" s="18"/>
      <c r="E1155" s="18"/>
      <c r="F1155" s="18"/>
      <c r="G1155" s="18"/>
      <c r="H1155" s="19" t="s">
        <v>2331</v>
      </c>
      <c r="I1155" s="18" t="s">
        <v>161</v>
      </c>
      <c r="J1155" s="20">
        <v>1</v>
      </c>
      <c r="K1155" s="20">
        <v>1.1499999999999999</v>
      </c>
      <c r="L1155" s="21" t="s">
        <v>28</v>
      </c>
      <c r="M1155" s="22">
        <v>0.8</v>
      </c>
      <c r="N1155" s="22">
        <v>1.0499999999999999E-2</v>
      </c>
      <c r="O1155" s="22">
        <v>1052.3689999999999</v>
      </c>
      <c r="P1155" s="22">
        <f t="shared" si="167"/>
        <v>968.1794799999999</v>
      </c>
      <c r="Q1155" s="22">
        <v>2757.7041798239825</v>
      </c>
      <c r="R1155" s="22">
        <f t="shared" si="168"/>
        <v>33.299277971374579</v>
      </c>
      <c r="S1155" s="22">
        <f t="shared" si="169"/>
        <v>1001.4787579713745</v>
      </c>
      <c r="T1155" s="23">
        <v>0.55859868298040061</v>
      </c>
      <c r="U1155" s="24">
        <v>0.1</v>
      </c>
      <c r="V1155" s="25">
        <f t="shared" si="166"/>
        <v>1716.9938205277349</v>
      </c>
      <c r="W1155" s="26" t="s">
        <v>29</v>
      </c>
    </row>
    <row r="1156" spans="1:23" ht="89.25" x14ac:dyDescent="0.25">
      <c r="A1156" s="17">
        <f t="shared" ca="1" si="170"/>
        <v>1152</v>
      </c>
      <c r="B1156" s="18" t="s">
        <v>1453</v>
      </c>
      <c r="C1156" s="18" t="s">
        <v>2332</v>
      </c>
      <c r="D1156" s="18"/>
      <c r="E1156" s="18"/>
      <c r="F1156" s="18"/>
      <c r="G1156" s="18"/>
      <c r="H1156" s="19" t="s">
        <v>2333</v>
      </c>
      <c r="I1156" s="18" t="s">
        <v>161</v>
      </c>
      <c r="J1156" s="20">
        <v>1</v>
      </c>
      <c r="K1156" s="20">
        <v>1.1499999999999999</v>
      </c>
      <c r="L1156" s="21" t="s">
        <v>28</v>
      </c>
      <c r="M1156" s="22">
        <v>0.43200000000000005</v>
      </c>
      <c r="N1156" s="22">
        <v>4.2192499999999994E-2</v>
      </c>
      <c r="O1156" s="22">
        <v>1052.3689999999999</v>
      </c>
      <c r="P1156" s="22">
        <f t="shared" si="167"/>
        <v>522.81691920000003</v>
      </c>
      <c r="Q1156" s="22">
        <v>2757.7041798239825</v>
      </c>
      <c r="R1156" s="22">
        <f t="shared" si="168"/>
        <v>133.80759864830688</v>
      </c>
      <c r="S1156" s="22">
        <f t="shared" si="169"/>
        <v>656.62451784830694</v>
      </c>
      <c r="T1156" s="23">
        <v>0.55859868298040061</v>
      </c>
      <c r="U1156" s="24">
        <v>0.1</v>
      </c>
      <c r="V1156" s="25">
        <f t="shared" si="166"/>
        <v>1125.755519604113</v>
      </c>
      <c r="W1156" s="26" t="s">
        <v>29</v>
      </c>
    </row>
    <row r="1157" spans="1:23" ht="89.25" x14ac:dyDescent="0.25">
      <c r="A1157" s="17">
        <f t="shared" ca="1" si="170"/>
        <v>1153</v>
      </c>
      <c r="B1157" s="18" t="s">
        <v>1453</v>
      </c>
      <c r="C1157" s="18" t="s">
        <v>2334</v>
      </c>
      <c r="D1157" s="18"/>
      <c r="E1157" s="18"/>
      <c r="F1157" s="18"/>
      <c r="G1157" s="18"/>
      <c r="H1157" s="19" t="s">
        <v>2335</v>
      </c>
      <c r="I1157" s="18" t="s">
        <v>161</v>
      </c>
      <c r="J1157" s="20">
        <v>1</v>
      </c>
      <c r="K1157" s="20">
        <v>1.1499999999999999</v>
      </c>
      <c r="L1157" s="21" t="s">
        <v>28</v>
      </c>
      <c r="M1157" s="22">
        <v>0.43200000000000005</v>
      </c>
      <c r="N1157" s="22">
        <v>4.2192499999999994E-2</v>
      </c>
      <c r="O1157" s="22">
        <v>1052.3689999999999</v>
      </c>
      <c r="P1157" s="22">
        <f t="shared" si="167"/>
        <v>522.81691920000003</v>
      </c>
      <c r="Q1157" s="22">
        <v>2757.7041798239825</v>
      </c>
      <c r="R1157" s="22">
        <f t="shared" si="168"/>
        <v>133.80759864830688</v>
      </c>
      <c r="S1157" s="22">
        <f t="shared" si="169"/>
        <v>656.62451784830694</v>
      </c>
      <c r="T1157" s="23">
        <v>0.55859868298040061</v>
      </c>
      <c r="U1157" s="24">
        <v>0.1</v>
      </c>
      <c r="V1157" s="25">
        <f t="shared" si="166"/>
        <v>1125.755519604113</v>
      </c>
      <c r="W1157" s="26" t="s">
        <v>29</v>
      </c>
    </row>
    <row r="1158" spans="1:23" ht="89.25" x14ac:dyDescent="0.25">
      <c r="A1158" s="17">
        <f t="shared" ca="1" si="170"/>
        <v>1154</v>
      </c>
      <c r="B1158" s="18" t="s">
        <v>1453</v>
      </c>
      <c r="C1158" s="18" t="s">
        <v>2336</v>
      </c>
      <c r="D1158" s="18"/>
      <c r="E1158" s="18"/>
      <c r="F1158" s="18"/>
      <c r="G1158" s="18"/>
      <c r="H1158" s="19" t="s">
        <v>2337</v>
      </c>
      <c r="I1158" s="18" t="s">
        <v>161</v>
      </c>
      <c r="J1158" s="20">
        <v>1</v>
      </c>
      <c r="K1158" s="20">
        <v>1.1499999999999999</v>
      </c>
      <c r="L1158" s="21" t="s">
        <v>28</v>
      </c>
      <c r="M1158" s="22">
        <v>1.6</v>
      </c>
      <c r="N1158" s="22">
        <v>1.0499999999999999E-2</v>
      </c>
      <c r="O1158" s="22">
        <v>1052.3689999999999</v>
      </c>
      <c r="P1158" s="22">
        <f t="shared" si="167"/>
        <v>1936.3589599999998</v>
      </c>
      <c r="Q1158" s="22">
        <v>2757.7041798239825</v>
      </c>
      <c r="R1158" s="22">
        <f t="shared" si="168"/>
        <v>33.299277971374579</v>
      </c>
      <c r="S1158" s="22">
        <f t="shared" si="169"/>
        <v>1969.6582379713743</v>
      </c>
      <c r="T1158" s="23">
        <v>0.55859868298040061</v>
      </c>
      <c r="U1158" s="24">
        <v>0.1</v>
      </c>
      <c r="V1158" s="25">
        <f t="shared" si="166"/>
        <v>3376.8974091860487</v>
      </c>
      <c r="W1158" s="26" t="s">
        <v>29</v>
      </c>
    </row>
    <row r="1159" spans="1:23" ht="89.25" x14ac:dyDescent="0.25">
      <c r="A1159" s="17">
        <f t="shared" ca="1" si="170"/>
        <v>1155</v>
      </c>
      <c r="B1159" s="18" t="s">
        <v>1453</v>
      </c>
      <c r="C1159" s="18" t="s">
        <v>2338</v>
      </c>
      <c r="D1159" s="18"/>
      <c r="E1159" s="18"/>
      <c r="F1159" s="18"/>
      <c r="G1159" s="18"/>
      <c r="H1159" s="19" t="s">
        <v>2339</v>
      </c>
      <c r="I1159" s="18" t="s">
        <v>161</v>
      </c>
      <c r="J1159" s="20">
        <v>1</v>
      </c>
      <c r="K1159" s="20">
        <v>1.1499999999999999</v>
      </c>
      <c r="L1159" s="21" t="s">
        <v>28</v>
      </c>
      <c r="M1159" s="22">
        <v>0.8</v>
      </c>
      <c r="N1159" s="22">
        <v>1.0499999999999999E-2</v>
      </c>
      <c r="O1159" s="22">
        <v>1052.3689999999999</v>
      </c>
      <c r="P1159" s="22">
        <f t="shared" si="167"/>
        <v>968.1794799999999</v>
      </c>
      <c r="Q1159" s="22">
        <v>2757.7041798239825</v>
      </c>
      <c r="R1159" s="22">
        <f t="shared" si="168"/>
        <v>33.299277971374579</v>
      </c>
      <c r="S1159" s="22">
        <f t="shared" si="169"/>
        <v>1001.4787579713745</v>
      </c>
      <c r="T1159" s="23">
        <v>0.55859868298040061</v>
      </c>
      <c r="U1159" s="24">
        <v>0.1</v>
      </c>
      <c r="V1159" s="25">
        <f t="shared" si="166"/>
        <v>1716.9938205277349</v>
      </c>
      <c r="W1159" s="26" t="s">
        <v>29</v>
      </c>
    </row>
    <row r="1160" spans="1:23" ht="89.25" x14ac:dyDescent="0.25">
      <c r="A1160" s="17">
        <f t="shared" ca="1" si="170"/>
        <v>1156</v>
      </c>
      <c r="B1160" s="18" t="s">
        <v>1453</v>
      </c>
      <c r="C1160" s="18" t="s">
        <v>2340</v>
      </c>
      <c r="D1160" s="18"/>
      <c r="E1160" s="18"/>
      <c r="F1160" s="18"/>
      <c r="G1160" s="18"/>
      <c r="H1160" s="19" t="s">
        <v>2341</v>
      </c>
      <c r="I1160" s="18" t="s">
        <v>161</v>
      </c>
      <c r="J1160" s="20">
        <v>1</v>
      </c>
      <c r="K1160" s="20">
        <v>1.1499999999999999</v>
      </c>
      <c r="L1160" s="21" t="s">
        <v>28</v>
      </c>
      <c r="M1160" s="22">
        <v>2.2640000000000002</v>
      </c>
      <c r="N1160" s="22">
        <v>6.3699999999999998E-3</v>
      </c>
      <c r="O1160" s="22">
        <v>1052.3689999999999</v>
      </c>
      <c r="P1160" s="22">
        <f t="shared" si="167"/>
        <v>2739.9479283999999</v>
      </c>
      <c r="Q1160" s="22">
        <v>2757.7041798239825</v>
      </c>
      <c r="R1160" s="22">
        <f t="shared" si="168"/>
        <v>20.201561969300585</v>
      </c>
      <c r="S1160" s="22">
        <f t="shared" si="169"/>
        <v>2760.1494903693006</v>
      </c>
      <c r="T1160" s="23">
        <v>0.55859868298040061</v>
      </c>
      <c r="U1160" s="24">
        <v>0.1</v>
      </c>
      <c r="V1160" s="25">
        <f t="shared" si="166"/>
        <v>4732.1618965704774</v>
      </c>
      <c r="W1160" s="26" t="s">
        <v>29</v>
      </c>
    </row>
    <row r="1161" spans="1:23" ht="89.25" x14ac:dyDescent="0.25">
      <c r="A1161" s="17">
        <f t="shared" ca="1" si="170"/>
        <v>1157</v>
      </c>
      <c r="B1161" s="18" t="s">
        <v>1453</v>
      </c>
      <c r="C1161" s="18" t="s">
        <v>2342</v>
      </c>
      <c r="D1161" s="18"/>
      <c r="E1161" s="18"/>
      <c r="F1161" s="18"/>
      <c r="G1161" s="18"/>
      <c r="H1161" s="19" t="s">
        <v>2343</v>
      </c>
      <c r="I1161" s="18" t="s">
        <v>161</v>
      </c>
      <c r="J1161" s="20">
        <v>1</v>
      </c>
      <c r="K1161" s="20">
        <v>1.1499999999999999</v>
      </c>
      <c r="L1161" s="21" t="s">
        <v>28</v>
      </c>
      <c r="M1161" s="22">
        <v>4.5280000000000005</v>
      </c>
      <c r="N1161" s="22">
        <v>9.4569999999999984E-3</v>
      </c>
      <c r="O1161" s="22">
        <v>1052.3689999999999</v>
      </c>
      <c r="P1161" s="22">
        <f t="shared" si="167"/>
        <v>5479.8958567999998</v>
      </c>
      <c r="Q1161" s="22">
        <v>2757.7041798239825</v>
      </c>
      <c r="R1161" s="22">
        <f t="shared" si="168"/>
        <v>29.991549692884707</v>
      </c>
      <c r="S1161" s="22">
        <f t="shared" si="169"/>
        <v>5509.8874064928841</v>
      </c>
      <c r="T1161" s="23">
        <v>0.55859868298040061</v>
      </c>
      <c r="U1161" s="24">
        <v>0.1</v>
      </c>
      <c r="V1161" s="25">
        <f t="shared" si="166"/>
        <v>9446.4735806431163</v>
      </c>
      <c r="W1161" s="26" t="s">
        <v>29</v>
      </c>
    </row>
    <row r="1162" spans="1:23" ht="89.25" x14ac:dyDescent="0.25">
      <c r="A1162" s="17">
        <f t="shared" ca="1" si="170"/>
        <v>1158</v>
      </c>
      <c r="B1162" s="18" t="s">
        <v>1453</v>
      </c>
      <c r="C1162" s="18" t="s">
        <v>2344</v>
      </c>
      <c r="D1162" s="18"/>
      <c r="E1162" s="18"/>
      <c r="F1162" s="18"/>
      <c r="G1162" s="18"/>
      <c r="H1162" s="19" t="s">
        <v>2345</v>
      </c>
      <c r="I1162" s="18" t="s">
        <v>161</v>
      </c>
      <c r="J1162" s="20">
        <v>1</v>
      </c>
      <c r="K1162" s="20">
        <v>1.1499999999999999</v>
      </c>
      <c r="L1162" s="21" t="s">
        <v>28</v>
      </c>
      <c r="M1162" s="22">
        <v>3.3439999999999999</v>
      </c>
      <c r="N1162" s="22">
        <v>6.3699999999999998E-3</v>
      </c>
      <c r="O1162" s="22">
        <v>1052.3689999999999</v>
      </c>
      <c r="P1162" s="22">
        <f t="shared" si="167"/>
        <v>4046.9902263999993</v>
      </c>
      <c r="Q1162" s="22">
        <v>2757.7041798239825</v>
      </c>
      <c r="R1162" s="22">
        <f t="shared" si="168"/>
        <v>20.201561969300585</v>
      </c>
      <c r="S1162" s="22">
        <f t="shared" si="169"/>
        <v>4067.1917883693</v>
      </c>
      <c r="T1162" s="23">
        <v>0.55859868298040061</v>
      </c>
      <c r="U1162" s="24">
        <v>0.1</v>
      </c>
      <c r="V1162" s="25">
        <f t="shared" si="166"/>
        <v>6973.0317412592003</v>
      </c>
      <c r="W1162" s="26" t="s">
        <v>29</v>
      </c>
    </row>
    <row r="1163" spans="1:23" ht="89.25" x14ac:dyDescent="0.25">
      <c r="A1163" s="17">
        <f t="shared" ca="1" si="170"/>
        <v>1159</v>
      </c>
      <c r="B1163" s="18" t="s">
        <v>1453</v>
      </c>
      <c r="C1163" s="18" t="s">
        <v>2346</v>
      </c>
      <c r="D1163" s="18"/>
      <c r="E1163" s="18"/>
      <c r="F1163" s="18"/>
      <c r="G1163" s="18"/>
      <c r="H1163" s="19" t="s">
        <v>2347</v>
      </c>
      <c r="I1163" s="18" t="s">
        <v>161</v>
      </c>
      <c r="J1163" s="20">
        <v>1</v>
      </c>
      <c r="K1163" s="20">
        <v>1.1499999999999999</v>
      </c>
      <c r="L1163" s="21" t="s">
        <v>28</v>
      </c>
      <c r="M1163" s="22">
        <v>6.6879999999999997</v>
      </c>
      <c r="N1163" s="22">
        <v>9.4569999999999984E-3</v>
      </c>
      <c r="O1163" s="22">
        <v>1052.3689999999999</v>
      </c>
      <c r="P1163" s="22">
        <f t="shared" si="167"/>
        <v>8093.9804527999986</v>
      </c>
      <c r="Q1163" s="22">
        <v>2757.7041798239825</v>
      </c>
      <c r="R1163" s="22">
        <f t="shared" si="168"/>
        <v>29.991549692884707</v>
      </c>
      <c r="S1163" s="22">
        <f t="shared" si="169"/>
        <v>8123.9720024928829</v>
      </c>
      <c r="T1163" s="23">
        <v>0.55859868298040061</v>
      </c>
      <c r="U1163" s="24">
        <v>0.1</v>
      </c>
      <c r="V1163" s="25">
        <f t="shared" si="166"/>
        <v>13928.213270020562</v>
      </c>
      <c r="W1163" s="26" t="s">
        <v>29</v>
      </c>
    </row>
    <row r="1164" spans="1:23" ht="89.25" x14ac:dyDescent="0.25">
      <c r="A1164" s="17">
        <f t="shared" ca="1" si="170"/>
        <v>1160</v>
      </c>
      <c r="B1164" s="18" t="s">
        <v>1453</v>
      </c>
      <c r="C1164" s="18" t="s">
        <v>2348</v>
      </c>
      <c r="D1164" s="18"/>
      <c r="E1164" s="18"/>
      <c r="F1164" s="18"/>
      <c r="G1164" s="18"/>
      <c r="H1164" s="19" t="s">
        <v>2349</v>
      </c>
      <c r="I1164" s="18" t="s">
        <v>161</v>
      </c>
      <c r="J1164" s="20">
        <v>1</v>
      </c>
      <c r="K1164" s="20">
        <v>1.1499999999999999</v>
      </c>
      <c r="L1164" s="21" t="s">
        <v>28</v>
      </c>
      <c r="M1164" s="22">
        <v>10.032</v>
      </c>
      <c r="N1164" s="22">
        <v>1.8374999999999999E-2</v>
      </c>
      <c r="O1164" s="22">
        <v>1052.3689999999999</v>
      </c>
      <c r="P1164" s="22">
        <f t="shared" si="167"/>
        <v>12140.970679199998</v>
      </c>
      <c r="Q1164" s="22">
        <v>2757.7041798239825</v>
      </c>
      <c r="R1164" s="22">
        <f t="shared" si="168"/>
        <v>58.273736449905527</v>
      </c>
      <c r="S1164" s="22">
        <f t="shared" si="169"/>
        <v>12199.244415649904</v>
      </c>
      <c r="T1164" s="23">
        <v>0.55859868298040061</v>
      </c>
      <c r="U1164" s="24">
        <v>0.1</v>
      </c>
      <c r="V1164" s="25">
        <f t="shared" si="166"/>
        <v>20915.098907546741</v>
      </c>
      <c r="W1164" s="26" t="s">
        <v>29</v>
      </c>
    </row>
    <row r="1165" spans="1:23" ht="89.25" x14ac:dyDescent="0.25">
      <c r="A1165" s="17">
        <f t="shared" ca="1" si="170"/>
        <v>1161</v>
      </c>
      <c r="B1165" s="18" t="s">
        <v>1453</v>
      </c>
      <c r="C1165" s="18" t="s">
        <v>2350</v>
      </c>
      <c r="D1165" s="18"/>
      <c r="E1165" s="18"/>
      <c r="F1165" s="18"/>
      <c r="G1165" s="18"/>
      <c r="H1165" s="19" t="s">
        <v>2351</v>
      </c>
      <c r="I1165" s="18" t="s">
        <v>161</v>
      </c>
      <c r="J1165" s="20">
        <v>1</v>
      </c>
      <c r="K1165" s="20">
        <v>1.1499999999999999</v>
      </c>
      <c r="L1165" s="21" t="s">
        <v>28</v>
      </c>
      <c r="M1165" s="22">
        <v>5.7600000000000007</v>
      </c>
      <c r="N1165" s="22">
        <v>2.0999999999999998E-2</v>
      </c>
      <c r="O1165" s="22">
        <v>1052.3689999999999</v>
      </c>
      <c r="P1165" s="22">
        <f t="shared" si="167"/>
        <v>6970.8922560000001</v>
      </c>
      <c r="Q1165" s="22">
        <v>2757.7041798239825</v>
      </c>
      <c r="R1165" s="22">
        <f t="shared" si="168"/>
        <v>66.598555942749158</v>
      </c>
      <c r="S1165" s="22">
        <f t="shared" si="169"/>
        <v>7037.4908119427491</v>
      </c>
      <c r="T1165" s="23">
        <v>0.55859868298040061</v>
      </c>
      <c r="U1165" s="24">
        <v>0.1</v>
      </c>
      <c r="V1165" s="25">
        <f t="shared" si="166"/>
        <v>12065.486302078703</v>
      </c>
      <c r="W1165" s="26" t="s">
        <v>29</v>
      </c>
    </row>
    <row r="1166" spans="1:23" ht="89.25" x14ac:dyDescent="0.25">
      <c r="A1166" s="17">
        <f t="shared" ca="1" si="170"/>
        <v>1162</v>
      </c>
      <c r="B1166" s="18" t="s">
        <v>1453</v>
      </c>
      <c r="C1166" s="18" t="s">
        <v>2352</v>
      </c>
      <c r="D1166" s="18"/>
      <c r="E1166" s="18"/>
      <c r="F1166" s="18"/>
      <c r="G1166" s="18"/>
      <c r="H1166" s="19" t="s">
        <v>2353</v>
      </c>
      <c r="I1166" s="18" t="s">
        <v>161</v>
      </c>
      <c r="J1166" s="20">
        <v>1</v>
      </c>
      <c r="K1166" s="20">
        <v>1.1499999999999999</v>
      </c>
      <c r="L1166" s="21" t="s">
        <v>28</v>
      </c>
      <c r="M1166" s="22">
        <v>2.2640000000000002</v>
      </c>
      <c r="N1166" s="22">
        <v>2.0999999999999998E-2</v>
      </c>
      <c r="O1166" s="22">
        <v>1052.3689999999999</v>
      </c>
      <c r="P1166" s="22">
        <f t="shared" si="167"/>
        <v>2739.9479283999999</v>
      </c>
      <c r="Q1166" s="22">
        <v>2757.7041798239825</v>
      </c>
      <c r="R1166" s="22">
        <f t="shared" si="168"/>
        <v>66.598555942749158</v>
      </c>
      <c r="S1166" s="22">
        <f t="shared" si="169"/>
        <v>2806.546484342749</v>
      </c>
      <c r="T1166" s="23">
        <v>0.55859868298040061</v>
      </c>
      <c r="U1166" s="24">
        <v>0.1</v>
      </c>
      <c r="V1166" s="25">
        <f t="shared" si="166"/>
        <v>4811.7076196418702</v>
      </c>
      <c r="W1166" s="26" t="s">
        <v>29</v>
      </c>
    </row>
    <row r="1167" spans="1:23" ht="89.25" x14ac:dyDescent="0.25">
      <c r="A1167" s="17">
        <f t="shared" ca="1" si="170"/>
        <v>1163</v>
      </c>
      <c r="B1167" s="18" t="s">
        <v>1453</v>
      </c>
      <c r="C1167" s="18" t="s">
        <v>2354</v>
      </c>
      <c r="D1167" s="18"/>
      <c r="E1167" s="18"/>
      <c r="F1167" s="18"/>
      <c r="G1167" s="18"/>
      <c r="H1167" s="19" t="s">
        <v>2355</v>
      </c>
      <c r="I1167" s="18" t="s">
        <v>161</v>
      </c>
      <c r="J1167" s="20">
        <v>1</v>
      </c>
      <c r="K1167" s="20">
        <v>1.1499999999999999</v>
      </c>
      <c r="L1167" s="21" t="s">
        <v>28</v>
      </c>
      <c r="M1167" s="22">
        <v>0.96</v>
      </c>
      <c r="N1167" s="22">
        <v>5.8333333333333327E-2</v>
      </c>
      <c r="O1167" s="22">
        <v>1052.3689999999999</v>
      </c>
      <c r="P1167" s="22">
        <f t="shared" si="167"/>
        <v>1161.8153759999998</v>
      </c>
      <c r="Q1167" s="22">
        <v>2757.7041798239825</v>
      </c>
      <c r="R1167" s="22">
        <f t="shared" si="168"/>
        <v>184.99598872985879</v>
      </c>
      <c r="S1167" s="22">
        <f t="shared" si="169"/>
        <v>1346.8113647298585</v>
      </c>
      <c r="T1167" s="23">
        <v>0.55859868298040061</v>
      </c>
      <c r="U1167" s="24">
        <v>0.1</v>
      </c>
      <c r="V1167" s="25">
        <f t="shared" si="166"/>
        <v>2309.052261220093</v>
      </c>
      <c r="W1167" s="26" t="s">
        <v>29</v>
      </c>
    </row>
    <row r="1168" spans="1:23" ht="89.25" x14ac:dyDescent="0.25">
      <c r="A1168" s="17">
        <f t="shared" ca="1" si="170"/>
        <v>1164</v>
      </c>
      <c r="B1168" s="18" t="s">
        <v>1453</v>
      </c>
      <c r="C1168" s="18" t="s">
        <v>2356</v>
      </c>
      <c r="D1168" s="18"/>
      <c r="E1168" s="18"/>
      <c r="F1168" s="18"/>
      <c r="G1168" s="18"/>
      <c r="H1168" s="19" t="s">
        <v>2357</v>
      </c>
      <c r="I1168" s="18" t="s">
        <v>161</v>
      </c>
      <c r="J1168" s="20">
        <v>1</v>
      </c>
      <c r="K1168" s="20">
        <v>1.1499999999999999</v>
      </c>
      <c r="L1168" s="21" t="s">
        <v>28</v>
      </c>
      <c r="M1168" s="22">
        <v>0.96</v>
      </c>
      <c r="N1168" s="22">
        <v>0.35</v>
      </c>
      <c r="O1168" s="22">
        <v>1052.3689999999999</v>
      </c>
      <c r="P1168" s="22">
        <f t="shared" si="167"/>
        <v>1161.8153759999998</v>
      </c>
      <c r="Q1168" s="22">
        <v>2757.7041798239825</v>
      </c>
      <c r="R1168" s="22">
        <f t="shared" si="168"/>
        <v>1109.9759323791527</v>
      </c>
      <c r="S1168" s="22">
        <f t="shared" si="169"/>
        <v>2271.7913083791527</v>
      </c>
      <c r="T1168" s="23">
        <v>0.55859868298040061</v>
      </c>
      <c r="U1168" s="24">
        <v>0.1</v>
      </c>
      <c r="V1168" s="25">
        <f t="shared" si="166"/>
        <v>3894.8920353706753</v>
      </c>
      <c r="W1168" s="26" t="s">
        <v>29</v>
      </c>
    </row>
    <row r="1169" spans="1:23" ht="89.25" x14ac:dyDescent="0.25">
      <c r="A1169" s="17">
        <f t="shared" ca="1" si="170"/>
        <v>1165</v>
      </c>
      <c r="B1169" s="18" t="s">
        <v>1453</v>
      </c>
      <c r="C1169" s="18" t="s">
        <v>2358</v>
      </c>
      <c r="D1169" s="18"/>
      <c r="E1169" s="18"/>
      <c r="F1169" s="18"/>
      <c r="G1169" s="18"/>
      <c r="H1169" s="19" t="s">
        <v>2359</v>
      </c>
      <c r="I1169" s="18" t="s">
        <v>161</v>
      </c>
      <c r="J1169" s="20">
        <v>1</v>
      </c>
      <c r="K1169" s="20">
        <v>1.1499999999999999</v>
      </c>
      <c r="L1169" s="21" t="s">
        <v>28</v>
      </c>
      <c r="M1169" s="22">
        <v>3.6479999999999997</v>
      </c>
      <c r="N1169" s="22">
        <v>5.8333333333333327E-2</v>
      </c>
      <c r="O1169" s="22">
        <v>1052.3689999999999</v>
      </c>
      <c r="P1169" s="22">
        <f t="shared" si="167"/>
        <v>4414.8984287999983</v>
      </c>
      <c r="Q1169" s="22">
        <v>2757.7041798239825</v>
      </c>
      <c r="R1169" s="22">
        <f t="shared" si="168"/>
        <v>184.99598872985879</v>
      </c>
      <c r="S1169" s="22">
        <f t="shared" si="169"/>
        <v>4599.8944175298575</v>
      </c>
      <c r="T1169" s="23">
        <v>0.55859868298040061</v>
      </c>
      <c r="U1169" s="24">
        <v>0.1</v>
      </c>
      <c r="V1169" s="25">
        <f t="shared" si="166"/>
        <v>7886.3283191120263</v>
      </c>
      <c r="W1169" s="26" t="s">
        <v>29</v>
      </c>
    </row>
    <row r="1170" spans="1:23" ht="89.25" x14ac:dyDescent="0.25">
      <c r="A1170" s="17">
        <f t="shared" ca="1" si="170"/>
        <v>1166</v>
      </c>
      <c r="B1170" s="18" t="s">
        <v>1453</v>
      </c>
      <c r="C1170" s="18" t="s">
        <v>2360</v>
      </c>
      <c r="D1170" s="18"/>
      <c r="E1170" s="18"/>
      <c r="F1170" s="18"/>
      <c r="G1170" s="18"/>
      <c r="H1170" s="19" t="s">
        <v>2361</v>
      </c>
      <c r="I1170" s="18" t="s">
        <v>161</v>
      </c>
      <c r="J1170" s="20">
        <v>1</v>
      </c>
      <c r="K1170" s="20">
        <v>1.1499999999999999</v>
      </c>
      <c r="L1170" s="21" t="s">
        <v>28</v>
      </c>
      <c r="M1170" s="22">
        <v>0.8</v>
      </c>
      <c r="N1170" s="22">
        <v>5.8333333333333327E-2</v>
      </c>
      <c r="O1170" s="22">
        <v>1052.3689999999999</v>
      </c>
      <c r="P1170" s="22">
        <f t="shared" si="167"/>
        <v>968.1794799999999</v>
      </c>
      <c r="Q1170" s="22">
        <v>2757.7041798239825</v>
      </c>
      <c r="R1170" s="22">
        <f t="shared" si="168"/>
        <v>184.99598872985879</v>
      </c>
      <c r="S1170" s="22">
        <f t="shared" si="169"/>
        <v>1153.1754687298587</v>
      </c>
      <c r="T1170" s="23">
        <v>0.55859868298040061</v>
      </c>
      <c r="U1170" s="24">
        <v>0.1</v>
      </c>
      <c r="V1170" s="25">
        <f t="shared" si="166"/>
        <v>1977.0715434884303</v>
      </c>
      <c r="W1170" s="26" t="s">
        <v>29</v>
      </c>
    </row>
    <row r="1171" spans="1:23" ht="89.25" x14ac:dyDescent="0.25">
      <c r="A1171" s="17">
        <f t="shared" ca="1" si="170"/>
        <v>1167</v>
      </c>
      <c r="B1171" s="18" t="s">
        <v>1453</v>
      </c>
      <c r="C1171" s="18" t="s">
        <v>2362</v>
      </c>
      <c r="D1171" s="18"/>
      <c r="E1171" s="18"/>
      <c r="F1171" s="18"/>
      <c r="G1171" s="18"/>
      <c r="H1171" s="19" t="s">
        <v>2363</v>
      </c>
      <c r="I1171" s="18" t="s">
        <v>161</v>
      </c>
      <c r="J1171" s="20">
        <v>1</v>
      </c>
      <c r="K1171" s="20">
        <v>1.1499999999999999</v>
      </c>
      <c r="L1171" s="21" t="s">
        <v>28</v>
      </c>
      <c r="M1171" s="22">
        <v>4.6350000000000007</v>
      </c>
      <c r="N1171" s="22">
        <v>0.58567999999999998</v>
      </c>
      <c r="O1171" s="22">
        <v>1052.3689999999999</v>
      </c>
      <c r="P1171" s="22">
        <f t="shared" si="167"/>
        <v>5609.3898622500001</v>
      </c>
      <c r="Q1171" s="22">
        <v>2757.7041798239825</v>
      </c>
      <c r="R1171" s="22">
        <f t="shared" si="168"/>
        <v>1857.4020116452064</v>
      </c>
      <c r="S1171" s="22">
        <f t="shared" si="169"/>
        <v>7466.7918738952067</v>
      </c>
      <c r="T1171" s="23">
        <v>0.55859868298040061</v>
      </c>
      <c r="U1171" s="24">
        <v>0.1</v>
      </c>
      <c r="V1171" s="25">
        <f t="shared" si="166"/>
        <v>12801.505178816009</v>
      </c>
      <c r="W1171" s="26" t="s">
        <v>29</v>
      </c>
    </row>
    <row r="1172" spans="1:23" ht="89.25" x14ac:dyDescent="0.25">
      <c r="A1172" s="17">
        <f t="shared" ca="1" si="170"/>
        <v>1168</v>
      </c>
      <c r="B1172" s="18" t="s">
        <v>1453</v>
      </c>
      <c r="C1172" s="18" t="s">
        <v>2364</v>
      </c>
      <c r="D1172" s="18"/>
      <c r="E1172" s="18"/>
      <c r="F1172" s="18"/>
      <c r="G1172" s="18"/>
      <c r="H1172" s="19" t="s">
        <v>2365</v>
      </c>
      <c r="I1172" s="18" t="s">
        <v>161</v>
      </c>
      <c r="J1172" s="20">
        <v>1</v>
      </c>
      <c r="K1172" s="20">
        <v>1.1499999999999999</v>
      </c>
      <c r="L1172" s="21" t="s">
        <v>28</v>
      </c>
      <c r="M1172" s="22">
        <v>1.6800000000000002</v>
      </c>
      <c r="N1172" s="22">
        <v>5.6097999999999995E-2</v>
      </c>
      <c r="O1172" s="22">
        <v>1052.3689999999999</v>
      </c>
      <c r="P1172" s="22">
        <f t="shared" si="167"/>
        <v>2033.1769079999999</v>
      </c>
      <c r="Q1172" s="22">
        <v>2757.7041798239825</v>
      </c>
      <c r="R1172" s="22">
        <f t="shared" si="168"/>
        <v>177.90694244173059</v>
      </c>
      <c r="S1172" s="22">
        <f t="shared" si="169"/>
        <v>2211.0838504417306</v>
      </c>
      <c r="T1172" s="23">
        <v>0.55859868298040061</v>
      </c>
      <c r="U1172" s="24">
        <v>0.1</v>
      </c>
      <c r="V1172" s="25">
        <f t="shared" ref="V1172:V1188" si="171">S1172+S1172*T1172+(S1172+S1172*T1172)*U1172</f>
        <v>3790.8116149834864</v>
      </c>
      <c r="W1172" s="26" t="s">
        <v>29</v>
      </c>
    </row>
    <row r="1173" spans="1:23" ht="89.25" x14ac:dyDescent="0.25">
      <c r="A1173" s="17">
        <f t="shared" ca="1" si="170"/>
        <v>1169</v>
      </c>
      <c r="B1173" s="18" t="s">
        <v>1453</v>
      </c>
      <c r="C1173" s="18" t="s">
        <v>2366</v>
      </c>
      <c r="D1173" s="18"/>
      <c r="E1173" s="18"/>
      <c r="F1173" s="18"/>
      <c r="G1173" s="18"/>
      <c r="H1173" s="19" t="s">
        <v>2367</v>
      </c>
      <c r="I1173" s="18" t="s">
        <v>161</v>
      </c>
      <c r="J1173" s="20">
        <v>1</v>
      </c>
      <c r="K1173" s="20">
        <v>1.1499999999999999</v>
      </c>
      <c r="L1173" s="21" t="s">
        <v>28</v>
      </c>
      <c r="M1173" s="22">
        <v>2.008</v>
      </c>
      <c r="N1173" s="22">
        <v>9.8069999999999991E-2</v>
      </c>
      <c r="O1173" s="22">
        <v>1052.3689999999999</v>
      </c>
      <c r="P1173" s="22">
        <f t="shared" si="167"/>
        <v>2430.1304947999997</v>
      </c>
      <c r="Q1173" s="22">
        <v>2757.7041798239825</v>
      </c>
      <c r="R1173" s="22">
        <f t="shared" si="168"/>
        <v>311.01525625263861</v>
      </c>
      <c r="S1173" s="22">
        <f t="shared" si="169"/>
        <v>2741.1457510526384</v>
      </c>
      <c r="T1173" s="23">
        <v>0.55859868298040061</v>
      </c>
      <c r="U1173" s="24">
        <v>0.1</v>
      </c>
      <c r="V1173" s="25">
        <f t="shared" si="171"/>
        <v>4699.5807731927598</v>
      </c>
      <c r="W1173" s="26" t="s">
        <v>29</v>
      </c>
    </row>
    <row r="1174" spans="1:23" ht="89.25" x14ac:dyDescent="0.25">
      <c r="A1174" s="17">
        <f t="shared" ca="1" si="170"/>
        <v>1170</v>
      </c>
      <c r="B1174" s="18" t="s">
        <v>1453</v>
      </c>
      <c r="C1174" s="18" t="s">
        <v>2368</v>
      </c>
      <c r="D1174" s="18"/>
      <c r="E1174" s="18"/>
      <c r="F1174" s="18"/>
      <c r="G1174" s="18"/>
      <c r="H1174" s="19" t="s">
        <v>2369</v>
      </c>
      <c r="I1174" s="18" t="s">
        <v>161</v>
      </c>
      <c r="J1174" s="20">
        <v>1</v>
      </c>
      <c r="K1174" s="20">
        <v>1.1499999999999999</v>
      </c>
      <c r="L1174" s="21" t="s">
        <v>28</v>
      </c>
      <c r="M1174" s="22">
        <v>1.92</v>
      </c>
      <c r="N1174" s="22">
        <v>5.8333333333333327E-2</v>
      </c>
      <c r="O1174" s="22">
        <v>1052.3689999999999</v>
      </c>
      <c r="P1174" s="22">
        <f t="shared" si="167"/>
        <v>2323.6307519999996</v>
      </c>
      <c r="Q1174" s="22">
        <v>2757.7041798239825</v>
      </c>
      <c r="R1174" s="22">
        <f t="shared" si="168"/>
        <v>184.99598872985879</v>
      </c>
      <c r="S1174" s="22">
        <f t="shared" si="169"/>
        <v>2508.6267407298583</v>
      </c>
      <c r="T1174" s="23">
        <v>0.55859868298040061</v>
      </c>
      <c r="U1174" s="24">
        <v>0.1</v>
      </c>
      <c r="V1174" s="25">
        <f t="shared" si="171"/>
        <v>4300.9365676100688</v>
      </c>
      <c r="W1174" s="26" t="s">
        <v>29</v>
      </c>
    </row>
    <row r="1175" spans="1:23" ht="89.25" x14ac:dyDescent="0.25">
      <c r="A1175" s="17">
        <f t="shared" ca="1" si="170"/>
        <v>1171</v>
      </c>
      <c r="B1175" s="18" t="s">
        <v>1453</v>
      </c>
      <c r="C1175" s="18" t="s">
        <v>2370</v>
      </c>
      <c r="D1175" s="18"/>
      <c r="E1175" s="18"/>
      <c r="F1175" s="18"/>
      <c r="G1175" s="18"/>
      <c r="H1175" s="19" t="s">
        <v>2371</v>
      </c>
      <c r="I1175" s="18" t="s">
        <v>161</v>
      </c>
      <c r="J1175" s="20">
        <v>1</v>
      </c>
      <c r="K1175" s="20">
        <v>1.1499999999999999</v>
      </c>
      <c r="L1175" s="21" t="s">
        <v>28</v>
      </c>
      <c r="M1175" s="22">
        <v>2.8800000000000003</v>
      </c>
      <c r="N1175" s="22">
        <v>5.8333333333333327E-2</v>
      </c>
      <c r="O1175" s="22">
        <v>1052.3689999999999</v>
      </c>
      <c r="P1175" s="22">
        <f t="shared" si="167"/>
        <v>3485.446128</v>
      </c>
      <c r="Q1175" s="22">
        <v>2757.7041798239825</v>
      </c>
      <c r="R1175" s="22">
        <f t="shared" si="168"/>
        <v>184.99598872985879</v>
      </c>
      <c r="S1175" s="22">
        <f t="shared" si="169"/>
        <v>3670.4421167298588</v>
      </c>
      <c r="T1175" s="23">
        <v>0.55859868298040061</v>
      </c>
      <c r="U1175" s="24">
        <v>0.1</v>
      </c>
      <c r="V1175" s="25">
        <f t="shared" si="171"/>
        <v>6292.8208740000464</v>
      </c>
      <c r="W1175" s="26" t="s">
        <v>29</v>
      </c>
    </row>
    <row r="1176" spans="1:23" ht="89.25" x14ac:dyDescent="0.25">
      <c r="A1176" s="17">
        <f t="shared" ca="1" si="170"/>
        <v>1172</v>
      </c>
      <c r="B1176" s="18" t="s">
        <v>1453</v>
      </c>
      <c r="C1176" s="18" t="s">
        <v>2372</v>
      </c>
      <c r="D1176" s="18"/>
      <c r="E1176" s="18"/>
      <c r="F1176" s="18"/>
      <c r="G1176" s="18"/>
      <c r="H1176" s="19" t="s">
        <v>2373</v>
      </c>
      <c r="I1176" s="18" t="s">
        <v>104</v>
      </c>
      <c r="J1176" s="20">
        <v>1</v>
      </c>
      <c r="K1176" s="20">
        <v>1.1499999999999999</v>
      </c>
      <c r="L1176" s="21" t="s">
        <v>28</v>
      </c>
      <c r="M1176" s="22">
        <v>8.0000000000000016E-2</v>
      </c>
      <c r="N1176" s="22">
        <v>1.7499999999999998E-2</v>
      </c>
      <c r="O1176" s="22">
        <v>1052.3689999999999</v>
      </c>
      <c r="P1176" s="22">
        <f t="shared" si="167"/>
        <v>96.817948000000015</v>
      </c>
      <c r="Q1176" s="22">
        <v>2757.7041798239825</v>
      </c>
      <c r="R1176" s="22">
        <f t="shared" si="168"/>
        <v>55.498796618957634</v>
      </c>
      <c r="S1176" s="22">
        <f t="shared" si="169"/>
        <v>152.31674461895764</v>
      </c>
      <c r="T1176" s="23">
        <v>0.55859868298040061</v>
      </c>
      <c r="U1176" s="24">
        <v>0.1</v>
      </c>
      <c r="V1176" s="25">
        <f t="shared" si="171"/>
        <v>261.14074531486631</v>
      </c>
      <c r="W1176" s="26" t="s">
        <v>29</v>
      </c>
    </row>
    <row r="1177" spans="1:23" ht="89.25" x14ac:dyDescent="0.25">
      <c r="A1177" s="17">
        <f t="shared" ca="1" si="170"/>
        <v>1173</v>
      </c>
      <c r="B1177" s="18" t="s">
        <v>1453</v>
      </c>
      <c r="C1177" s="18" t="s">
        <v>2374</v>
      </c>
      <c r="D1177" s="18"/>
      <c r="E1177" s="18"/>
      <c r="F1177" s="18"/>
      <c r="G1177" s="18"/>
      <c r="H1177" s="19" t="s">
        <v>2375</v>
      </c>
      <c r="I1177" s="18" t="s">
        <v>161</v>
      </c>
      <c r="J1177" s="20">
        <v>1</v>
      </c>
      <c r="K1177" s="20">
        <v>1.1499999999999999</v>
      </c>
      <c r="L1177" s="21" t="s">
        <v>28</v>
      </c>
      <c r="M1177" s="22">
        <v>0.67200000000000004</v>
      </c>
      <c r="N1177" s="22">
        <v>5.8333333333333327E-2</v>
      </c>
      <c r="O1177" s="22">
        <v>1052.3689999999999</v>
      </c>
      <c r="P1177" s="22">
        <f t="shared" si="167"/>
        <v>813.27076319999992</v>
      </c>
      <c r="Q1177" s="22">
        <v>2757.7041798239825</v>
      </c>
      <c r="R1177" s="22">
        <f t="shared" si="168"/>
        <v>184.99598872985879</v>
      </c>
      <c r="S1177" s="22">
        <f t="shared" si="169"/>
        <v>998.26675192985874</v>
      </c>
      <c r="T1177" s="23">
        <v>0.55859868298040061</v>
      </c>
      <c r="U1177" s="24">
        <v>0.1</v>
      </c>
      <c r="V1177" s="25">
        <f t="shared" si="171"/>
        <v>1711.4869693031003</v>
      </c>
      <c r="W1177" s="26" t="s">
        <v>29</v>
      </c>
    </row>
    <row r="1178" spans="1:23" ht="89.25" x14ac:dyDescent="0.25">
      <c r="A1178" s="17">
        <f t="shared" ca="1" si="170"/>
        <v>1174</v>
      </c>
      <c r="B1178" s="18" t="s">
        <v>1453</v>
      </c>
      <c r="C1178" s="18" t="s">
        <v>2376</v>
      </c>
      <c r="D1178" s="18"/>
      <c r="E1178" s="18"/>
      <c r="F1178" s="18"/>
      <c r="G1178" s="18"/>
      <c r="H1178" s="19" t="s">
        <v>2377</v>
      </c>
      <c r="I1178" s="18" t="s">
        <v>161</v>
      </c>
      <c r="J1178" s="20">
        <v>1</v>
      </c>
      <c r="K1178" s="20">
        <v>1.1499999999999999</v>
      </c>
      <c r="L1178" s="21" t="s">
        <v>28</v>
      </c>
      <c r="M1178" s="22">
        <v>1.6</v>
      </c>
      <c r="N1178" s="22">
        <v>5.8333333333333327E-2</v>
      </c>
      <c r="O1178" s="22">
        <v>1052.3689999999999</v>
      </c>
      <c r="P1178" s="22">
        <f t="shared" si="167"/>
        <v>1936.3589599999998</v>
      </c>
      <c r="Q1178" s="22">
        <v>2757.7041798239825</v>
      </c>
      <c r="R1178" s="22">
        <f t="shared" si="168"/>
        <v>184.99598872985879</v>
      </c>
      <c r="S1178" s="22">
        <f t="shared" si="169"/>
        <v>2121.3549487298587</v>
      </c>
      <c r="T1178" s="23">
        <v>0.55859868298040061</v>
      </c>
      <c r="U1178" s="24">
        <v>0.1</v>
      </c>
      <c r="V1178" s="25">
        <f t="shared" si="171"/>
        <v>3636.9751321467447</v>
      </c>
      <c r="W1178" s="26" t="s">
        <v>29</v>
      </c>
    </row>
    <row r="1179" spans="1:23" ht="89.25" x14ac:dyDescent="0.25">
      <c r="A1179" s="17">
        <f t="shared" ca="1" si="170"/>
        <v>1175</v>
      </c>
      <c r="B1179" s="18" t="s">
        <v>1453</v>
      </c>
      <c r="C1179" s="18" t="s">
        <v>2378</v>
      </c>
      <c r="D1179" s="18"/>
      <c r="E1179" s="18"/>
      <c r="F1179" s="18"/>
      <c r="G1179" s="18"/>
      <c r="H1179" s="19" t="s">
        <v>2379</v>
      </c>
      <c r="I1179" s="18" t="s">
        <v>161</v>
      </c>
      <c r="J1179" s="20">
        <v>1</v>
      </c>
      <c r="K1179" s="20">
        <v>1.1499999999999999</v>
      </c>
      <c r="L1179" s="21" t="s">
        <v>28</v>
      </c>
      <c r="M1179" s="22">
        <v>1.6</v>
      </c>
      <c r="N1179" s="22">
        <v>5.8333333333333327E-2</v>
      </c>
      <c r="O1179" s="22">
        <v>1052.3689999999999</v>
      </c>
      <c r="P1179" s="22">
        <f t="shared" si="167"/>
        <v>1936.3589599999998</v>
      </c>
      <c r="Q1179" s="22">
        <v>2757.7041798239825</v>
      </c>
      <c r="R1179" s="22">
        <f t="shared" si="168"/>
        <v>184.99598872985879</v>
      </c>
      <c r="S1179" s="22">
        <f t="shared" si="169"/>
        <v>2121.3549487298587</v>
      </c>
      <c r="T1179" s="23">
        <v>0.55859868298040061</v>
      </c>
      <c r="U1179" s="24">
        <v>0.1</v>
      </c>
      <c r="V1179" s="25">
        <f t="shared" si="171"/>
        <v>3636.9751321467447</v>
      </c>
      <c r="W1179" s="26" t="s">
        <v>29</v>
      </c>
    </row>
    <row r="1180" spans="1:23" ht="89.25" x14ac:dyDescent="0.25">
      <c r="A1180" s="17">
        <f t="shared" ca="1" si="170"/>
        <v>1176</v>
      </c>
      <c r="B1180" s="18" t="s">
        <v>1453</v>
      </c>
      <c r="C1180" s="18" t="s">
        <v>2380</v>
      </c>
      <c r="D1180" s="18"/>
      <c r="E1180" s="18"/>
      <c r="F1180" s="18"/>
      <c r="G1180" s="18"/>
      <c r="H1180" s="19" t="s">
        <v>2381</v>
      </c>
      <c r="I1180" s="18" t="s">
        <v>161</v>
      </c>
      <c r="J1180" s="20">
        <v>1</v>
      </c>
      <c r="K1180" s="20">
        <v>1.1499999999999999</v>
      </c>
      <c r="L1180" s="21" t="s">
        <v>28</v>
      </c>
      <c r="M1180" s="22">
        <v>1.6</v>
      </c>
      <c r="N1180" s="22">
        <v>5.8333333333333327E-2</v>
      </c>
      <c r="O1180" s="22">
        <v>1052.3689999999999</v>
      </c>
      <c r="P1180" s="22">
        <f t="shared" si="167"/>
        <v>1936.3589599999998</v>
      </c>
      <c r="Q1180" s="22">
        <v>2757.7041798239825</v>
      </c>
      <c r="R1180" s="22">
        <f t="shared" si="168"/>
        <v>184.99598872985879</v>
      </c>
      <c r="S1180" s="22">
        <f t="shared" si="169"/>
        <v>2121.3549487298587</v>
      </c>
      <c r="T1180" s="23">
        <v>0.55859868298040061</v>
      </c>
      <c r="U1180" s="24">
        <v>0.1</v>
      </c>
      <c r="V1180" s="25">
        <f t="shared" si="171"/>
        <v>3636.9751321467447</v>
      </c>
      <c r="W1180" s="26" t="s">
        <v>29</v>
      </c>
    </row>
    <row r="1181" spans="1:23" ht="89.25" x14ac:dyDescent="0.25">
      <c r="A1181" s="17">
        <f t="shared" ca="1" si="170"/>
        <v>1177</v>
      </c>
      <c r="B1181" s="18" t="s">
        <v>1453</v>
      </c>
      <c r="C1181" s="18" t="s">
        <v>2382</v>
      </c>
      <c r="D1181" s="18"/>
      <c r="E1181" s="18"/>
      <c r="F1181" s="18"/>
      <c r="G1181" s="18"/>
      <c r="H1181" s="19" t="s">
        <v>2383</v>
      </c>
      <c r="I1181" s="18" t="s">
        <v>161</v>
      </c>
      <c r="J1181" s="20">
        <v>1</v>
      </c>
      <c r="K1181" s="20">
        <v>1.1499999999999999</v>
      </c>
      <c r="L1181" s="21" t="s">
        <v>28</v>
      </c>
      <c r="M1181" s="22">
        <v>5.4640000000000004</v>
      </c>
      <c r="N1181" s="22">
        <v>0.13537999999999997</v>
      </c>
      <c r="O1181" s="22">
        <v>1052.3689999999999</v>
      </c>
      <c r="P1181" s="22">
        <f t="shared" si="167"/>
        <v>6612.665848399999</v>
      </c>
      <c r="Q1181" s="22">
        <v>2757.7041798239825</v>
      </c>
      <c r="R1181" s="22">
        <f t="shared" si="168"/>
        <v>429.33869064425625</v>
      </c>
      <c r="S1181" s="22">
        <f t="shared" si="169"/>
        <v>7042.0045390442556</v>
      </c>
      <c r="T1181" s="23">
        <v>0.55859868298040061</v>
      </c>
      <c r="U1181" s="24">
        <v>0.1</v>
      </c>
      <c r="V1181" s="25">
        <f t="shared" si="171"/>
        <v>12073.224900106019</v>
      </c>
      <c r="W1181" s="26" t="s">
        <v>29</v>
      </c>
    </row>
    <row r="1182" spans="1:23" ht="89.25" x14ac:dyDescent="0.25">
      <c r="A1182" s="17">
        <f t="shared" ca="1" si="170"/>
        <v>1178</v>
      </c>
      <c r="B1182" s="18" t="s">
        <v>1453</v>
      </c>
      <c r="C1182" s="18" t="s">
        <v>2384</v>
      </c>
      <c r="D1182" s="18"/>
      <c r="E1182" s="18"/>
      <c r="F1182" s="18"/>
      <c r="G1182" s="18"/>
      <c r="H1182" s="19" t="s">
        <v>2385</v>
      </c>
      <c r="I1182" s="18" t="s">
        <v>161</v>
      </c>
      <c r="J1182" s="20">
        <v>1</v>
      </c>
      <c r="K1182" s="20">
        <v>1.1499999999999999</v>
      </c>
      <c r="L1182" s="21" t="s">
        <v>28</v>
      </c>
      <c r="M1182" s="22">
        <v>9.4079999999999995</v>
      </c>
      <c r="N1182" s="22">
        <v>1.2249999999999999</v>
      </c>
      <c r="O1182" s="22">
        <v>1052.3689999999999</v>
      </c>
      <c r="P1182" s="22">
        <f t="shared" si="167"/>
        <v>11385.790684799998</v>
      </c>
      <c r="Q1182" s="22">
        <v>2757.7041798239825</v>
      </c>
      <c r="R1182" s="22">
        <f t="shared" si="168"/>
        <v>3884.9157633270347</v>
      </c>
      <c r="S1182" s="22">
        <f t="shared" si="169"/>
        <v>15270.706448127034</v>
      </c>
      <c r="T1182" s="23">
        <v>0.55859868298040061</v>
      </c>
      <c r="U1182" s="24">
        <v>0.1</v>
      </c>
      <c r="V1182" s="25">
        <f t="shared" si="171"/>
        <v>26180.993254054214</v>
      </c>
      <c r="W1182" s="26" t="s">
        <v>29</v>
      </c>
    </row>
    <row r="1183" spans="1:23" ht="89.25" x14ac:dyDescent="0.25">
      <c r="A1183" s="17">
        <f t="shared" ca="1" si="170"/>
        <v>1179</v>
      </c>
      <c r="B1183" s="18" t="s">
        <v>1453</v>
      </c>
      <c r="C1183" s="18" t="s">
        <v>2386</v>
      </c>
      <c r="D1183" s="18"/>
      <c r="E1183" s="18"/>
      <c r="F1183" s="18"/>
      <c r="G1183" s="18"/>
      <c r="H1183" s="19" t="s">
        <v>2387</v>
      </c>
      <c r="I1183" s="18" t="s">
        <v>104</v>
      </c>
      <c r="J1183" s="20">
        <v>1</v>
      </c>
      <c r="K1183" s="20">
        <v>1.1499999999999999</v>
      </c>
      <c r="L1183" s="21" t="s">
        <v>28</v>
      </c>
      <c r="M1183" s="22">
        <v>3.7560000000000002</v>
      </c>
      <c r="N1183" s="22">
        <v>0.90299999999999991</v>
      </c>
      <c r="O1183" s="22">
        <v>1052.3689999999999</v>
      </c>
      <c r="P1183" s="22">
        <f t="shared" si="167"/>
        <v>4545.6026585999998</v>
      </c>
      <c r="Q1183" s="22">
        <v>2757.7041798239825</v>
      </c>
      <c r="R1183" s="22">
        <f t="shared" si="168"/>
        <v>2863.7379055382144</v>
      </c>
      <c r="S1183" s="22">
        <f t="shared" si="169"/>
        <v>7409.3405641382142</v>
      </c>
      <c r="T1183" s="23">
        <v>0.55859868298040061</v>
      </c>
      <c r="U1183" s="24">
        <v>0.1</v>
      </c>
      <c r="V1183" s="25">
        <f t="shared" si="171"/>
        <v>12703.007289520987</v>
      </c>
      <c r="W1183" s="26" t="s">
        <v>29</v>
      </c>
    </row>
    <row r="1184" spans="1:23" ht="89.25" x14ac:dyDescent="0.25">
      <c r="A1184" s="17">
        <f t="shared" ca="1" si="170"/>
        <v>1180</v>
      </c>
      <c r="B1184" s="18" t="s">
        <v>1453</v>
      </c>
      <c r="C1184" s="18" t="s">
        <v>2388</v>
      </c>
      <c r="D1184" s="18"/>
      <c r="E1184" s="18"/>
      <c r="F1184" s="18"/>
      <c r="G1184" s="18"/>
      <c r="H1184" s="19" t="s">
        <v>2389</v>
      </c>
      <c r="I1184" s="18" t="s">
        <v>161</v>
      </c>
      <c r="J1184" s="20">
        <v>1</v>
      </c>
      <c r="K1184" s="20">
        <v>1.1499999999999999</v>
      </c>
      <c r="L1184" s="21" t="s">
        <v>28</v>
      </c>
      <c r="M1184" s="22">
        <v>0.48799999999999999</v>
      </c>
      <c r="N1184" s="22">
        <v>5.8333333333333327E-2</v>
      </c>
      <c r="O1184" s="22">
        <v>1052.3689999999999</v>
      </c>
      <c r="P1184" s="22">
        <f t="shared" si="167"/>
        <v>590.58948279999993</v>
      </c>
      <c r="Q1184" s="22">
        <v>2757.7041798239825</v>
      </c>
      <c r="R1184" s="22">
        <f t="shared" si="168"/>
        <v>184.99598872985879</v>
      </c>
      <c r="S1184" s="22">
        <f t="shared" si="169"/>
        <v>775.58547152985875</v>
      </c>
      <c r="T1184" s="23">
        <v>0.55859868298040061</v>
      </c>
      <c r="U1184" s="24">
        <v>0.1</v>
      </c>
      <c r="V1184" s="25">
        <f t="shared" si="171"/>
        <v>1329.709143911688</v>
      </c>
      <c r="W1184" s="26" t="s">
        <v>29</v>
      </c>
    </row>
    <row r="1185" spans="1:23" ht="89.25" x14ac:dyDescent="0.25">
      <c r="A1185" s="17">
        <f t="shared" ca="1" si="170"/>
        <v>1181</v>
      </c>
      <c r="B1185" s="18" t="s">
        <v>1453</v>
      </c>
      <c r="C1185" s="18" t="s">
        <v>2390</v>
      </c>
      <c r="D1185" s="18"/>
      <c r="E1185" s="18"/>
      <c r="F1185" s="18"/>
      <c r="G1185" s="18"/>
      <c r="H1185" s="19" t="s">
        <v>2391</v>
      </c>
      <c r="I1185" s="18" t="s">
        <v>104</v>
      </c>
      <c r="J1185" s="20">
        <v>1</v>
      </c>
      <c r="K1185" s="20">
        <v>1.1499999999999999</v>
      </c>
      <c r="L1185" s="21" t="s">
        <v>28</v>
      </c>
      <c r="M1185" s="22">
        <v>1.8</v>
      </c>
      <c r="N1185" s="22">
        <v>0.11199999999999999</v>
      </c>
      <c r="O1185" s="22">
        <v>1052.3689999999999</v>
      </c>
      <c r="P1185" s="22">
        <f t="shared" si="167"/>
        <v>2178.4038299999997</v>
      </c>
      <c r="Q1185" s="22">
        <v>2757.7041798239825</v>
      </c>
      <c r="R1185" s="22">
        <f t="shared" si="168"/>
        <v>355.19229836132888</v>
      </c>
      <c r="S1185" s="22">
        <f t="shared" si="169"/>
        <v>2533.5961283613287</v>
      </c>
      <c r="T1185" s="23">
        <v>0.55859868298040061</v>
      </c>
      <c r="U1185" s="24">
        <v>0.1</v>
      </c>
      <c r="V1185" s="25">
        <f t="shared" si="171"/>
        <v>4343.7455477550302</v>
      </c>
      <c r="W1185" s="26" t="s">
        <v>29</v>
      </c>
    </row>
    <row r="1186" spans="1:23" ht="89.25" x14ac:dyDescent="0.25">
      <c r="A1186" s="17">
        <f t="shared" ca="1" si="170"/>
        <v>1182</v>
      </c>
      <c r="B1186" s="18" t="s">
        <v>1453</v>
      </c>
      <c r="C1186" s="18" t="s">
        <v>2392</v>
      </c>
      <c r="D1186" s="18"/>
      <c r="E1186" s="18"/>
      <c r="F1186" s="18"/>
      <c r="G1186" s="18"/>
      <c r="H1186" s="19" t="s">
        <v>2393</v>
      </c>
      <c r="I1186" s="18" t="s">
        <v>161</v>
      </c>
      <c r="J1186" s="20">
        <v>1</v>
      </c>
      <c r="K1186" s="20">
        <v>1.1499999999999999</v>
      </c>
      <c r="L1186" s="21" t="s">
        <v>28</v>
      </c>
      <c r="M1186" s="22">
        <v>8.6639999999999997</v>
      </c>
      <c r="N1186" s="22">
        <v>1.1843999999999999</v>
      </c>
      <c r="O1186" s="22">
        <v>1052.3689999999999</v>
      </c>
      <c r="P1186" s="22">
        <f t="shared" si="167"/>
        <v>10485.383768399997</v>
      </c>
      <c r="Q1186" s="22">
        <v>2757.7041798239825</v>
      </c>
      <c r="R1186" s="22">
        <f t="shared" si="168"/>
        <v>3756.1585551710532</v>
      </c>
      <c r="S1186" s="22">
        <f t="shared" si="169"/>
        <v>14241.542323571051</v>
      </c>
      <c r="T1186" s="23">
        <v>0.55859868298040061</v>
      </c>
      <c r="U1186" s="24">
        <v>0.1</v>
      </c>
      <c r="V1186" s="25">
        <f t="shared" si="171"/>
        <v>24416.534020040221</v>
      </c>
      <c r="W1186" s="26" t="s">
        <v>29</v>
      </c>
    </row>
    <row r="1187" spans="1:23" ht="89.25" x14ac:dyDescent="0.25">
      <c r="A1187" s="17">
        <f t="shared" ca="1" si="170"/>
        <v>1183</v>
      </c>
      <c r="B1187" s="18" t="s">
        <v>1453</v>
      </c>
      <c r="C1187" s="18" t="s">
        <v>2394</v>
      </c>
      <c r="D1187" s="18"/>
      <c r="E1187" s="18"/>
      <c r="F1187" s="18"/>
      <c r="G1187" s="18"/>
      <c r="H1187" s="19" t="s">
        <v>2395</v>
      </c>
      <c r="I1187" s="18" t="s">
        <v>161</v>
      </c>
      <c r="J1187" s="20">
        <v>1</v>
      </c>
      <c r="K1187" s="20">
        <v>1.1499999999999999</v>
      </c>
      <c r="L1187" s="21" t="s">
        <v>28</v>
      </c>
      <c r="M1187" s="22">
        <v>19.96</v>
      </c>
      <c r="N1187" s="22">
        <v>2.2189999999999999</v>
      </c>
      <c r="O1187" s="22">
        <v>1052.3689999999999</v>
      </c>
      <c r="P1187" s="22">
        <f t="shared" si="167"/>
        <v>24156.078025999996</v>
      </c>
      <c r="Q1187" s="22">
        <v>2757.7041798239825</v>
      </c>
      <c r="R1187" s="22">
        <f t="shared" si="168"/>
        <v>7037.247411283829</v>
      </c>
      <c r="S1187" s="22">
        <f t="shared" si="169"/>
        <v>31193.325437283824</v>
      </c>
      <c r="T1187" s="23">
        <v>0.55859868298040061</v>
      </c>
      <c r="U1187" s="24">
        <v>0.1</v>
      </c>
      <c r="V1187" s="25">
        <f t="shared" si="171"/>
        <v>53479.663538762557</v>
      </c>
      <c r="W1187" s="26" t="s">
        <v>29</v>
      </c>
    </row>
    <row r="1188" spans="1:23" ht="89.25" x14ac:dyDescent="0.25">
      <c r="A1188" s="17">
        <f t="shared" ca="1" si="170"/>
        <v>1184</v>
      </c>
      <c r="B1188" s="18" t="s">
        <v>1453</v>
      </c>
      <c r="C1188" s="18" t="s">
        <v>2396</v>
      </c>
      <c r="D1188" s="18"/>
      <c r="E1188" s="18"/>
      <c r="F1188" s="18"/>
      <c r="G1188" s="18"/>
      <c r="H1188" s="19" t="s">
        <v>2397</v>
      </c>
      <c r="I1188" s="18" t="s">
        <v>161</v>
      </c>
      <c r="J1188" s="20">
        <v>1</v>
      </c>
      <c r="K1188" s="20">
        <v>1.1499999999999999</v>
      </c>
      <c r="L1188" s="21" t="s">
        <v>28</v>
      </c>
      <c r="M1188" s="22">
        <v>19.96</v>
      </c>
      <c r="N1188" s="22">
        <v>2.2189999999999999</v>
      </c>
      <c r="O1188" s="22">
        <v>1052.3689999999999</v>
      </c>
      <c r="P1188" s="22">
        <f t="shared" si="167"/>
        <v>24156.078025999996</v>
      </c>
      <c r="Q1188" s="22">
        <v>2757.7041798239825</v>
      </c>
      <c r="R1188" s="22">
        <f t="shared" si="168"/>
        <v>7037.247411283829</v>
      </c>
      <c r="S1188" s="22">
        <f t="shared" si="169"/>
        <v>31193.325437283824</v>
      </c>
      <c r="T1188" s="23">
        <v>0.55859868298040061</v>
      </c>
      <c r="U1188" s="24">
        <v>0.1</v>
      </c>
      <c r="V1188" s="25">
        <f t="shared" si="171"/>
        <v>53479.663538762557</v>
      </c>
      <c r="W1188" s="26" t="s">
        <v>29</v>
      </c>
    </row>
    <row r="1189" spans="1:23" x14ac:dyDescent="0.25">
      <c r="A1189" s="28">
        <f t="shared" ca="1" si="170"/>
        <v>1185</v>
      </c>
      <c r="B1189" s="9" t="s">
        <v>1453</v>
      </c>
      <c r="C1189" s="9" t="s">
        <v>2398</v>
      </c>
      <c r="D1189" s="9"/>
      <c r="E1189" s="9"/>
      <c r="F1189" s="9"/>
      <c r="G1189" s="9"/>
      <c r="H1189" s="10" t="s">
        <v>2399</v>
      </c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29"/>
      <c r="U1189" s="11"/>
      <c r="V1189" s="9"/>
      <c r="W1189" s="9"/>
    </row>
    <row r="1190" spans="1:23" x14ac:dyDescent="0.25">
      <c r="A1190" s="12">
        <f t="shared" ca="1" si="170"/>
        <v>1186</v>
      </c>
      <c r="B1190" s="13" t="s">
        <v>1453</v>
      </c>
      <c r="C1190" s="13" t="s">
        <v>2400</v>
      </c>
      <c r="D1190" s="13"/>
      <c r="E1190" s="13"/>
      <c r="F1190" s="13"/>
      <c r="G1190" s="13"/>
      <c r="H1190" s="15" t="s">
        <v>2401</v>
      </c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27"/>
      <c r="U1190" s="16"/>
      <c r="V1190" s="13"/>
      <c r="W1190" s="13"/>
    </row>
    <row r="1191" spans="1:23" ht="89.25" x14ac:dyDescent="0.25">
      <c r="A1191" s="17">
        <f t="shared" ca="1" si="170"/>
        <v>1187</v>
      </c>
      <c r="B1191" s="18" t="s">
        <v>1453</v>
      </c>
      <c r="C1191" s="18" t="s">
        <v>2402</v>
      </c>
      <c r="D1191" s="18"/>
      <c r="E1191" s="18"/>
      <c r="F1191" s="18"/>
      <c r="G1191" s="18"/>
      <c r="H1191" s="19" t="s">
        <v>2403</v>
      </c>
      <c r="I1191" s="18" t="s">
        <v>161</v>
      </c>
      <c r="J1191" s="20">
        <v>1</v>
      </c>
      <c r="K1191" s="20">
        <v>1.1499999999999999</v>
      </c>
      <c r="L1191" s="21" t="s">
        <v>28</v>
      </c>
      <c r="M1191" s="22">
        <v>1.3920000000000001</v>
      </c>
      <c r="N1191" s="22">
        <v>5.5999999999999994E-2</v>
      </c>
      <c r="O1191" s="22">
        <v>1052.3689999999999</v>
      </c>
      <c r="P1191" s="22">
        <f t="shared" si="167"/>
        <v>1684.6322952</v>
      </c>
      <c r="Q1191" s="22">
        <v>2757.7041798239825</v>
      </c>
      <c r="R1191" s="22">
        <f t="shared" si="168"/>
        <v>177.59614918066444</v>
      </c>
      <c r="S1191" s="22">
        <f t="shared" si="169"/>
        <v>1862.2284443806645</v>
      </c>
      <c r="T1191" s="23">
        <v>0.55859868298040061</v>
      </c>
      <c r="U1191" s="24">
        <v>0.1</v>
      </c>
      <c r="V1191" s="25">
        <f t="shared" ref="V1191:V1193" si="172">S1191+S1191*T1191+(S1191+S1191*T1191)*U1191</f>
        <v>3192.7134809023783</v>
      </c>
      <c r="W1191" s="26" t="s">
        <v>29</v>
      </c>
    </row>
    <row r="1192" spans="1:23" ht="89.25" x14ac:dyDescent="0.25">
      <c r="A1192" s="17">
        <f t="shared" ca="1" si="170"/>
        <v>1188</v>
      </c>
      <c r="B1192" s="18" t="s">
        <v>1453</v>
      </c>
      <c r="C1192" s="18" t="s">
        <v>2404</v>
      </c>
      <c r="D1192" s="18"/>
      <c r="E1192" s="18"/>
      <c r="F1192" s="18"/>
      <c r="G1192" s="18"/>
      <c r="H1192" s="19" t="s">
        <v>2405</v>
      </c>
      <c r="I1192" s="18" t="s">
        <v>161</v>
      </c>
      <c r="J1192" s="20">
        <v>1</v>
      </c>
      <c r="K1192" s="20">
        <v>1.1499999999999999</v>
      </c>
      <c r="L1192" s="21" t="s">
        <v>28</v>
      </c>
      <c r="M1192" s="22">
        <v>2.4560000000000004</v>
      </c>
      <c r="N1192" s="22">
        <v>7.6999999999999999E-2</v>
      </c>
      <c r="O1192" s="22">
        <v>1052.3689999999999</v>
      </c>
      <c r="P1192" s="22">
        <f t="shared" si="167"/>
        <v>2972.3110035999998</v>
      </c>
      <c r="Q1192" s="22">
        <v>2757.7041798239825</v>
      </c>
      <c r="R1192" s="22">
        <f t="shared" si="168"/>
        <v>244.19470512341363</v>
      </c>
      <c r="S1192" s="22">
        <f t="shared" si="169"/>
        <v>3216.5057087234136</v>
      </c>
      <c r="T1192" s="23">
        <v>0.55859868298040061</v>
      </c>
      <c r="U1192" s="24">
        <v>0.1</v>
      </c>
      <c r="V1192" s="25">
        <f t="shared" si="172"/>
        <v>5514.5657175567776</v>
      </c>
      <c r="W1192" s="26" t="s">
        <v>29</v>
      </c>
    </row>
    <row r="1193" spans="1:23" ht="89.25" x14ac:dyDescent="0.25">
      <c r="A1193" s="17">
        <f t="shared" ca="1" si="170"/>
        <v>1189</v>
      </c>
      <c r="B1193" s="18" t="s">
        <v>1453</v>
      </c>
      <c r="C1193" s="18" t="s">
        <v>2406</v>
      </c>
      <c r="D1193" s="18"/>
      <c r="E1193" s="18"/>
      <c r="F1193" s="18"/>
      <c r="G1193" s="18"/>
      <c r="H1193" s="19" t="s">
        <v>2407</v>
      </c>
      <c r="I1193" s="18" t="s">
        <v>2408</v>
      </c>
      <c r="J1193" s="20">
        <v>1</v>
      </c>
      <c r="K1193" s="20">
        <v>1.1499999999999999</v>
      </c>
      <c r="L1193" s="21" t="s">
        <v>28</v>
      </c>
      <c r="M1193" s="22">
        <v>2.4512</v>
      </c>
      <c r="N1193" s="22">
        <v>0.17219999999999999</v>
      </c>
      <c r="O1193" s="22">
        <v>1052.3689999999999</v>
      </c>
      <c r="P1193" s="22">
        <f t="shared" si="167"/>
        <v>2966.5019267199996</v>
      </c>
      <c r="Q1193" s="22">
        <v>2757.7041798239825</v>
      </c>
      <c r="R1193" s="22">
        <f t="shared" si="168"/>
        <v>546.10815873054321</v>
      </c>
      <c r="S1193" s="22">
        <f t="shared" si="169"/>
        <v>3512.610085450543</v>
      </c>
      <c r="T1193" s="23">
        <v>0.55859868298040061</v>
      </c>
      <c r="U1193" s="24">
        <v>0.1</v>
      </c>
      <c r="V1193" s="25">
        <f t="shared" si="172"/>
        <v>6022.2243983075778</v>
      </c>
      <c r="W1193" s="26" t="s">
        <v>29</v>
      </c>
    </row>
    <row r="1194" spans="1:23" x14ac:dyDescent="0.25">
      <c r="A1194" s="12">
        <f t="shared" ca="1" si="170"/>
        <v>1190</v>
      </c>
      <c r="B1194" s="13" t="s">
        <v>1453</v>
      </c>
      <c r="C1194" s="13" t="s">
        <v>2409</v>
      </c>
      <c r="D1194" s="13"/>
      <c r="E1194" s="13"/>
      <c r="F1194" s="13"/>
      <c r="G1194" s="13"/>
      <c r="H1194" s="15" t="s">
        <v>2410</v>
      </c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27"/>
      <c r="U1194" s="16"/>
      <c r="V1194" s="13"/>
      <c r="W1194" s="13"/>
    </row>
    <row r="1195" spans="1:23" ht="89.25" x14ac:dyDescent="0.25">
      <c r="A1195" s="17">
        <f t="shared" ca="1" si="170"/>
        <v>1191</v>
      </c>
      <c r="B1195" s="18" t="s">
        <v>1453</v>
      </c>
      <c r="C1195" s="18" t="s">
        <v>2411</v>
      </c>
      <c r="D1195" s="18"/>
      <c r="E1195" s="18"/>
      <c r="F1195" s="18"/>
      <c r="G1195" s="18"/>
      <c r="H1195" s="19" t="s">
        <v>2412</v>
      </c>
      <c r="I1195" s="18" t="s">
        <v>161</v>
      </c>
      <c r="J1195" s="20">
        <v>1</v>
      </c>
      <c r="K1195" s="20">
        <v>1.1499999999999999</v>
      </c>
      <c r="L1195" s="21" t="s">
        <v>28</v>
      </c>
      <c r="M1195" s="22">
        <v>1</v>
      </c>
      <c r="N1195" s="22">
        <v>0.11199999999999999</v>
      </c>
      <c r="O1195" s="22">
        <v>1052.3689999999999</v>
      </c>
      <c r="P1195" s="22">
        <f t="shared" si="167"/>
        <v>1210.2243499999997</v>
      </c>
      <c r="Q1195" s="22">
        <v>2757.7041798239825</v>
      </c>
      <c r="R1195" s="22">
        <f t="shared" si="168"/>
        <v>355.19229836132888</v>
      </c>
      <c r="S1195" s="22">
        <f t="shared" si="169"/>
        <v>1565.4166483613285</v>
      </c>
      <c r="T1195" s="23">
        <v>0.55859868298040061</v>
      </c>
      <c r="U1195" s="24">
        <v>0.1</v>
      </c>
      <c r="V1195" s="25">
        <f t="shared" ref="V1195:V1198" si="173">S1195+S1195*T1195+(S1195+S1195*T1195)*U1195</f>
        <v>2683.8419590967155</v>
      </c>
      <c r="W1195" s="26" t="s">
        <v>29</v>
      </c>
    </row>
    <row r="1196" spans="1:23" ht="89.25" x14ac:dyDescent="0.25">
      <c r="A1196" s="17">
        <f t="shared" ca="1" si="170"/>
        <v>1192</v>
      </c>
      <c r="B1196" s="18" t="s">
        <v>1453</v>
      </c>
      <c r="C1196" s="18" t="s">
        <v>2413</v>
      </c>
      <c r="D1196" s="18"/>
      <c r="E1196" s="18"/>
      <c r="F1196" s="18"/>
      <c r="G1196" s="18"/>
      <c r="H1196" s="19" t="s">
        <v>2414</v>
      </c>
      <c r="I1196" s="18" t="s">
        <v>161</v>
      </c>
      <c r="J1196" s="20">
        <v>1</v>
      </c>
      <c r="K1196" s="20">
        <v>1.1499999999999999</v>
      </c>
      <c r="L1196" s="21" t="s">
        <v>28</v>
      </c>
      <c r="M1196" s="22">
        <v>0.41360000000000002</v>
      </c>
      <c r="N1196" s="22">
        <v>3.0799999999999998E-2</v>
      </c>
      <c r="O1196" s="22">
        <v>1052.3689999999999</v>
      </c>
      <c r="P1196" s="22">
        <f t="shared" si="167"/>
        <v>500.54879115999995</v>
      </c>
      <c r="Q1196" s="22">
        <v>2757.7041798239825</v>
      </c>
      <c r="R1196" s="22">
        <f t="shared" si="168"/>
        <v>97.677882049365451</v>
      </c>
      <c r="S1196" s="22">
        <f t="shared" si="169"/>
        <v>598.22667320936534</v>
      </c>
      <c r="T1196" s="23">
        <v>0.55859868298040061</v>
      </c>
      <c r="U1196" s="24">
        <v>0.1</v>
      </c>
      <c r="V1196" s="25">
        <f t="shared" si="173"/>
        <v>1025.6348354866495</v>
      </c>
      <c r="W1196" s="26" t="s">
        <v>29</v>
      </c>
    </row>
    <row r="1197" spans="1:23" ht="89.25" x14ac:dyDescent="0.25">
      <c r="A1197" s="17">
        <f t="shared" ca="1" si="170"/>
        <v>1193</v>
      </c>
      <c r="B1197" s="18" t="s">
        <v>1453</v>
      </c>
      <c r="C1197" s="18" t="s">
        <v>2415</v>
      </c>
      <c r="D1197" s="18"/>
      <c r="E1197" s="18"/>
      <c r="F1197" s="18"/>
      <c r="G1197" s="18"/>
      <c r="H1197" s="19" t="s">
        <v>2416</v>
      </c>
      <c r="I1197" s="18" t="s">
        <v>2408</v>
      </c>
      <c r="J1197" s="20">
        <v>1</v>
      </c>
      <c r="K1197" s="20">
        <v>1.1499999999999999</v>
      </c>
      <c r="L1197" s="21" t="s">
        <v>28</v>
      </c>
      <c r="M1197" s="22">
        <v>3.7560000000000002</v>
      </c>
      <c r="N1197" s="22">
        <v>0.13999999999999999</v>
      </c>
      <c r="O1197" s="22">
        <v>1052.3689999999999</v>
      </c>
      <c r="P1197" s="22">
        <f t="shared" si="167"/>
        <v>4545.6026585999998</v>
      </c>
      <c r="Q1197" s="22">
        <v>2757.7041798239825</v>
      </c>
      <c r="R1197" s="22">
        <f t="shared" si="168"/>
        <v>443.99037295166107</v>
      </c>
      <c r="S1197" s="22">
        <f t="shared" si="169"/>
        <v>4989.5930315516607</v>
      </c>
      <c r="T1197" s="23">
        <v>0.55859868298040061</v>
      </c>
      <c r="U1197" s="24">
        <v>0.1</v>
      </c>
      <c r="V1197" s="25">
        <f t="shared" si="173"/>
        <v>8554.4504403430637</v>
      </c>
      <c r="W1197" s="26" t="s">
        <v>29</v>
      </c>
    </row>
    <row r="1198" spans="1:23" ht="89.25" x14ac:dyDescent="0.25">
      <c r="A1198" s="17">
        <f t="shared" ca="1" si="170"/>
        <v>1194</v>
      </c>
      <c r="B1198" s="18" t="s">
        <v>1453</v>
      </c>
      <c r="C1198" s="18" t="s">
        <v>2417</v>
      </c>
      <c r="D1198" s="18"/>
      <c r="E1198" s="18"/>
      <c r="F1198" s="18"/>
      <c r="G1198" s="18"/>
      <c r="H1198" s="19" t="s">
        <v>2418</v>
      </c>
      <c r="I1198" s="18" t="s">
        <v>2408</v>
      </c>
      <c r="J1198" s="20">
        <v>1</v>
      </c>
      <c r="K1198" s="20">
        <v>1.1499999999999999</v>
      </c>
      <c r="L1198" s="21" t="s">
        <v>28</v>
      </c>
      <c r="M1198" s="22">
        <v>2.4696000000000002</v>
      </c>
      <c r="N1198" s="22">
        <v>8.1199999999999994E-2</v>
      </c>
      <c r="O1198" s="22">
        <v>1052.3689999999999</v>
      </c>
      <c r="P1198" s="22">
        <f t="shared" si="167"/>
        <v>2988.7700547599998</v>
      </c>
      <c r="Q1198" s="22">
        <v>2757.7041798239825</v>
      </c>
      <c r="R1198" s="22">
        <f t="shared" si="168"/>
        <v>257.51441631196343</v>
      </c>
      <c r="S1198" s="22">
        <f t="shared" si="169"/>
        <v>3246.2844710719633</v>
      </c>
      <c r="T1198" s="23">
        <v>0.55859868298040061</v>
      </c>
      <c r="U1198" s="24">
        <v>0.1</v>
      </c>
      <c r="V1198" s="25">
        <f t="shared" si="173"/>
        <v>5565.6201713117371</v>
      </c>
      <c r="W1198" s="26" t="s">
        <v>29</v>
      </c>
    </row>
    <row r="1199" spans="1:23" x14ac:dyDescent="0.25">
      <c r="A1199" s="5">
        <f t="shared" ca="1" si="170"/>
        <v>1195</v>
      </c>
      <c r="B1199" s="6" t="s">
        <v>2419</v>
      </c>
      <c r="C1199" s="6" t="s">
        <v>2419</v>
      </c>
      <c r="D1199" s="6"/>
      <c r="E1199" s="6"/>
      <c r="F1199" s="6"/>
      <c r="G1199" s="6"/>
      <c r="H1199" s="7" t="s">
        <v>2420</v>
      </c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30"/>
      <c r="U1199" s="8"/>
      <c r="V1199" s="6"/>
      <c r="W1199" s="6"/>
    </row>
    <row r="1200" spans="1:23" x14ac:dyDescent="0.25">
      <c r="A1200" s="28">
        <f t="shared" ca="1" si="170"/>
        <v>1196</v>
      </c>
      <c r="B1200" s="9" t="s">
        <v>2419</v>
      </c>
      <c r="C1200" s="9" t="s">
        <v>2421</v>
      </c>
      <c r="D1200" s="9"/>
      <c r="E1200" s="9"/>
      <c r="F1200" s="9"/>
      <c r="G1200" s="9"/>
      <c r="H1200" s="10" t="s">
        <v>2422</v>
      </c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29"/>
      <c r="U1200" s="11"/>
      <c r="V1200" s="9"/>
      <c r="W1200" s="9"/>
    </row>
    <row r="1201" spans="1:23" x14ac:dyDescent="0.25">
      <c r="A1201" s="12">
        <f t="shared" ca="1" si="170"/>
        <v>1197</v>
      </c>
      <c r="B1201" s="13" t="s">
        <v>2419</v>
      </c>
      <c r="C1201" s="13" t="s">
        <v>2423</v>
      </c>
      <c r="D1201" s="13"/>
      <c r="E1201" s="13"/>
      <c r="F1201" s="13"/>
      <c r="G1201" s="13"/>
      <c r="H1201" s="15" t="s">
        <v>2424</v>
      </c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27"/>
      <c r="U1201" s="16"/>
      <c r="V1201" s="13"/>
      <c r="W1201" s="13"/>
    </row>
    <row r="1202" spans="1:23" ht="89.25" x14ac:dyDescent="0.25">
      <c r="A1202" s="17">
        <f t="shared" ca="1" si="170"/>
        <v>1198</v>
      </c>
      <c r="B1202" s="18" t="s">
        <v>2419</v>
      </c>
      <c r="C1202" s="18" t="s">
        <v>2425</v>
      </c>
      <c r="D1202" s="18"/>
      <c r="E1202" s="18"/>
      <c r="F1202" s="18"/>
      <c r="G1202" s="18"/>
      <c r="H1202" s="19" t="s">
        <v>2426</v>
      </c>
      <c r="I1202" s="18" t="s">
        <v>104</v>
      </c>
      <c r="J1202" s="20">
        <v>1</v>
      </c>
      <c r="K1202" s="20">
        <v>1.1499999999999999</v>
      </c>
      <c r="L1202" s="21" t="s">
        <v>28</v>
      </c>
      <c r="M1202" s="22">
        <v>0.27510000000000001</v>
      </c>
      <c r="N1202" s="22">
        <v>3.4799999999999998E-2</v>
      </c>
      <c r="O1202" s="22">
        <v>1014.1258695652174</v>
      </c>
      <c r="P1202" s="22">
        <f t="shared" si="167"/>
        <v>320.83393072500002</v>
      </c>
      <c r="Q1202" s="22">
        <v>2922.65</v>
      </c>
      <c r="R1202" s="22">
        <f t="shared" si="168"/>
        <v>116.96445299999999</v>
      </c>
      <c r="S1202" s="22">
        <f t="shared" si="169"/>
        <v>437.79838372500001</v>
      </c>
      <c r="T1202" s="23">
        <v>0.55859868298040061</v>
      </c>
      <c r="U1202" s="24">
        <v>0.1</v>
      </c>
      <c r="V1202" s="25">
        <f t="shared" ref="V1202:V1204" si="174">S1202+S1202*T1202+(S1202+S1202*T1202)*U1202</f>
        <v>750.5871827132064</v>
      </c>
      <c r="W1202" s="26" t="s">
        <v>29</v>
      </c>
    </row>
    <row r="1203" spans="1:23" ht="89.25" x14ac:dyDescent="0.25">
      <c r="A1203" s="17">
        <f t="shared" ca="1" si="170"/>
        <v>1199</v>
      </c>
      <c r="B1203" s="18" t="s">
        <v>2419</v>
      </c>
      <c r="C1203" s="18" t="s">
        <v>2427</v>
      </c>
      <c r="D1203" s="18"/>
      <c r="E1203" s="18"/>
      <c r="F1203" s="18"/>
      <c r="G1203" s="18"/>
      <c r="H1203" s="19" t="s">
        <v>2428</v>
      </c>
      <c r="I1203" s="18" t="s">
        <v>104</v>
      </c>
      <c r="J1203" s="20">
        <v>1</v>
      </c>
      <c r="K1203" s="20">
        <v>1.1499999999999999</v>
      </c>
      <c r="L1203" s="21" t="s">
        <v>28</v>
      </c>
      <c r="M1203" s="22">
        <v>0.18129999999999999</v>
      </c>
      <c r="N1203" s="22">
        <v>1.6199999999999999E-2</v>
      </c>
      <c r="O1203" s="22">
        <v>1014.1258695652174</v>
      </c>
      <c r="P1203" s="22">
        <f t="shared" si="167"/>
        <v>211.44017317499996</v>
      </c>
      <c r="Q1203" s="22">
        <v>2922.65</v>
      </c>
      <c r="R1203" s="22">
        <f t="shared" si="168"/>
        <v>54.448969499999997</v>
      </c>
      <c r="S1203" s="22">
        <f t="shared" si="169"/>
        <v>265.88914267499996</v>
      </c>
      <c r="T1203" s="23">
        <v>0.55859868298040061</v>
      </c>
      <c r="U1203" s="24">
        <v>0.1</v>
      </c>
      <c r="V1203" s="25">
        <f t="shared" si="174"/>
        <v>455.85591435124707</v>
      </c>
      <c r="W1203" s="26" t="s">
        <v>29</v>
      </c>
    </row>
    <row r="1204" spans="1:23" ht="89.25" x14ac:dyDescent="0.25">
      <c r="A1204" s="17">
        <f t="shared" ca="1" si="170"/>
        <v>1200</v>
      </c>
      <c r="B1204" s="18" t="s">
        <v>2419</v>
      </c>
      <c r="C1204" s="18" t="s">
        <v>2429</v>
      </c>
      <c r="D1204" s="18"/>
      <c r="E1204" s="18"/>
      <c r="F1204" s="18"/>
      <c r="G1204" s="18"/>
      <c r="H1204" s="19" t="s">
        <v>2430</v>
      </c>
      <c r="I1204" s="18" t="s">
        <v>104</v>
      </c>
      <c r="J1204" s="20">
        <v>1</v>
      </c>
      <c r="K1204" s="20">
        <v>1.1499999999999999</v>
      </c>
      <c r="L1204" s="21" t="s">
        <v>28</v>
      </c>
      <c r="M1204" s="22">
        <v>0.28139999999999998</v>
      </c>
      <c r="N1204" s="22">
        <v>1.6199999999999999E-2</v>
      </c>
      <c r="O1204" s="22">
        <v>1014.1258695652174</v>
      </c>
      <c r="P1204" s="22">
        <f t="shared" si="167"/>
        <v>328.18127264999998</v>
      </c>
      <c r="Q1204" s="22">
        <v>2922.65</v>
      </c>
      <c r="R1204" s="22">
        <f t="shared" si="168"/>
        <v>54.448969499999997</v>
      </c>
      <c r="S1204" s="22">
        <f t="shared" si="169"/>
        <v>382.63024214999996</v>
      </c>
      <c r="T1204" s="23">
        <v>0.55859868298040061</v>
      </c>
      <c r="U1204" s="24">
        <v>0.1</v>
      </c>
      <c r="V1204" s="25">
        <f t="shared" si="174"/>
        <v>656.00369063180779</v>
      </c>
      <c r="W1204" s="26" t="s">
        <v>29</v>
      </c>
    </row>
    <row r="1205" spans="1:23" x14ac:dyDescent="0.25">
      <c r="A1205" s="12">
        <f t="shared" ca="1" si="170"/>
        <v>1201</v>
      </c>
      <c r="B1205" s="13" t="s">
        <v>2419</v>
      </c>
      <c r="C1205" s="13" t="s">
        <v>2431</v>
      </c>
      <c r="D1205" s="13"/>
      <c r="E1205" s="13"/>
      <c r="F1205" s="13"/>
      <c r="G1205" s="13"/>
      <c r="H1205" s="15" t="s">
        <v>2432</v>
      </c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27"/>
      <c r="U1205" s="16"/>
      <c r="V1205" s="13"/>
      <c r="W1205" s="13"/>
    </row>
    <row r="1206" spans="1:23" ht="89.25" x14ac:dyDescent="0.25">
      <c r="A1206" s="17">
        <f t="shared" ca="1" si="170"/>
        <v>1202</v>
      </c>
      <c r="B1206" s="18" t="s">
        <v>2419</v>
      </c>
      <c r="C1206" s="18" t="s">
        <v>2433</v>
      </c>
      <c r="D1206" s="18"/>
      <c r="E1206" s="18"/>
      <c r="F1206" s="18"/>
      <c r="G1206" s="18"/>
      <c r="H1206" s="19" t="s">
        <v>2434</v>
      </c>
      <c r="I1206" s="18" t="s">
        <v>104</v>
      </c>
      <c r="J1206" s="20">
        <v>1</v>
      </c>
      <c r="K1206" s="20">
        <v>1.1499999999999999</v>
      </c>
      <c r="L1206" s="21" t="s">
        <v>28</v>
      </c>
      <c r="M1206" s="22">
        <v>0.28489999999999999</v>
      </c>
      <c r="N1206" s="22">
        <v>1.44E-2</v>
      </c>
      <c r="O1206" s="22">
        <v>1014.1258695652174</v>
      </c>
      <c r="P1206" s="22">
        <f t="shared" si="167"/>
        <v>332.26312927499998</v>
      </c>
      <c r="Q1206" s="22">
        <v>2922.65</v>
      </c>
      <c r="R1206" s="22">
        <f t="shared" si="168"/>
        <v>48.399083999999995</v>
      </c>
      <c r="S1206" s="22">
        <f t="shared" si="169"/>
        <v>380.662213275</v>
      </c>
      <c r="T1206" s="23">
        <v>0.55859868298040061</v>
      </c>
      <c r="U1206" s="24">
        <v>0.1</v>
      </c>
      <c r="V1206" s="25">
        <f t="shared" ref="V1206" si="175">S1206+S1206*T1206+(S1206+S1206*T1206)*U1206</f>
        <v>652.62958669790123</v>
      </c>
      <c r="W1206" s="26" t="s">
        <v>29</v>
      </c>
    </row>
    <row r="1207" spans="1:23" x14ac:dyDescent="0.25">
      <c r="A1207" s="12">
        <f t="shared" ca="1" si="170"/>
        <v>1203</v>
      </c>
      <c r="B1207" s="13" t="s">
        <v>2419</v>
      </c>
      <c r="C1207" s="13" t="s">
        <v>2435</v>
      </c>
      <c r="D1207" s="13"/>
      <c r="E1207" s="13"/>
      <c r="F1207" s="13"/>
      <c r="G1207" s="13"/>
      <c r="H1207" s="15" t="s">
        <v>2436</v>
      </c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27"/>
      <c r="U1207" s="16"/>
      <c r="V1207" s="13"/>
      <c r="W1207" s="13"/>
    </row>
    <row r="1208" spans="1:23" ht="89.25" x14ac:dyDescent="0.25">
      <c r="A1208" s="17">
        <f t="shared" ca="1" si="170"/>
        <v>1204</v>
      </c>
      <c r="B1208" s="18" t="s">
        <v>2419</v>
      </c>
      <c r="C1208" s="18" t="s">
        <v>2437</v>
      </c>
      <c r="D1208" s="18"/>
      <c r="E1208" s="18"/>
      <c r="F1208" s="18"/>
      <c r="G1208" s="18"/>
      <c r="H1208" s="19" t="s">
        <v>2438</v>
      </c>
      <c r="I1208" s="18" t="s">
        <v>161</v>
      </c>
      <c r="J1208" s="20">
        <v>1</v>
      </c>
      <c r="K1208" s="20">
        <v>1.1499999999999999</v>
      </c>
      <c r="L1208" s="21" t="s">
        <v>28</v>
      </c>
      <c r="M1208" s="22">
        <v>1.7066000000000001</v>
      </c>
      <c r="N1208" s="22">
        <v>7.5600000000000001E-2</v>
      </c>
      <c r="O1208" s="22">
        <v>1014.1258695652174</v>
      </c>
      <c r="P1208" s="22">
        <f t="shared" si="167"/>
        <v>1990.31329035</v>
      </c>
      <c r="Q1208" s="22">
        <v>2922.65</v>
      </c>
      <c r="R1208" s="22">
        <f t="shared" si="168"/>
        <v>254.095191</v>
      </c>
      <c r="S1208" s="22">
        <f t="shared" si="169"/>
        <v>2244.4084813499999</v>
      </c>
      <c r="T1208" s="23">
        <v>0.55859868298040061</v>
      </c>
      <c r="U1208" s="24">
        <v>0.1</v>
      </c>
      <c r="V1208" s="25">
        <f t="shared" ref="V1208:V1211" si="176">S1208+S1208*T1208+(S1208+S1208*T1208)*U1208</f>
        <v>3847.945313412366</v>
      </c>
      <c r="W1208" s="26" t="s">
        <v>29</v>
      </c>
    </row>
    <row r="1209" spans="1:23" ht="89.25" x14ac:dyDescent="0.25">
      <c r="A1209" s="17">
        <f t="shared" ca="1" si="170"/>
        <v>1205</v>
      </c>
      <c r="B1209" s="18" t="s">
        <v>2419</v>
      </c>
      <c r="C1209" s="18" t="s">
        <v>2439</v>
      </c>
      <c r="D1209" s="18"/>
      <c r="E1209" s="18"/>
      <c r="F1209" s="18"/>
      <c r="G1209" s="18"/>
      <c r="H1209" s="19" t="s">
        <v>2440</v>
      </c>
      <c r="I1209" s="18" t="s">
        <v>161</v>
      </c>
      <c r="J1209" s="20">
        <v>1</v>
      </c>
      <c r="K1209" s="20">
        <v>1.1499999999999999</v>
      </c>
      <c r="L1209" s="21" t="s">
        <v>28</v>
      </c>
      <c r="M1209" s="22">
        <v>1.0128999999999999</v>
      </c>
      <c r="N1209" s="22">
        <v>4.4999999999999998E-2</v>
      </c>
      <c r="O1209" s="22">
        <v>1014.1258695652174</v>
      </c>
      <c r="P1209" s="22">
        <f t="shared" si="167"/>
        <v>1181.2893072749998</v>
      </c>
      <c r="Q1209" s="22">
        <v>2922.65</v>
      </c>
      <c r="R1209" s="22">
        <f t="shared" si="168"/>
        <v>151.24713749999998</v>
      </c>
      <c r="S1209" s="22">
        <f t="shared" si="169"/>
        <v>1332.5364447749998</v>
      </c>
      <c r="T1209" s="23">
        <v>0.55859868298040061</v>
      </c>
      <c r="U1209" s="24">
        <v>0.1</v>
      </c>
      <c r="V1209" s="25">
        <f t="shared" si="176"/>
        <v>2284.5785026346703</v>
      </c>
      <c r="W1209" s="26" t="s">
        <v>29</v>
      </c>
    </row>
    <row r="1210" spans="1:23" ht="89.25" x14ac:dyDescent="0.25">
      <c r="A1210" s="17">
        <f t="shared" ca="1" si="170"/>
        <v>1206</v>
      </c>
      <c r="B1210" s="18" t="s">
        <v>2419</v>
      </c>
      <c r="C1210" s="18" t="s">
        <v>2441</v>
      </c>
      <c r="D1210" s="18"/>
      <c r="E1210" s="18"/>
      <c r="F1210" s="18"/>
      <c r="G1210" s="18"/>
      <c r="H1210" s="19" t="s">
        <v>2442</v>
      </c>
      <c r="I1210" s="18" t="s">
        <v>161</v>
      </c>
      <c r="J1210" s="20">
        <v>1</v>
      </c>
      <c r="K1210" s="20">
        <v>1.1499999999999999</v>
      </c>
      <c r="L1210" s="21" t="s">
        <v>28</v>
      </c>
      <c r="M1210" s="22">
        <v>0.6069</v>
      </c>
      <c r="N1210" s="22">
        <v>4.4999999999999998E-2</v>
      </c>
      <c r="O1210" s="22">
        <v>1014.1258695652174</v>
      </c>
      <c r="P1210" s="22">
        <f t="shared" si="167"/>
        <v>707.79393877500002</v>
      </c>
      <c r="Q1210" s="22">
        <v>2922.65</v>
      </c>
      <c r="R1210" s="22">
        <f t="shared" si="168"/>
        <v>151.24713749999998</v>
      </c>
      <c r="S1210" s="22">
        <f t="shared" si="169"/>
        <v>859.04107627500002</v>
      </c>
      <c r="T1210" s="23">
        <v>0.55859868298040061</v>
      </c>
      <c r="U1210" s="24">
        <v>0.1</v>
      </c>
      <c r="V1210" s="25">
        <f t="shared" si="176"/>
        <v>1472.790319119109</v>
      </c>
      <c r="W1210" s="26" t="s">
        <v>29</v>
      </c>
    </row>
    <row r="1211" spans="1:23" ht="89.25" x14ac:dyDescent="0.25">
      <c r="A1211" s="17">
        <f t="shared" ca="1" si="170"/>
        <v>1207</v>
      </c>
      <c r="B1211" s="18" t="s">
        <v>2419</v>
      </c>
      <c r="C1211" s="18" t="s">
        <v>2443</v>
      </c>
      <c r="D1211" s="18"/>
      <c r="E1211" s="18"/>
      <c r="F1211" s="18"/>
      <c r="G1211" s="18"/>
      <c r="H1211" s="19" t="s">
        <v>2444</v>
      </c>
      <c r="I1211" s="18" t="s">
        <v>161</v>
      </c>
      <c r="J1211" s="20">
        <v>1</v>
      </c>
      <c r="K1211" s="20">
        <v>1.1499999999999999</v>
      </c>
      <c r="L1211" s="21" t="s">
        <v>28</v>
      </c>
      <c r="M1211" s="22">
        <v>2.9699999999999998</v>
      </c>
      <c r="N1211" s="22">
        <v>0.20800000000000002</v>
      </c>
      <c r="O1211" s="22">
        <v>1014.1258695652174</v>
      </c>
      <c r="P1211" s="22">
        <f t="shared" si="167"/>
        <v>3463.7469074999995</v>
      </c>
      <c r="Q1211" s="22">
        <v>2922.65</v>
      </c>
      <c r="R1211" s="22">
        <f t="shared" si="168"/>
        <v>699.09788000000003</v>
      </c>
      <c r="S1211" s="22">
        <f t="shared" si="169"/>
        <v>4162.8447874999993</v>
      </c>
      <c r="T1211" s="23">
        <v>0.55859868298040061</v>
      </c>
      <c r="U1211" s="24">
        <v>0.1</v>
      </c>
      <c r="V1211" s="25">
        <f t="shared" si="176"/>
        <v>7137.0248435742578</v>
      </c>
      <c r="W1211" s="26" t="s">
        <v>29</v>
      </c>
    </row>
    <row r="1212" spans="1:23" x14ac:dyDescent="0.25">
      <c r="A1212" s="12">
        <f t="shared" ca="1" si="170"/>
        <v>1208</v>
      </c>
      <c r="B1212" s="13" t="s">
        <v>2419</v>
      </c>
      <c r="C1212" s="13" t="s">
        <v>2445</v>
      </c>
      <c r="D1212" s="13"/>
      <c r="E1212" s="13"/>
      <c r="F1212" s="13"/>
      <c r="G1212" s="13"/>
      <c r="H1212" s="15" t="s">
        <v>2446</v>
      </c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27"/>
      <c r="U1212" s="16"/>
      <c r="V1212" s="13"/>
      <c r="W1212" s="13"/>
    </row>
    <row r="1213" spans="1:23" ht="89.25" x14ac:dyDescent="0.25">
      <c r="A1213" s="17">
        <f t="shared" ca="1" si="170"/>
        <v>1209</v>
      </c>
      <c r="B1213" s="18" t="s">
        <v>2419</v>
      </c>
      <c r="C1213" s="18" t="s">
        <v>2447</v>
      </c>
      <c r="D1213" s="18"/>
      <c r="E1213" s="18"/>
      <c r="F1213" s="18"/>
      <c r="G1213" s="18"/>
      <c r="H1213" s="19" t="s">
        <v>2448</v>
      </c>
      <c r="I1213" s="18" t="s">
        <v>104</v>
      </c>
      <c r="J1213" s="20">
        <v>1</v>
      </c>
      <c r="K1213" s="20">
        <v>1.1499999999999999</v>
      </c>
      <c r="L1213" s="21" t="s">
        <v>28</v>
      </c>
      <c r="M1213" s="22">
        <v>0.14559999999999998</v>
      </c>
      <c r="N1213" s="22">
        <v>1.2E-2</v>
      </c>
      <c r="O1213" s="22">
        <v>1014.1258695652174</v>
      </c>
      <c r="P1213" s="22">
        <f t="shared" si="167"/>
        <v>169.80523559999997</v>
      </c>
      <c r="Q1213" s="22">
        <v>2922.65</v>
      </c>
      <c r="R1213" s="22">
        <f t="shared" si="168"/>
        <v>40.332570000000004</v>
      </c>
      <c r="S1213" s="22">
        <f t="shared" si="169"/>
        <v>210.13780559999998</v>
      </c>
      <c r="T1213" s="23">
        <v>0.55859868298040061</v>
      </c>
      <c r="U1213" s="24">
        <v>0.1</v>
      </c>
      <c r="V1213" s="25">
        <f t="shared" ref="V1213" si="177">S1213+S1213*T1213+(S1213+S1213*T1213)*U1213</f>
        <v>360.27255775780657</v>
      </c>
      <c r="W1213" s="26" t="s">
        <v>29</v>
      </c>
    </row>
    <row r="1214" spans="1:23" x14ac:dyDescent="0.25">
      <c r="A1214" s="28">
        <f t="shared" ca="1" si="170"/>
        <v>1210</v>
      </c>
      <c r="B1214" s="9" t="s">
        <v>2419</v>
      </c>
      <c r="C1214" s="9" t="s">
        <v>2449</v>
      </c>
      <c r="D1214" s="9"/>
      <c r="E1214" s="9"/>
      <c r="F1214" s="9"/>
      <c r="G1214" s="9"/>
      <c r="H1214" s="10" t="s">
        <v>2450</v>
      </c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29"/>
      <c r="U1214" s="11"/>
      <c r="V1214" s="9"/>
      <c r="W1214" s="9"/>
    </row>
    <row r="1215" spans="1:23" x14ac:dyDescent="0.25">
      <c r="A1215" s="12">
        <f t="shared" ca="1" si="170"/>
        <v>1211</v>
      </c>
      <c r="B1215" s="13" t="s">
        <v>2419</v>
      </c>
      <c r="C1215" s="13" t="s">
        <v>2451</v>
      </c>
      <c r="D1215" s="13"/>
      <c r="E1215" s="13"/>
      <c r="F1215" s="13"/>
      <c r="G1215" s="13"/>
      <c r="H1215" s="15" t="s">
        <v>2452</v>
      </c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27"/>
      <c r="U1215" s="16"/>
      <c r="V1215" s="13"/>
      <c r="W1215" s="13"/>
    </row>
    <row r="1216" spans="1:23" ht="89.25" x14ac:dyDescent="0.25">
      <c r="A1216" s="17">
        <f t="shared" ca="1" si="170"/>
        <v>1212</v>
      </c>
      <c r="B1216" s="18" t="s">
        <v>2419</v>
      </c>
      <c r="C1216" s="18" t="s">
        <v>2453</v>
      </c>
      <c r="D1216" s="18"/>
      <c r="E1216" s="18"/>
      <c r="F1216" s="18"/>
      <c r="G1216" s="18"/>
      <c r="H1216" s="19" t="s">
        <v>2454</v>
      </c>
      <c r="I1216" s="18" t="s">
        <v>161</v>
      </c>
      <c r="J1216" s="20">
        <v>1</v>
      </c>
      <c r="K1216" s="20">
        <v>1.1499999999999999</v>
      </c>
      <c r="L1216" s="21" t="s">
        <v>28</v>
      </c>
      <c r="M1216" s="22">
        <v>3.2040000000000002</v>
      </c>
      <c r="N1216" s="22">
        <v>0.85199999999999998</v>
      </c>
      <c r="O1216" s="22">
        <v>1014.1258695652174</v>
      </c>
      <c r="P1216" s="22">
        <f t="shared" ref="P1216:P1279" si="178">O1216*M1216*K1216</f>
        <v>3736.6481789999998</v>
      </c>
      <c r="Q1216" s="22">
        <v>2922.65</v>
      </c>
      <c r="R1216" s="22">
        <f t="shared" ref="R1216:R1279" si="179">N1216*Q1216*K1216</f>
        <v>2863.6124699999996</v>
      </c>
      <c r="S1216" s="22">
        <f t="shared" ref="S1216:S1279" si="180">P1216+R1216</f>
        <v>6600.2606489999998</v>
      </c>
      <c r="T1216" s="23">
        <v>0.55859868298040061</v>
      </c>
      <c r="U1216" s="24">
        <v>0.1</v>
      </c>
      <c r="V1216" s="25">
        <f t="shared" ref="V1216:V1218" si="181">S1216+S1216*T1216+(S1216+S1216*T1216)*U1216</f>
        <v>11315.873310344641</v>
      </c>
      <c r="W1216" s="26" t="s">
        <v>29</v>
      </c>
    </row>
    <row r="1217" spans="1:23" ht="89.25" x14ac:dyDescent="0.25">
      <c r="A1217" s="17">
        <f t="shared" ca="1" si="170"/>
        <v>1213</v>
      </c>
      <c r="B1217" s="18" t="s">
        <v>2419</v>
      </c>
      <c r="C1217" s="18" t="s">
        <v>2455</v>
      </c>
      <c r="D1217" s="18"/>
      <c r="E1217" s="18"/>
      <c r="F1217" s="18"/>
      <c r="G1217" s="18"/>
      <c r="H1217" s="19" t="s">
        <v>2456</v>
      </c>
      <c r="I1217" s="18" t="s">
        <v>161</v>
      </c>
      <c r="J1217" s="20">
        <v>1</v>
      </c>
      <c r="K1217" s="20">
        <v>1.1499999999999999</v>
      </c>
      <c r="L1217" s="21" t="s">
        <v>28</v>
      </c>
      <c r="M1217" s="22">
        <v>5.9039999999999999</v>
      </c>
      <c r="N1217" s="22">
        <v>1.2320000000000002</v>
      </c>
      <c r="O1217" s="22">
        <v>1014.1258695652174</v>
      </c>
      <c r="P1217" s="22">
        <f t="shared" si="178"/>
        <v>6885.5090039999995</v>
      </c>
      <c r="Q1217" s="22">
        <v>2922.65</v>
      </c>
      <c r="R1217" s="22">
        <f t="shared" si="179"/>
        <v>4140.8105200000009</v>
      </c>
      <c r="S1217" s="22">
        <f t="shared" si="180"/>
        <v>11026.319524</v>
      </c>
      <c r="T1217" s="23">
        <v>0.55859868298040061</v>
      </c>
      <c r="U1217" s="24">
        <v>0.1</v>
      </c>
      <c r="V1217" s="25">
        <f t="shared" si="181"/>
        <v>18904.167797050228</v>
      </c>
      <c r="W1217" s="26" t="s">
        <v>29</v>
      </c>
    </row>
    <row r="1218" spans="1:23" ht="89.25" x14ac:dyDescent="0.25">
      <c r="A1218" s="17">
        <f t="shared" ca="1" si="170"/>
        <v>1214</v>
      </c>
      <c r="B1218" s="18" t="s">
        <v>2419</v>
      </c>
      <c r="C1218" s="18" t="s">
        <v>2457</v>
      </c>
      <c r="D1218" s="18"/>
      <c r="E1218" s="18"/>
      <c r="F1218" s="18"/>
      <c r="G1218" s="18"/>
      <c r="H1218" s="19" t="s">
        <v>2458</v>
      </c>
      <c r="I1218" s="18" t="s">
        <v>161</v>
      </c>
      <c r="J1218" s="20">
        <v>1</v>
      </c>
      <c r="K1218" s="20">
        <v>1.1499999999999999</v>
      </c>
      <c r="L1218" s="21" t="s">
        <v>28</v>
      </c>
      <c r="M1218" s="22">
        <v>10.098000000000001</v>
      </c>
      <c r="N1218" s="22">
        <v>1.6160000000000001</v>
      </c>
      <c r="O1218" s="22">
        <v>1014.1258695652174</v>
      </c>
      <c r="P1218" s="22">
        <f t="shared" si="178"/>
        <v>11776.739485499998</v>
      </c>
      <c r="Q1218" s="22">
        <v>2922.65</v>
      </c>
      <c r="R1218" s="22">
        <f t="shared" si="179"/>
        <v>5431.4527600000001</v>
      </c>
      <c r="S1218" s="22">
        <f t="shared" si="180"/>
        <v>17208.192245499999</v>
      </c>
      <c r="T1218" s="23">
        <v>0.55859868298040061</v>
      </c>
      <c r="U1218" s="24">
        <v>0.1</v>
      </c>
      <c r="V1218" s="25">
        <f t="shared" si="181"/>
        <v>29502.732347340825</v>
      </c>
      <c r="W1218" s="26" t="s">
        <v>29</v>
      </c>
    </row>
    <row r="1219" spans="1:23" x14ac:dyDescent="0.25">
      <c r="A1219" s="5">
        <f t="shared" ref="A1219:A1282" ca="1" si="182">CELL("строка",A1219)-4</f>
        <v>1215</v>
      </c>
      <c r="B1219" s="6" t="s">
        <v>2459</v>
      </c>
      <c r="C1219" s="6" t="s">
        <v>2459</v>
      </c>
      <c r="D1219" s="6"/>
      <c r="E1219" s="6"/>
      <c r="F1219" s="6"/>
      <c r="G1219" s="6"/>
      <c r="H1219" s="7" t="s">
        <v>2460</v>
      </c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30"/>
      <c r="U1219" s="8"/>
      <c r="V1219" s="6"/>
      <c r="W1219" s="6"/>
    </row>
    <row r="1220" spans="1:23" x14ac:dyDescent="0.25">
      <c r="A1220" s="28">
        <f t="shared" ca="1" si="182"/>
        <v>1216</v>
      </c>
      <c r="B1220" s="9" t="s">
        <v>2459</v>
      </c>
      <c r="C1220" s="9" t="s">
        <v>2461</v>
      </c>
      <c r="D1220" s="9"/>
      <c r="E1220" s="9"/>
      <c r="F1220" s="9"/>
      <c r="G1220" s="9"/>
      <c r="H1220" s="10" t="s">
        <v>2462</v>
      </c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29"/>
      <c r="U1220" s="11"/>
      <c r="V1220" s="9"/>
      <c r="W1220" s="9"/>
    </row>
    <row r="1221" spans="1:23" x14ac:dyDescent="0.25">
      <c r="A1221" s="12">
        <f t="shared" ca="1" si="182"/>
        <v>1217</v>
      </c>
      <c r="B1221" s="13" t="s">
        <v>2459</v>
      </c>
      <c r="C1221" s="13" t="s">
        <v>2463</v>
      </c>
      <c r="D1221" s="13"/>
      <c r="E1221" s="13"/>
      <c r="F1221" s="13"/>
      <c r="G1221" s="13"/>
      <c r="H1221" s="15" t="s">
        <v>2464</v>
      </c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27"/>
      <c r="U1221" s="16"/>
      <c r="V1221" s="13"/>
      <c r="W1221" s="13"/>
    </row>
    <row r="1222" spans="1:23" ht="89.25" x14ac:dyDescent="0.25">
      <c r="A1222" s="17">
        <f t="shared" ca="1" si="182"/>
        <v>1218</v>
      </c>
      <c r="B1222" s="18" t="s">
        <v>2459</v>
      </c>
      <c r="C1222" s="18" t="s">
        <v>2465</v>
      </c>
      <c r="D1222" s="18"/>
      <c r="E1222" s="18"/>
      <c r="F1222" s="18"/>
      <c r="G1222" s="18"/>
      <c r="H1222" s="19" t="s">
        <v>2466</v>
      </c>
      <c r="I1222" s="18" t="s">
        <v>161</v>
      </c>
      <c r="J1222" s="20">
        <v>1</v>
      </c>
      <c r="K1222" s="20">
        <v>1.1499999999999999</v>
      </c>
      <c r="L1222" s="21" t="s">
        <v>28</v>
      </c>
      <c r="M1222" s="22">
        <v>60.283999999999999</v>
      </c>
      <c r="N1222" s="22">
        <v>32.339999999999996</v>
      </c>
      <c r="O1222" s="22">
        <v>1064.2277765411266</v>
      </c>
      <c r="P1222" s="22">
        <f t="shared" si="178"/>
        <v>73779.293373156062</v>
      </c>
      <c r="Q1222" s="22">
        <v>2387.5299999999997</v>
      </c>
      <c r="R1222" s="22">
        <f t="shared" si="179"/>
        <v>88794.628229999973</v>
      </c>
      <c r="S1222" s="22">
        <f t="shared" si="180"/>
        <v>162573.92160315602</v>
      </c>
      <c r="T1222" s="23">
        <v>0.55859868298040061</v>
      </c>
      <c r="U1222" s="24">
        <v>0.1</v>
      </c>
      <c r="V1222" s="25">
        <f t="shared" ref="V1222:V1223" si="183">S1222+S1222*T1222+(S1222+S1222*T1222)*U1222</f>
        <v>278726.25010740169</v>
      </c>
      <c r="W1222" s="26" t="s">
        <v>29</v>
      </c>
    </row>
    <row r="1223" spans="1:23" ht="89.25" x14ac:dyDescent="0.25">
      <c r="A1223" s="17">
        <f t="shared" ca="1" si="182"/>
        <v>1219</v>
      </c>
      <c r="B1223" s="18" t="s">
        <v>2459</v>
      </c>
      <c r="C1223" s="18" t="s">
        <v>2467</v>
      </c>
      <c r="D1223" s="18"/>
      <c r="E1223" s="18"/>
      <c r="F1223" s="18"/>
      <c r="G1223" s="18"/>
      <c r="H1223" s="19" t="s">
        <v>2468</v>
      </c>
      <c r="I1223" s="18" t="s">
        <v>161</v>
      </c>
      <c r="J1223" s="20">
        <v>1</v>
      </c>
      <c r="K1223" s="20">
        <v>1.1499999999999999</v>
      </c>
      <c r="L1223" s="21" t="s">
        <v>28</v>
      </c>
      <c r="M1223" s="22">
        <v>8.4209999999999994</v>
      </c>
      <c r="N1223" s="22">
        <v>6.2939999999999996</v>
      </c>
      <c r="O1223" s="22">
        <v>1064.2277765411266</v>
      </c>
      <c r="P1223" s="22">
        <f t="shared" si="178"/>
        <v>10306.141422190749</v>
      </c>
      <c r="Q1223" s="22">
        <v>2387.5299999999997</v>
      </c>
      <c r="R1223" s="22">
        <f t="shared" si="179"/>
        <v>17281.180892999993</v>
      </c>
      <c r="S1223" s="22">
        <f t="shared" si="180"/>
        <v>27587.322315190744</v>
      </c>
      <c r="T1223" s="23">
        <v>0.55859868298040061</v>
      </c>
      <c r="U1223" s="24">
        <v>0.1</v>
      </c>
      <c r="V1223" s="25">
        <f t="shared" si="183"/>
        <v>47297.320650153313</v>
      </c>
      <c r="W1223" s="26" t="s">
        <v>29</v>
      </c>
    </row>
    <row r="1224" spans="1:23" x14ac:dyDescent="0.25">
      <c r="A1224" s="28">
        <f t="shared" ca="1" si="182"/>
        <v>1220</v>
      </c>
      <c r="B1224" s="9" t="s">
        <v>2459</v>
      </c>
      <c r="C1224" s="9" t="s">
        <v>2469</v>
      </c>
      <c r="D1224" s="9"/>
      <c r="E1224" s="9"/>
      <c r="F1224" s="9"/>
      <c r="G1224" s="9"/>
      <c r="H1224" s="10" t="s">
        <v>2470</v>
      </c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29"/>
      <c r="U1224" s="11"/>
      <c r="V1224" s="9"/>
      <c r="W1224" s="9"/>
    </row>
    <row r="1225" spans="1:23" x14ac:dyDescent="0.25">
      <c r="A1225" s="12">
        <f t="shared" ca="1" si="182"/>
        <v>1221</v>
      </c>
      <c r="B1225" s="13" t="s">
        <v>2459</v>
      </c>
      <c r="C1225" s="13" t="s">
        <v>2471</v>
      </c>
      <c r="D1225" s="13"/>
      <c r="E1225" s="13"/>
      <c r="F1225" s="13"/>
      <c r="G1225" s="13"/>
      <c r="H1225" s="15" t="s">
        <v>2472</v>
      </c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27"/>
      <c r="U1225" s="16"/>
      <c r="V1225" s="13"/>
      <c r="W1225" s="13"/>
    </row>
    <row r="1226" spans="1:23" ht="89.25" x14ac:dyDescent="0.25">
      <c r="A1226" s="17">
        <f t="shared" ca="1" si="182"/>
        <v>1222</v>
      </c>
      <c r="B1226" s="18" t="s">
        <v>2459</v>
      </c>
      <c r="C1226" s="18" t="s">
        <v>2473</v>
      </c>
      <c r="D1226" s="18"/>
      <c r="E1226" s="18"/>
      <c r="F1226" s="18"/>
      <c r="G1226" s="18"/>
      <c r="H1226" s="19" t="s">
        <v>2474</v>
      </c>
      <c r="I1226" s="18" t="s">
        <v>104</v>
      </c>
      <c r="J1226" s="20">
        <v>1</v>
      </c>
      <c r="K1226" s="20">
        <v>1.1499999999999999</v>
      </c>
      <c r="L1226" s="21" t="s">
        <v>28</v>
      </c>
      <c r="M1226" s="22">
        <v>1.3719999999999999</v>
      </c>
      <c r="N1226" s="22">
        <v>0.44999999999999996</v>
      </c>
      <c r="O1226" s="22">
        <v>1064.2277765411266</v>
      </c>
      <c r="P1226" s="22">
        <f t="shared" si="178"/>
        <v>1679.1385858265892</v>
      </c>
      <c r="Q1226" s="22">
        <v>2387.5299999999997</v>
      </c>
      <c r="R1226" s="22">
        <f t="shared" si="179"/>
        <v>1235.5467749999996</v>
      </c>
      <c r="S1226" s="22">
        <f t="shared" si="180"/>
        <v>2914.6853608265887</v>
      </c>
      <c r="T1226" s="23">
        <v>0.55859868298040061</v>
      </c>
      <c r="U1226" s="24">
        <v>0.1</v>
      </c>
      <c r="V1226" s="25">
        <f t="shared" ref="V1226:V1231" si="184">S1226+S1226*T1226+(S1226+S1226*T1226)*U1226</f>
        <v>4997.1072411552323</v>
      </c>
      <c r="W1226" s="26" t="s">
        <v>29</v>
      </c>
    </row>
    <row r="1227" spans="1:23" ht="89.25" x14ac:dyDescent="0.25">
      <c r="A1227" s="17">
        <f t="shared" ca="1" si="182"/>
        <v>1223</v>
      </c>
      <c r="B1227" s="18" t="s">
        <v>2459</v>
      </c>
      <c r="C1227" s="18" t="s">
        <v>2475</v>
      </c>
      <c r="D1227" s="18"/>
      <c r="E1227" s="18"/>
      <c r="F1227" s="18"/>
      <c r="G1227" s="18"/>
      <c r="H1227" s="19" t="s">
        <v>2476</v>
      </c>
      <c r="I1227" s="18" t="s">
        <v>104</v>
      </c>
      <c r="J1227" s="20">
        <v>1</v>
      </c>
      <c r="K1227" s="20">
        <v>1.1499999999999999</v>
      </c>
      <c r="L1227" s="21" t="s">
        <v>28</v>
      </c>
      <c r="M1227" s="22">
        <v>2.093</v>
      </c>
      <c r="N1227" s="22">
        <v>0.70199999999999996</v>
      </c>
      <c r="O1227" s="22">
        <v>1064.2277765411266</v>
      </c>
      <c r="P1227" s="22">
        <f t="shared" si="178"/>
        <v>2561.5430467456645</v>
      </c>
      <c r="Q1227" s="22">
        <v>2387.5299999999997</v>
      </c>
      <c r="R1227" s="22">
        <f t="shared" si="179"/>
        <v>1927.4529689999995</v>
      </c>
      <c r="S1227" s="22">
        <f t="shared" si="180"/>
        <v>4488.9960157456644</v>
      </c>
      <c r="T1227" s="23">
        <v>0.55859868298040061</v>
      </c>
      <c r="U1227" s="24">
        <v>0.1</v>
      </c>
      <c r="V1227" s="25">
        <f t="shared" si="184"/>
        <v>7696.1976058500031</v>
      </c>
      <c r="W1227" s="26" t="s">
        <v>29</v>
      </c>
    </row>
    <row r="1228" spans="1:23" ht="89.25" x14ac:dyDescent="0.25">
      <c r="A1228" s="17">
        <f t="shared" ca="1" si="182"/>
        <v>1224</v>
      </c>
      <c r="B1228" s="18" t="s">
        <v>2459</v>
      </c>
      <c r="C1228" s="18" t="s">
        <v>2477</v>
      </c>
      <c r="D1228" s="18"/>
      <c r="E1228" s="18"/>
      <c r="F1228" s="18"/>
      <c r="G1228" s="18"/>
      <c r="H1228" s="19" t="s">
        <v>2478</v>
      </c>
      <c r="I1228" s="18" t="s">
        <v>104</v>
      </c>
      <c r="J1228" s="20">
        <v>1</v>
      </c>
      <c r="K1228" s="20">
        <v>1.1499999999999999</v>
      </c>
      <c r="L1228" s="21" t="s">
        <v>28</v>
      </c>
      <c r="M1228" s="22">
        <v>3.8779999999999997</v>
      </c>
      <c r="N1228" s="22">
        <v>1.2899999999999998</v>
      </c>
      <c r="O1228" s="22">
        <v>1064.2277765411266</v>
      </c>
      <c r="P1228" s="22">
        <f t="shared" si="178"/>
        <v>4746.136615040461</v>
      </c>
      <c r="Q1228" s="22">
        <v>2387.5299999999997</v>
      </c>
      <c r="R1228" s="22">
        <f t="shared" si="179"/>
        <v>3541.9007549999988</v>
      </c>
      <c r="S1228" s="22">
        <f t="shared" si="180"/>
        <v>8288.0373700404598</v>
      </c>
      <c r="T1228" s="23">
        <v>0.55859868298040061</v>
      </c>
      <c r="U1228" s="24">
        <v>0.1</v>
      </c>
      <c r="V1228" s="25">
        <f t="shared" si="184"/>
        <v>14209.496542381145</v>
      </c>
      <c r="W1228" s="26" t="s">
        <v>29</v>
      </c>
    </row>
    <row r="1229" spans="1:23" ht="89.25" x14ac:dyDescent="0.25">
      <c r="A1229" s="17">
        <f t="shared" ca="1" si="182"/>
        <v>1225</v>
      </c>
      <c r="B1229" s="18" t="s">
        <v>2459</v>
      </c>
      <c r="C1229" s="18" t="s">
        <v>2479</v>
      </c>
      <c r="D1229" s="18"/>
      <c r="E1229" s="18"/>
      <c r="F1229" s="18"/>
      <c r="G1229" s="18"/>
      <c r="H1229" s="19" t="s">
        <v>2480</v>
      </c>
      <c r="I1229" s="18" t="s">
        <v>104</v>
      </c>
      <c r="J1229" s="20">
        <v>1</v>
      </c>
      <c r="K1229" s="20">
        <v>1.1499999999999999</v>
      </c>
      <c r="L1229" s="21" t="s">
        <v>28</v>
      </c>
      <c r="M1229" s="22">
        <v>6.2789999999999999</v>
      </c>
      <c r="N1229" s="22">
        <v>2.1</v>
      </c>
      <c r="O1229" s="22">
        <v>1064.2277765411266</v>
      </c>
      <c r="P1229" s="22">
        <f t="shared" si="178"/>
        <v>7684.6291402369925</v>
      </c>
      <c r="Q1229" s="22">
        <v>2387.5299999999997</v>
      </c>
      <c r="R1229" s="22">
        <f t="shared" si="179"/>
        <v>5765.8849499999997</v>
      </c>
      <c r="S1229" s="22">
        <f t="shared" si="180"/>
        <v>13450.514090236993</v>
      </c>
      <c r="T1229" s="23">
        <v>0.55859868298040061</v>
      </c>
      <c r="U1229" s="24">
        <v>0.1</v>
      </c>
      <c r="V1229" s="25">
        <f t="shared" si="184"/>
        <v>23060.348901097968</v>
      </c>
      <c r="W1229" s="26" t="s">
        <v>29</v>
      </c>
    </row>
    <row r="1230" spans="1:23" ht="89.25" x14ac:dyDescent="0.25">
      <c r="A1230" s="17">
        <f t="shared" ca="1" si="182"/>
        <v>1226</v>
      </c>
      <c r="B1230" s="18" t="s">
        <v>2459</v>
      </c>
      <c r="C1230" s="18" t="s">
        <v>2481</v>
      </c>
      <c r="D1230" s="18"/>
      <c r="E1230" s="18"/>
      <c r="F1230" s="18"/>
      <c r="G1230" s="18"/>
      <c r="H1230" s="19" t="s">
        <v>2482</v>
      </c>
      <c r="I1230" s="18" t="s">
        <v>104</v>
      </c>
      <c r="J1230" s="20">
        <v>1</v>
      </c>
      <c r="K1230" s="20">
        <v>1.1499999999999999</v>
      </c>
      <c r="L1230" s="21" t="s">
        <v>28</v>
      </c>
      <c r="M1230" s="22">
        <v>7.4479999999999995</v>
      </c>
      <c r="N1230" s="22">
        <v>2.4839999999999995</v>
      </c>
      <c r="O1230" s="22">
        <v>1064.2277765411266</v>
      </c>
      <c r="P1230" s="22">
        <f t="shared" si="178"/>
        <v>9115.323751630056</v>
      </c>
      <c r="Q1230" s="22">
        <v>2387.5299999999997</v>
      </c>
      <c r="R1230" s="22">
        <f t="shared" si="179"/>
        <v>6820.2181979999978</v>
      </c>
      <c r="S1230" s="22">
        <f t="shared" si="180"/>
        <v>15935.541949630053</v>
      </c>
      <c r="T1230" s="23">
        <v>0.55859868298040061</v>
      </c>
      <c r="U1230" s="24">
        <v>0.1</v>
      </c>
      <c r="V1230" s="25">
        <f t="shared" si="184"/>
        <v>27320.826164799561</v>
      </c>
      <c r="W1230" s="26" t="s">
        <v>29</v>
      </c>
    </row>
    <row r="1231" spans="1:23" ht="89.25" x14ac:dyDescent="0.25">
      <c r="A1231" s="17">
        <f t="shared" ca="1" si="182"/>
        <v>1227</v>
      </c>
      <c r="B1231" s="18" t="s">
        <v>2459</v>
      </c>
      <c r="C1231" s="18" t="s">
        <v>2483</v>
      </c>
      <c r="D1231" s="18"/>
      <c r="E1231" s="18"/>
      <c r="F1231" s="18"/>
      <c r="G1231" s="18"/>
      <c r="H1231" s="19" t="s">
        <v>2484</v>
      </c>
      <c r="I1231" s="18" t="s">
        <v>104</v>
      </c>
      <c r="J1231" s="20">
        <v>1</v>
      </c>
      <c r="K1231" s="20">
        <v>1.1499999999999999</v>
      </c>
      <c r="L1231" s="21" t="s">
        <v>28</v>
      </c>
      <c r="M1231" s="22">
        <v>10.885</v>
      </c>
      <c r="N1231" s="22">
        <v>3.54</v>
      </c>
      <c r="O1231" s="22">
        <v>1064.2277765411266</v>
      </c>
      <c r="P1231" s="22">
        <f t="shared" si="178"/>
        <v>13321.737249797687</v>
      </c>
      <c r="Q1231" s="22">
        <v>2387.5299999999997</v>
      </c>
      <c r="R1231" s="22">
        <f t="shared" si="179"/>
        <v>9719.6346299999968</v>
      </c>
      <c r="S1231" s="22">
        <f t="shared" si="180"/>
        <v>23041.371879797684</v>
      </c>
      <c r="T1231" s="23">
        <v>0.55859868298040061</v>
      </c>
      <c r="U1231" s="24">
        <v>0.1</v>
      </c>
      <c r="V1231" s="25">
        <f t="shared" si="184"/>
        <v>39503.477052505739</v>
      </c>
      <c r="W1231" s="26" t="s">
        <v>29</v>
      </c>
    </row>
    <row r="1232" spans="1:23" x14ac:dyDescent="0.25">
      <c r="A1232" s="12">
        <f t="shared" ca="1" si="182"/>
        <v>1228</v>
      </c>
      <c r="B1232" s="13" t="s">
        <v>2459</v>
      </c>
      <c r="C1232" s="13" t="s">
        <v>2485</v>
      </c>
      <c r="D1232" s="13"/>
      <c r="E1232" s="13"/>
      <c r="F1232" s="13"/>
      <c r="G1232" s="13"/>
      <c r="H1232" s="15" t="s">
        <v>2486</v>
      </c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27"/>
      <c r="U1232" s="16"/>
      <c r="V1232" s="13"/>
      <c r="W1232" s="13"/>
    </row>
    <row r="1233" spans="1:23" ht="89.25" x14ac:dyDescent="0.25">
      <c r="A1233" s="17">
        <f t="shared" ca="1" si="182"/>
        <v>1229</v>
      </c>
      <c r="B1233" s="18" t="s">
        <v>2459</v>
      </c>
      <c r="C1233" s="18" t="s">
        <v>2487</v>
      </c>
      <c r="D1233" s="18"/>
      <c r="E1233" s="18"/>
      <c r="F1233" s="18"/>
      <c r="G1233" s="18"/>
      <c r="H1233" s="19" t="s">
        <v>2488</v>
      </c>
      <c r="I1233" s="18" t="s">
        <v>104</v>
      </c>
      <c r="J1233" s="20">
        <v>1</v>
      </c>
      <c r="K1233" s="20">
        <v>1.1499999999999999</v>
      </c>
      <c r="L1233" s="21" t="s">
        <v>28</v>
      </c>
      <c r="M1233" s="22">
        <v>0.84699999999999998</v>
      </c>
      <c r="N1233" s="22">
        <v>0.12</v>
      </c>
      <c r="O1233" s="22">
        <v>1064.2277765411266</v>
      </c>
      <c r="P1233" s="22">
        <f t="shared" si="178"/>
        <v>1036.6110657398842</v>
      </c>
      <c r="Q1233" s="22">
        <v>2387.5299999999997</v>
      </c>
      <c r="R1233" s="22">
        <f t="shared" si="179"/>
        <v>329.47913999999992</v>
      </c>
      <c r="S1233" s="22">
        <f t="shared" si="180"/>
        <v>1366.0902057398841</v>
      </c>
      <c r="T1233" s="23">
        <v>0.55859868298040061</v>
      </c>
      <c r="U1233" s="24">
        <v>0.1</v>
      </c>
      <c r="V1233" s="25">
        <f t="shared" ref="V1233:V1238" si="185">S1233+S1233*T1233+(S1233+S1233*T1233)*U1233</f>
        <v>2342.1050350484688</v>
      </c>
      <c r="W1233" s="26" t="s">
        <v>29</v>
      </c>
    </row>
    <row r="1234" spans="1:23" ht="89.25" x14ac:dyDescent="0.25">
      <c r="A1234" s="17">
        <f t="shared" ca="1" si="182"/>
        <v>1230</v>
      </c>
      <c r="B1234" s="18" t="s">
        <v>2459</v>
      </c>
      <c r="C1234" s="18" t="s">
        <v>2489</v>
      </c>
      <c r="D1234" s="18"/>
      <c r="E1234" s="18"/>
      <c r="F1234" s="18"/>
      <c r="G1234" s="18"/>
      <c r="H1234" s="19" t="s">
        <v>2490</v>
      </c>
      <c r="I1234" s="18" t="s">
        <v>104</v>
      </c>
      <c r="J1234" s="20">
        <v>1</v>
      </c>
      <c r="K1234" s="20">
        <v>1.1499999999999999</v>
      </c>
      <c r="L1234" s="21" t="s">
        <v>28</v>
      </c>
      <c r="M1234" s="22">
        <v>1.498</v>
      </c>
      <c r="N1234" s="22">
        <v>0.156</v>
      </c>
      <c r="O1234" s="22">
        <v>1064.2277765411266</v>
      </c>
      <c r="P1234" s="22">
        <f t="shared" si="178"/>
        <v>1833.3451906473986</v>
      </c>
      <c r="Q1234" s="22">
        <v>2387.5299999999997</v>
      </c>
      <c r="R1234" s="22">
        <f t="shared" si="179"/>
        <v>428.32288199999988</v>
      </c>
      <c r="S1234" s="22">
        <f t="shared" si="180"/>
        <v>2261.6680726473983</v>
      </c>
      <c r="T1234" s="23">
        <v>0.55859868298040061</v>
      </c>
      <c r="U1234" s="24">
        <v>0.1</v>
      </c>
      <c r="V1234" s="25">
        <f t="shared" si="185"/>
        <v>3877.5361673037614</v>
      </c>
      <c r="W1234" s="26" t="s">
        <v>29</v>
      </c>
    </row>
    <row r="1235" spans="1:23" ht="89.25" x14ac:dyDescent="0.25">
      <c r="A1235" s="17">
        <f t="shared" ca="1" si="182"/>
        <v>1231</v>
      </c>
      <c r="B1235" s="18" t="s">
        <v>2459</v>
      </c>
      <c r="C1235" s="18" t="s">
        <v>2491</v>
      </c>
      <c r="D1235" s="18"/>
      <c r="E1235" s="18"/>
      <c r="F1235" s="18"/>
      <c r="G1235" s="18"/>
      <c r="H1235" s="19" t="s">
        <v>2492</v>
      </c>
      <c r="I1235" s="18" t="s">
        <v>104</v>
      </c>
      <c r="J1235" s="20">
        <v>1</v>
      </c>
      <c r="K1235" s="20">
        <v>1.1499999999999999</v>
      </c>
      <c r="L1235" s="21" t="s">
        <v>28</v>
      </c>
      <c r="M1235" s="22">
        <v>2.4289999999999998</v>
      </c>
      <c r="N1235" s="22">
        <v>0.318</v>
      </c>
      <c r="O1235" s="22">
        <v>1064.2277765411266</v>
      </c>
      <c r="P1235" s="22">
        <f t="shared" si="178"/>
        <v>2972.7606596011556</v>
      </c>
      <c r="Q1235" s="22">
        <v>2387.5299999999997</v>
      </c>
      <c r="R1235" s="22">
        <f t="shared" si="179"/>
        <v>873.1197209999998</v>
      </c>
      <c r="S1235" s="22">
        <f t="shared" si="180"/>
        <v>3845.8803806011556</v>
      </c>
      <c r="T1235" s="23">
        <v>0.55859868298040061</v>
      </c>
      <c r="U1235" s="24">
        <v>0.1</v>
      </c>
      <c r="V1235" s="25">
        <f t="shared" si="185"/>
        <v>6593.6025057156348</v>
      </c>
      <c r="W1235" s="26" t="s">
        <v>29</v>
      </c>
    </row>
    <row r="1236" spans="1:23" ht="89.25" x14ac:dyDescent="0.25">
      <c r="A1236" s="17">
        <f t="shared" ca="1" si="182"/>
        <v>1232</v>
      </c>
      <c r="B1236" s="18" t="s">
        <v>2459</v>
      </c>
      <c r="C1236" s="18" t="s">
        <v>2493</v>
      </c>
      <c r="D1236" s="18"/>
      <c r="E1236" s="18"/>
      <c r="F1236" s="18"/>
      <c r="G1236" s="18"/>
      <c r="H1236" s="19" t="s">
        <v>2494</v>
      </c>
      <c r="I1236" s="18" t="s">
        <v>104</v>
      </c>
      <c r="J1236" s="20">
        <v>1</v>
      </c>
      <c r="K1236" s="20">
        <v>1.1499999999999999</v>
      </c>
      <c r="L1236" s="21" t="s">
        <v>28</v>
      </c>
      <c r="M1236" s="22">
        <v>3.5839999999999996</v>
      </c>
      <c r="N1236" s="22">
        <v>0.75</v>
      </c>
      <c r="O1236" s="22">
        <v>1064.2277765411266</v>
      </c>
      <c r="P1236" s="22">
        <f t="shared" si="178"/>
        <v>4386.3212037919066</v>
      </c>
      <c r="Q1236" s="22">
        <v>2387.5299999999997</v>
      </c>
      <c r="R1236" s="22">
        <f t="shared" si="179"/>
        <v>2059.2446249999998</v>
      </c>
      <c r="S1236" s="22">
        <f t="shared" si="180"/>
        <v>6445.5658287919068</v>
      </c>
      <c r="T1236" s="23">
        <v>0.55859868298040061</v>
      </c>
      <c r="U1236" s="24">
        <v>0.1</v>
      </c>
      <c r="V1236" s="25">
        <f t="shared" si="185"/>
        <v>11050.655453000394</v>
      </c>
      <c r="W1236" s="26" t="s">
        <v>29</v>
      </c>
    </row>
    <row r="1237" spans="1:23" ht="89.25" x14ac:dyDescent="0.25">
      <c r="A1237" s="17">
        <f t="shared" ca="1" si="182"/>
        <v>1233</v>
      </c>
      <c r="B1237" s="18" t="s">
        <v>2459</v>
      </c>
      <c r="C1237" s="18" t="s">
        <v>2495</v>
      </c>
      <c r="D1237" s="18"/>
      <c r="E1237" s="18"/>
      <c r="F1237" s="18"/>
      <c r="G1237" s="18"/>
      <c r="H1237" s="19" t="s">
        <v>2496</v>
      </c>
      <c r="I1237" s="18" t="s">
        <v>104</v>
      </c>
      <c r="J1237" s="20">
        <v>1</v>
      </c>
      <c r="K1237" s="20">
        <v>1.1499999999999999</v>
      </c>
      <c r="L1237" s="21" t="s">
        <v>28</v>
      </c>
      <c r="M1237" s="22">
        <v>4.6899999999999995</v>
      </c>
      <c r="N1237" s="22">
        <v>0.92999999999999994</v>
      </c>
      <c r="O1237" s="22">
        <v>1064.2277765411266</v>
      </c>
      <c r="P1237" s="22">
        <f t="shared" si="178"/>
        <v>5739.9125127745656</v>
      </c>
      <c r="Q1237" s="22">
        <v>2387.5299999999997</v>
      </c>
      <c r="R1237" s="22">
        <f t="shared" si="179"/>
        <v>2553.4633349999995</v>
      </c>
      <c r="S1237" s="22">
        <f t="shared" si="180"/>
        <v>8293.375847774565</v>
      </c>
      <c r="T1237" s="23">
        <v>0.55859868298040061</v>
      </c>
      <c r="U1237" s="24">
        <v>0.1</v>
      </c>
      <c r="V1237" s="25">
        <f t="shared" si="185"/>
        <v>14218.64914118319</v>
      </c>
      <c r="W1237" s="26" t="s">
        <v>29</v>
      </c>
    </row>
    <row r="1238" spans="1:23" ht="89.25" x14ac:dyDescent="0.25">
      <c r="A1238" s="17">
        <f t="shared" ca="1" si="182"/>
        <v>1234</v>
      </c>
      <c r="B1238" s="18" t="s">
        <v>2459</v>
      </c>
      <c r="C1238" s="18" t="s">
        <v>2497</v>
      </c>
      <c r="D1238" s="18"/>
      <c r="E1238" s="18"/>
      <c r="F1238" s="18"/>
      <c r="G1238" s="18"/>
      <c r="H1238" s="19" t="s">
        <v>2498</v>
      </c>
      <c r="I1238" s="18" t="s">
        <v>104</v>
      </c>
      <c r="J1238" s="20">
        <v>1</v>
      </c>
      <c r="K1238" s="20">
        <v>1.1499999999999999</v>
      </c>
      <c r="L1238" s="21" t="s">
        <v>28</v>
      </c>
      <c r="M1238" s="22">
        <v>6.0129999999999999</v>
      </c>
      <c r="N1238" s="22">
        <v>1.08</v>
      </c>
      <c r="O1238" s="22">
        <v>1064.2277765411266</v>
      </c>
      <c r="P1238" s="22">
        <f t="shared" si="178"/>
        <v>7359.081863393063</v>
      </c>
      <c r="Q1238" s="22">
        <v>2387.5299999999997</v>
      </c>
      <c r="R1238" s="22">
        <f t="shared" si="179"/>
        <v>2965.3122599999997</v>
      </c>
      <c r="S1238" s="22">
        <f t="shared" si="180"/>
        <v>10324.394123393064</v>
      </c>
      <c r="T1238" s="23">
        <v>0.55859868298040061</v>
      </c>
      <c r="U1238" s="24">
        <v>0.1</v>
      </c>
      <c r="V1238" s="25">
        <f t="shared" si="185"/>
        <v>17700.74579162012</v>
      </c>
      <c r="W1238" s="26" t="s">
        <v>29</v>
      </c>
    </row>
    <row r="1239" spans="1:23" x14ac:dyDescent="0.25">
      <c r="A1239" s="12">
        <f t="shared" ca="1" si="182"/>
        <v>1235</v>
      </c>
      <c r="B1239" s="13" t="s">
        <v>2459</v>
      </c>
      <c r="C1239" s="13" t="s">
        <v>2499</v>
      </c>
      <c r="D1239" s="13"/>
      <c r="E1239" s="13"/>
      <c r="F1239" s="13"/>
      <c r="G1239" s="13"/>
      <c r="H1239" s="15" t="s">
        <v>2500</v>
      </c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27"/>
      <c r="U1239" s="16"/>
      <c r="V1239" s="13"/>
      <c r="W1239" s="13"/>
    </row>
    <row r="1240" spans="1:23" ht="89.25" x14ac:dyDescent="0.25">
      <c r="A1240" s="17">
        <f t="shared" ca="1" si="182"/>
        <v>1236</v>
      </c>
      <c r="B1240" s="18" t="s">
        <v>2459</v>
      </c>
      <c r="C1240" s="18" t="s">
        <v>2501</v>
      </c>
      <c r="D1240" s="18"/>
      <c r="E1240" s="18"/>
      <c r="F1240" s="18"/>
      <c r="G1240" s="18"/>
      <c r="H1240" s="19" t="s">
        <v>2500</v>
      </c>
      <c r="I1240" s="18" t="s">
        <v>2502</v>
      </c>
      <c r="J1240" s="20">
        <v>1</v>
      </c>
      <c r="K1240" s="20">
        <v>1.1499999999999999</v>
      </c>
      <c r="L1240" s="21" t="s">
        <v>28</v>
      </c>
      <c r="M1240" s="22">
        <v>8.238999999999999</v>
      </c>
      <c r="N1240" s="22">
        <v>3.3</v>
      </c>
      <c r="O1240" s="22">
        <v>1064.2277765411266</v>
      </c>
      <c r="P1240" s="22">
        <f t="shared" si="178"/>
        <v>10083.398548560692</v>
      </c>
      <c r="Q1240" s="22">
        <v>2387.5299999999997</v>
      </c>
      <c r="R1240" s="22">
        <f t="shared" si="179"/>
        <v>9060.6763499999979</v>
      </c>
      <c r="S1240" s="22">
        <f t="shared" si="180"/>
        <v>19144.074898560692</v>
      </c>
      <c r="T1240" s="23">
        <v>0.55859868298040061</v>
      </c>
      <c r="U1240" s="24">
        <v>0.1</v>
      </c>
      <c r="V1240" s="25">
        <f t="shared" ref="V1240" si="186">S1240+S1240*T1240+(S1240+S1240*T1240)*U1240</f>
        <v>32821.722916152328</v>
      </c>
      <c r="W1240" s="26" t="s">
        <v>29</v>
      </c>
    </row>
    <row r="1241" spans="1:23" x14ac:dyDescent="0.25">
      <c r="A1241" s="5">
        <f t="shared" ca="1" si="182"/>
        <v>1237</v>
      </c>
      <c r="B1241" s="6" t="s">
        <v>2503</v>
      </c>
      <c r="C1241" s="6" t="s">
        <v>2503</v>
      </c>
      <c r="D1241" s="6"/>
      <c r="E1241" s="6"/>
      <c r="F1241" s="6"/>
      <c r="G1241" s="6"/>
      <c r="H1241" s="7" t="s">
        <v>2504</v>
      </c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30"/>
      <c r="U1241" s="8"/>
      <c r="V1241" s="6"/>
      <c r="W1241" s="6"/>
    </row>
    <row r="1242" spans="1:23" x14ac:dyDescent="0.25">
      <c r="A1242" s="28">
        <f t="shared" ca="1" si="182"/>
        <v>1238</v>
      </c>
      <c r="B1242" s="9" t="s">
        <v>2503</v>
      </c>
      <c r="C1242" s="9" t="s">
        <v>2505</v>
      </c>
      <c r="D1242" s="9"/>
      <c r="E1242" s="9"/>
      <c r="F1242" s="9"/>
      <c r="G1242" s="9"/>
      <c r="H1242" s="10" t="s">
        <v>2506</v>
      </c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29"/>
      <c r="U1242" s="11"/>
      <c r="V1242" s="9"/>
      <c r="W1242" s="9"/>
    </row>
    <row r="1243" spans="1:23" x14ac:dyDescent="0.25">
      <c r="A1243" s="12">
        <f t="shared" ca="1" si="182"/>
        <v>1239</v>
      </c>
      <c r="B1243" s="35" t="s">
        <v>2503</v>
      </c>
      <c r="C1243" s="35" t="s">
        <v>2507</v>
      </c>
      <c r="D1243" s="35"/>
      <c r="E1243" s="35"/>
      <c r="F1243" s="35"/>
      <c r="G1243" s="35"/>
      <c r="H1243" s="36" t="s">
        <v>2508</v>
      </c>
      <c r="I1243" s="35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27"/>
      <c r="U1243" s="16"/>
      <c r="V1243" s="13"/>
      <c r="W1243" s="13"/>
    </row>
    <row r="1244" spans="1:23" ht="89.25" x14ac:dyDescent="0.25">
      <c r="A1244" s="17">
        <f t="shared" ca="1" si="182"/>
        <v>1240</v>
      </c>
      <c r="B1244" s="18" t="s">
        <v>2503</v>
      </c>
      <c r="C1244" s="18" t="s">
        <v>2509</v>
      </c>
      <c r="D1244" s="18"/>
      <c r="E1244" s="18"/>
      <c r="F1244" s="18"/>
      <c r="G1244" s="18"/>
      <c r="H1244" s="19" t="s">
        <v>2510</v>
      </c>
      <c r="I1244" s="18" t="s">
        <v>161</v>
      </c>
      <c r="J1244" s="20">
        <v>1</v>
      </c>
      <c r="K1244" s="20">
        <v>1.1499999999999999</v>
      </c>
      <c r="L1244" s="21" t="s">
        <v>28</v>
      </c>
      <c r="M1244" s="22">
        <v>36.280499999999996</v>
      </c>
      <c r="N1244" s="22">
        <v>0</v>
      </c>
      <c r="O1244" s="22">
        <v>1324.54</v>
      </c>
      <c r="P1244" s="22">
        <f t="shared" si="178"/>
        <v>55263.219490499992</v>
      </c>
      <c r="Q1244" s="22">
        <v>0</v>
      </c>
      <c r="R1244" s="22">
        <f t="shared" si="179"/>
        <v>0</v>
      </c>
      <c r="S1244" s="22">
        <f t="shared" si="180"/>
        <v>55263.219490499992</v>
      </c>
      <c r="T1244" s="23">
        <v>0.55859868298040061</v>
      </c>
      <c r="U1244" s="24">
        <v>0.1</v>
      </c>
      <c r="V1244" s="25">
        <f t="shared" ref="V1244:V1247" si="187">S1244+S1244*T1244+(S1244+S1244*T1244)*U1244</f>
        <v>94746.49922666511</v>
      </c>
      <c r="W1244" s="26" t="s">
        <v>29</v>
      </c>
    </row>
    <row r="1245" spans="1:23" ht="89.25" x14ac:dyDescent="0.25">
      <c r="A1245" s="17">
        <f t="shared" ca="1" si="182"/>
        <v>1241</v>
      </c>
      <c r="B1245" s="18" t="s">
        <v>2503</v>
      </c>
      <c r="C1245" s="18" t="s">
        <v>2511</v>
      </c>
      <c r="D1245" s="18"/>
      <c r="E1245" s="18"/>
      <c r="F1245" s="18"/>
      <c r="G1245" s="18"/>
      <c r="H1245" s="19" t="s">
        <v>2512</v>
      </c>
      <c r="I1245" s="18" t="s">
        <v>161</v>
      </c>
      <c r="J1245" s="20">
        <v>1</v>
      </c>
      <c r="K1245" s="20">
        <v>1.1499999999999999</v>
      </c>
      <c r="L1245" s="21" t="s">
        <v>28</v>
      </c>
      <c r="M1245" s="22">
        <v>44.9255</v>
      </c>
      <c r="N1245" s="22">
        <v>0</v>
      </c>
      <c r="O1245" s="22">
        <v>1324.54</v>
      </c>
      <c r="P1245" s="22">
        <f t="shared" si="178"/>
        <v>68431.46503549999</v>
      </c>
      <c r="Q1245" s="22">
        <v>0</v>
      </c>
      <c r="R1245" s="22">
        <f t="shared" si="179"/>
        <v>0</v>
      </c>
      <c r="S1245" s="22">
        <f t="shared" si="180"/>
        <v>68431.46503549999</v>
      </c>
      <c r="T1245" s="23">
        <v>0.55859868298040061</v>
      </c>
      <c r="U1245" s="24">
        <v>0.1</v>
      </c>
      <c r="V1245" s="25">
        <f t="shared" si="187"/>
        <v>117322.91040662458</v>
      </c>
      <c r="W1245" s="26" t="s">
        <v>29</v>
      </c>
    </row>
    <row r="1246" spans="1:23" ht="89.25" x14ac:dyDescent="0.25">
      <c r="A1246" s="17">
        <f t="shared" ca="1" si="182"/>
        <v>1242</v>
      </c>
      <c r="B1246" s="18" t="s">
        <v>2503</v>
      </c>
      <c r="C1246" s="18" t="s">
        <v>2513</v>
      </c>
      <c r="D1246" s="18"/>
      <c r="E1246" s="18"/>
      <c r="F1246" s="18"/>
      <c r="G1246" s="18"/>
      <c r="H1246" s="19" t="s">
        <v>2514</v>
      </c>
      <c r="I1246" s="18" t="s">
        <v>161</v>
      </c>
      <c r="J1246" s="20">
        <v>1</v>
      </c>
      <c r="K1246" s="20">
        <v>1.1499999999999999</v>
      </c>
      <c r="L1246" s="21" t="s">
        <v>28</v>
      </c>
      <c r="M1246" s="22">
        <v>35.786499999999997</v>
      </c>
      <c r="N1246" s="22">
        <v>0</v>
      </c>
      <c r="O1246" s="22">
        <v>1324.54</v>
      </c>
      <c r="P1246" s="22">
        <f t="shared" si="178"/>
        <v>54510.748316499987</v>
      </c>
      <c r="Q1246" s="22">
        <v>0</v>
      </c>
      <c r="R1246" s="22">
        <f t="shared" si="179"/>
        <v>0</v>
      </c>
      <c r="S1246" s="22">
        <f t="shared" si="180"/>
        <v>54510.748316499987</v>
      </c>
      <c r="T1246" s="23">
        <v>0.55859868298040061</v>
      </c>
      <c r="U1246" s="24">
        <v>0.1</v>
      </c>
      <c r="V1246" s="25">
        <f t="shared" si="187"/>
        <v>93456.418587810258</v>
      </c>
      <c r="W1246" s="26" t="s">
        <v>29</v>
      </c>
    </row>
    <row r="1247" spans="1:23" ht="89.25" x14ac:dyDescent="0.25">
      <c r="A1247" s="17">
        <f t="shared" ca="1" si="182"/>
        <v>1243</v>
      </c>
      <c r="B1247" s="18" t="s">
        <v>2503</v>
      </c>
      <c r="C1247" s="18" t="s">
        <v>2515</v>
      </c>
      <c r="D1247" s="18"/>
      <c r="E1247" s="18"/>
      <c r="F1247" s="18"/>
      <c r="G1247" s="18"/>
      <c r="H1247" s="19" t="s">
        <v>2516</v>
      </c>
      <c r="I1247" s="18" t="s">
        <v>161</v>
      </c>
      <c r="J1247" s="20">
        <v>1</v>
      </c>
      <c r="K1247" s="20">
        <v>1.1499999999999999</v>
      </c>
      <c r="L1247" s="21" t="s">
        <v>28</v>
      </c>
      <c r="M1247" s="22">
        <v>41.970999999999997</v>
      </c>
      <c r="N1247" s="22">
        <v>0</v>
      </c>
      <c r="O1247" s="22">
        <v>1324.54</v>
      </c>
      <c r="P1247" s="22">
        <f t="shared" si="178"/>
        <v>63931.108590999989</v>
      </c>
      <c r="Q1247" s="22">
        <v>0</v>
      </c>
      <c r="R1247" s="22">
        <f t="shared" si="179"/>
        <v>0</v>
      </c>
      <c r="S1247" s="22">
        <f t="shared" si="180"/>
        <v>63931.108590999989</v>
      </c>
      <c r="T1247" s="23">
        <v>0.55859868298040061</v>
      </c>
      <c r="U1247" s="24">
        <v>0.1</v>
      </c>
      <c r="V1247" s="25">
        <f t="shared" si="187"/>
        <v>109607.2358165505</v>
      </c>
      <c r="W1247" s="26" t="s">
        <v>29</v>
      </c>
    </row>
    <row r="1248" spans="1:23" x14ac:dyDescent="0.25">
      <c r="A1248" s="12">
        <f t="shared" ca="1" si="182"/>
        <v>1244</v>
      </c>
      <c r="B1248" s="35" t="s">
        <v>2503</v>
      </c>
      <c r="C1248" s="35" t="s">
        <v>2517</v>
      </c>
      <c r="D1248" s="35"/>
      <c r="E1248" s="35"/>
      <c r="F1248" s="35"/>
      <c r="G1248" s="35"/>
      <c r="H1248" s="36" t="s">
        <v>2518</v>
      </c>
      <c r="I1248" s="35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27"/>
      <c r="U1248" s="16"/>
      <c r="V1248" s="13"/>
      <c r="W1248" s="13"/>
    </row>
    <row r="1249" spans="1:23" ht="89.25" x14ac:dyDescent="0.25">
      <c r="A1249" s="17">
        <f t="shared" ca="1" si="182"/>
        <v>1245</v>
      </c>
      <c r="B1249" s="18" t="s">
        <v>2503</v>
      </c>
      <c r="C1249" s="18" t="s">
        <v>2519</v>
      </c>
      <c r="D1249" s="18"/>
      <c r="E1249" s="18"/>
      <c r="F1249" s="18"/>
      <c r="G1249" s="18"/>
      <c r="H1249" s="19" t="s">
        <v>2520</v>
      </c>
      <c r="I1249" s="18" t="s">
        <v>161</v>
      </c>
      <c r="J1249" s="20">
        <v>1</v>
      </c>
      <c r="K1249" s="20">
        <v>1.1499999999999999</v>
      </c>
      <c r="L1249" s="21" t="s">
        <v>28</v>
      </c>
      <c r="M1249" s="22">
        <v>27.378999999999998</v>
      </c>
      <c r="N1249" s="22">
        <v>0</v>
      </c>
      <c r="O1249" s="22">
        <v>1324.54</v>
      </c>
      <c r="P1249" s="22">
        <f t="shared" si="178"/>
        <v>41704.267758999995</v>
      </c>
      <c r="Q1249" s="22">
        <v>0</v>
      </c>
      <c r="R1249" s="22">
        <f t="shared" si="179"/>
        <v>0</v>
      </c>
      <c r="S1249" s="22">
        <f t="shared" si="180"/>
        <v>41704.267758999995</v>
      </c>
      <c r="T1249" s="23">
        <v>0.55859868298040061</v>
      </c>
      <c r="U1249" s="24">
        <v>0.1</v>
      </c>
      <c r="V1249" s="25">
        <f t="shared" ref="V1249:V1250" si="188">S1249+S1249*T1249+(S1249+S1249*T1249)*U1249</f>
        <v>71500.238484223315</v>
      </c>
      <c r="W1249" s="26" t="s">
        <v>29</v>
      </c>
    </row>
    <row r="1250" spans="1:23" ht="89.25" x14ac:dyDescent="0.25">
      <c r="A1250" s="17">
        <f t="shared" ca="1" si="182"/>
        <v>1246</v>
      </c>
      <c r="B1250" s="18" t="s">
        <v>2503</v>
      </c>
      <c r="C1250" s="18" t="s">
        <v>2521</v>
      </c>
      <c r="D1250" s="18"/>
      <c r="E1250" s="18"/>
      <c r="F1250" s="18"/>
      <c r="G1250" s="18"/>
      <c r="H1250" s="19" t="s">
        <v>2522</v>
      </c>
      <c r="I1250" s="18" t="s">
        <v>161</v>
      </c>
      <c r="J1250" s="20">
        <v>1</v>
      </c>
      <c r="K1250" s="20">
        <v>1.1499999999999999</v>
      </c>
      <c r="L1250" s="21" t="s">
        <v>28</v>
      </c>
      <c r="M1250" s="22">
        <v>15.038499999999999</v>
      </c>
      <c r="N1250" s="22">
        <v>0</v>
      </c>
      <c r="O1250" s="22">
        <v>1324.54</v>
      </c>
      <c r="P1250" s="22">
        <f t="shared" si="178"/>
        <v>22906.959008499998</v>
      </c>
      <c r="Q1250" s="22">
        <v>0</v>
      </c>
      <c r="R1250" s="22">
        <f t="shared" si="179"/>
        <v>0</v>
      </c>
      <c r="S1250" s="22">
        <f t="shared" si="180"/>
        <v>22906.959008499998</v>
      </c>
      <c r="T1250" s="23">
        <v>0.55859868298040061</v>
      </c>
      <c r="U1250" s="24">
        <v>0.1</v>
      </c>
      <c r="V1250" s="25">
        <f t="shared" si="188"/>
        <v>39273.031755907534</v>
      </c>
      <c r="W1250" s="26" t="s">
        <v>29</v>
      </c>
    </row>
    <row r="1251" spans="1:23" x14ac:dyDescent="0.25">
      <c r="A1251" s="12">
        <f t="shared" ca="1" si="182"/>
        <v>1247</v>
      </c>
      <c r="B1251" s="35" t="s">
        <v>2503</v>
      </c>
      <c r="C1251" s="35" t="s">
        <v>2523</v>
      </c>
      <c r="D1251" s="35"/>
      <c r="E1251" s="35"/>
      <c r="F1251" s="35"/>
      <c r="G1251" s="35"/>
      <c r="H1251" s="36" t="s">
        <v>2524</v>
      </c>
      <c r="I1251" s="35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27"/>
      <c r="U1251" s="16"/>
      <c r="V1251" s="13"/>
      <c r="W1251" s="13"/>
    </row>
    <row r="1252" spans="1:23" ht="89.25" x14ac:dyDescent="0.25">
      <c r="A1252" s="17">
        <f t="shared" ca="1" si="182"/>
        <v>1248</v>
      </c>
      <c r="B1252" s="18" t="s">
        <v>2503</v>
      </c>
      <c r="C1252" s="18" t="s">
        <v>2525</v>
      </c>
      <c r="D1252" s="18"/>
      <c r="E1252" s="18"/>
      <c r="F1252" s="18"/>
      <c r="G1252" s="18"/>
      <c r="H1252" s="19" t="s">
        <v>2526</v>
      </c>
      <c r="I1252" s="18" t="s">
        <v>2527</v>
      </c>
      <c r="J1252" s="20">
        <v>1</v>
      </c>
      <c r="K1252" s="20">
        <v>1.1499999999999999</v>
      </c>
      <c r="L1252" s="21" t="s">
        <v>28</v>
      </c>
      <c r="M1252" s="22">
        <v>7.1439999999999992</v>
      </c>
      <c r="N1252" s="22">
        <v>0</v>
      </c>
      <c r="O1252" s="22">
        <v>1324.54</v>
      </c>
      <c r="P1252" s="22">
        <f t="shared" si="178"/>
        <v>10881.890823999996</v>
      </c>
      <c r="Q1252" s="22">
        <v>0</v>
      </c>
      <c r="R1252" s="22">
        <f t="shared" si="179"/>
        <v>0</v>
      </c>
      <c r="S1252" s="22">
        <f t="shared" si="180"/>
        <v>10881.890823999996</v>
      </c>
      <c r="T1252" s="23">
        <v>0.55859868298040061</v>
      </c>
      <c r="U1252" s="24">
        <v>0.1</v>
      </c>
      <c r="V1252" s="25">
        <f t="shared" ref="V1252:V1253" si="189">S1252+S1252*T1252+(S1252+S1252*T1252)*U1252</f>
        <v>18656.550777285192</v>
      </c>
      <c r="W1252" s="26" t="s">
        <v>29</v>
      </c>
    </row>
    <row r="1253" spans="1:23" ht="89.25" x14ac:dyDescent="0.25">
      <c r="A1253" s="17">
        <f t="shared" ca="1" si="182"/>
        <v>1249</v>
      </c>
      <c r="B1253" s="18" t="s">
        <v>2503</v>
      </c>
      <c r="C1253" s="18" t="s">
        <v>2528</v>
      </c>
      <c r="D1253" s="18"/>
      <c r="E1253" s="18"/>
      <c r="F1253" s="18"/>
      <c r="G1253" s="18"/>
      <c r="H1253" s="19" t="s">
        <v>2529</v>
      </c>
      <c r="I1253" s="18" t="s">
        <v>2527</v>
      </c>
      <c r="J1253" s="20">
        <v>1</v>
      </c>
      <c r="K1253" s="20">
        <v>1.1499999999999999</v>
      </c>
      <c r="L1253" s="21" t="s">
        <v>28</v>
      </c>
      <c r="M1253" s="22">
        <v>1.1684999999999999</v>
      </c>
      <c r="N1253" s="22">
        <v>0</v>
      </c>
      <c r="O1253" s="22">
        <v>1324.54</v>
      </c>
      <c r="P1253" s="22">
        <f t="shared" si="178"/>
        <v>1779.8837384999995</v>
      </c>
      <c r="Q1253" s="22">
        <v>0</v>
      </c>
      <c r="R1253" s="22">
        <f t="shared" si="179"/>
        <v>0</v>
      </c>
      <c r="S1253" s="22">
        <f t="shared" si="180"/>
        <v>1779.8837384999995</v>
      </c>
      <c r="T1253" s="23">
        <v>0.55859868298040061</v>
      </c>
      <c r="U1253" s="24">
        <v>0.1</v>
      </c>
      <c r="V1253" s="25">
        <f t="shared" si="189"/>
        <v>3051.5368957527639</v>
      </c>
      <c r="W1253" s="26" t="s">
        <v>29</v>
      </c>
    </row>
    <row r="1254" spans="1:23" x14ac:dyDescent="0.25">
      <c r="A1254" s="12">
        <f t="shared" ca="1" si="182"/>
        <v>1250</v>
      </c>
      <c r="B1254" s="35" t="s">
        <v>2503</v>
      </c>
      <c r="C1254" s="35" t="s">
        <v>2530</v>
      </c>
      <c r="D1254" s="35"/>
      <c r="E1254" s="35"/>
      <c r="F1254" s="35"/>
      <c r="G1254" s="35"/>
      <c r="H1254" s="36" t="s">
        <v>2531</v>
      </c>
      <c r="I1254" s="35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27"/>
      <c r="U1254" s="16"/>
      <c r="V1254" s="13"/>
      <c r="W1254" s="13"/>
    </row>
    <row r="1255" spans="1:23" ht="89.25" x14ac:dyDescent="0.25">
      <c r="A1255" s="17">
        <f t="shared" ca="1" si="182"/>
        <v>1251</v>
      </c>
      <c r="B1255" s="18" t="s">
        <v>2503</v>
      </c>
      <c r="C1255" s="18" t="s">
        <v>2532</v>
      </c>
      <c r="D1255" s="18"/>
      <c r="E1255" s="18"/>
      <c r="F1255" s="18"/>
      <c r="G1255" s="18"/>
      <c r="H1255" s="19" t="s">
        <v>2533</v>
      </c>
      <c r="I1255" s="18" t="s">
        <v>161</v>
      </c>
      <c r="J1255" s="20">
        <v>1</v>
      </c>
      <c r="K1255" s="20">
        <v>1.1499999999999999</v>
      </c>
      <c r="L1255" s="21" t="s">
        <v>28</v>
      </c>
      <c r="M1255" s="22">
        <v>144.14349999999999</v>
      </c>
      <c r="N1255" s="22">
        <v>0</v>
      </c>
      <c r="O1255" s="22">
        <v>1324.54</v>
      </c>
      <c r="P1255" s="22">
        <f t="shared" si="178"/>
        <v>219562.40621349995</v>
      </c>
      <c r="Q1255" s="22">
        <v>0</v>
      </c>
      <c r="R1255" s="22">
        <f t="shared" si="179"/>
        <v>0</v>
      </c>
      <c r="S1255" s="22">
        <f t="shared" si="180"/>
        <v>219562.40621349995</v>
      </c>
      <c r="T1255" s="23">
        <v>0.55859868298040061</v>
      </c>
      <c r="U1255" s="24">
        <v>0.1</v>
      </c>
      <c r="V1255" s="25">
        <f t="shared" ref="V1255:V1261" si="190">S1255+S1255*T1255+(S1255+S1255*T1255)*U1255</f>
        <v>376430.64487200562</v>
      </c>
      <c r="W1255" s="26" t="s">
        <v>29</v>
      </c>
    </row>
    <row r="1256" spans="1:23" ht="89.25" x14ac:dyDescent="0.25">
      <c r="A1256" s="17">
        <f t="shared" ca="1" si="182"/>
        <v>1252</v>
      </c>
      <c r="B1256" s="18" t="s">
        <v>2503</v>
      </c>
      <c r="C1256" s="18" t="s">
        <v>2534</v>
      </c>
      <c r="D1256" s="18"/>
      <c r="E1256" s="18"/>
      <c r="F1256" s="18"/>
      <c r="G1256" s="18"/>
      <c r="H1256" s="19" t="s">
        <v>2535</v>
      </c>
      <c r="I1256" s="18" t="s">
        <v>161</v>
      </c>
      <c r="J1256" s="20">
        <v>1</v>
      </c>
      <c r="K1256" s="20">
        <v>1.1499999999999999</v>
      </c>
      <c r="L1256" s="21" t="s">
        <v>28</v>
      </c>
      <c r="M1256" s="22">
        <v>106.7135</v>
      </c>
      <c r="N1256" s="22">
        <v>0</v>
      </c>
      <c r="O1256" s="22">
        <v>1324.54</v>
      </c>
      <c r="P1256" s="22">
        <f t="shared" si="178"/>
        <v>162548.24418349998</v>
      </c>
      <c r="Q1256" s="22">
        <v>0</v>
      </c>
      <c r="R1256" s="22">
        <f t="shared" si="179"/>
        <v>0</v>
      </c>
      <c r="S1256" s="22">
        <f t="shared" si="180"/>
        <v>162548.24418349998</v>
      </c>
      <c r="T1256" s="23">
        <v>0.55859868298040061</v>
      </c>
      <c r="U1256" s="24">
        <v>0.1</v>
      </c>
      <c r="V1256" s="25">
        <f t="shared" si="190"/>
        <v>278682.22723569756</v>
      </c>
      <c r="W1256" s="26" t="s">
        <v>29</v>
      </c>
    </row>
    <row r="1257" spans="1:23" ht="89.25" x14ac:dyDescent="0.25">
      <c r="A1257" s="17">
        <f t="shared" ca="1" si="182"/>
        <v>1253</v>
      </c>
      <c r="B1257" s="18" t="s">
        <v>2503</v>
      </c>
      <c r="C1257" s="18" t="s">
        <v>2536</v>
      </c>
      <c r="D1257" s="18"/>
      <c r="E1257" s="18"/>
      <c r="F1257" s="18"/>
      <c r="G1257" s="18"/>
      <c r="H1257" s="19" t="s">
        <v>2537</v>
      </c>
      <c r="I1257" s="18" t="s">
        <v>161</v>
      </c>
      <c r="J1257" s="20">
        <v>1</v>
      </c>
      <c r="K1257" s="20">
        <v>1.1499999999999999</v>
      </c>
      <c r="L1257" s="21" t="s">
        <v>28</v>
      </c>
      <c r="M1257" s="22">
        <v>76.826499999999996</v>
      </c>
      <c r="N1257" s="22">
        <v>0</v>
      </c>
      <c r="O1257" s="22">
        <v>1324.54</v>
      </c>
      <c r="P1257" s="22">
        <f t="shared" si="178"/>
        <v>117023.73815649998</v>
      </c>
      <c r="Q1257" s="22">
        <v>0</v>
      </c>
      <c r="R1257" s="22">
        <f t="shared" si="179"/>
        <v>0</v>
      </c>
      <c r="S1257" s="22">
        <f t="shared" si="180"/>
        <v>117023.73815649998</v>
      </c>
      <c r="T1257" s="23">
        <v>0.55859868298040061</v>
      </c>
      <c r="U1257" s="24">
        <v>0.1</v>
      </c>
      <c r="V1257" s="25">
        <f t="shared" si="190"/>
        <v>200632.34858498056</v>
      </c>
      <c r="W1257" s="26" t="s">
        <v>29</v>
      </c>
    </row>
    <row r="1258" spans="1:23" ht="89.25" x14ac:dyDescent="0.25">
      <c r="A1258" s="17">
        <f t="shared" ca="1" si="182"/>
        <v>1254</v>
      </c>
      <c r="B1258" s="18" t="s">
        <v>2503</v>
      </c>
      <c r="C1258" s="18" t="s">
        <v>2538</v>
      </c>
      <c r="D1258" s="18"/>
      <c r="E1258" s="18"/>
      <c r="F1258" s="18"/>
      <c r="G1258" s="18"/>
      <c r="H1258" s="19" t="s">
        <v>2539</v>
      </c>
      <c r="I1258" s="18" t="s">
        <v>161</v>
      </c>
      <c r="J1258" s="20">
        <v>1</v>
      </c>
      <c r="K1258" s="20">
        <v>1.1499999999999999</v>
      </c>
      <c r="L1258" s="21" t="s">
        <v>28</v>
      </c>
      <c r="M1258" s="22">
        <v>68.114999999999995</v>
      </c>
      <c r="N1258" s="22">
        <v>0</v>
      </c>
      <c r="O1258" s="22">
        <v>1324.54</v>
      </c>
      <c r="P1258" s="22">
        <f t="shared" si="178"/>
        <v>103754.19841499998</v>
      </c>
      <c r="Q1258" s="22">
        <v>0</v>
      </c>
      <c r="R1258" s="22">
        <f t="shared" si="179"/>
        <v>0</v>
      </c>
      <c r="S1258" s="22">
        <f t="shared" si="180"/>
        <v>103754.19841499998</v>
      </c>
      <c r="T1258" s="23">
        <v>0.55859868298040061</v>
      </c>
      <c r="U1258" s="24">
        <v>0.1</v>
      </c>
      <c r="V1258" s="25">
        <f t="shared" si="190"/>
        <v>177882.27270363676</v>
      </c>
      <c r="W1258" s="26" t="s">
        <v>29</v>
      </c>
    </row>
    <row r="1259" spans="1:23" ht="89.25" x14ac:dyDescent="0.25">
      <c r="A1259" s="17">
        <f t="shared" ca="1" si="182"/>
        <v>1255</v>
      </c>
      <c r="B1259" s="18" t="s">
        <v>2503</v>
      </c>
      <c r="C1259" s="18" t="s">
        <v>2540</v>
      </c>
      <c r="D1259" s="18"/>
      <c r="E1259" s="18"/>
      <c r="F1259" s="18"/>
      <c r="G1259" s="18"/>
      <c r="H1259" s="19" t="s">
        <v>2541</v>
      </c>
      <c r="I1259" s="18" t="s">
        <v>161</v>
      </c>
      <c r="J1259" s="20">
        <v>1</v>
      </c>
      <c r="K1259" s="20">
        <v>1.1499999999999999</v>
      </c>
      <c r="L1259" s="21" t="s">
        <v>28</v>
      </c>
      <c r="M1259" s="22">
        <v>75.116499999999988</v>
      </c>
      <c r="N1259" s="22">
        <v>0</v>
      </c>
      <c r="O1259" s="22">
        <v>1324.54</v>
      </c>
      <c r="P1259" s="22">
        <f t="shared" si="178"/>
        <v>114419.03024649997</v>
      </c>
      <c r="Q1259" s="22">
        <v>0</v>
      </c>
      <c r="R1259" s="22">
        <f t="shared" si="179"/>
        <v>0</v>
      </c>
      <c r="S1259" s="22">
        <f t="shared" si="180"/>
        <v>114419.03024649997</v>
      </c>
      <c r="T1259" s="23">
        <v>0.55859868298040061</v>
      </c>
      <c r="U1259" s="24">
        <v>0.1</v>
      </c>
      <c r="V1259" s="25">
        <f t="shared" si="190"/>
        <v>196166.68483509842</v>
      </c>
      <c r="W1259" s="26" t="s">
        <v>29</v>
      </c>
    </row>
    <row r="1260" spans="1:23" ht="89.25" x14ac:dyDescent="0.25">
      <c r="A1260" s="17">
        <f t="shared" ca="1" si="182"/>
        <v>1256</v>
      </c>
      <c r="B1260" s="18" t="s">
        <v>2503</v>
      </c>
      <c r="C1260" s="18" t="s">
        <v>2542</v>
      </c>
      <c r="D1260" s="18"/>
      <c r="E1260" s="18"/>
      <c r="F1260" s="18"/>
      <c r="G1260" s="18"/>
      <c r="H1260" s="19" t="s">
        <v>2543</v>
      </c>
      <c r="I1260" s="18" t="s">
        <v>161</v>
      </c>
      <c r="J1260" s="20">
        <v>1</v>
      </c>
      <c r="K1260" s="20">
        <v>1.1499999999999999</v>
      </c>
      <c r="L1260" s="21" t="s">
        <v>28</v>
      </c>
      <c r="M1260" s="22">
        <v>75.961999999999989</v>
      </c>
      <c r="N1260" s="22">
        <v>0</v>
      </c>
      <c r="O1260" s="22">
        <v>1324.54</v>
      </c>
      <c r="P1260" s="22">
        <f t="shared" si="178"/>
        <v>115706.91360199997</v>
      </c>
      <c r="Q1260" s="22">
        <v>0</v>
      </c>
      <c r="R1260" s="22">
        <f t="shared" si="179"/>
        <v>0</v>
      </c>
      <c r="S1260" s="22">
        <f t="shared" si="180"/>
        <v>115706.91360199997</v>
      </c>
      <c r="T1260" s="23">
        <v>0.55859868298040061</v>
      </c>
      <c r="U1260" s="24">
        <v>0.1</v>
      </c>
      <c r="V1260" s="25">
        <f t="shared" si="190"/>
        <v>198374.70746698458</v>
      </c>
      <c r="W1260" s="26" t="s">
        <v>29</v>
      </c>
    </row>
    <row r="1261" spans="1:23" ht="89.25" x14ac:dyDescent="0.25">
      <c r="A1261" s="17">
        <f t="shared" ca="1" si="182"/>
        <v>1257</v>
      </c>
      <c r="B1261" s="18" t="s">
        <v>2503</v>
      </c>
      <c r="C1261" s="18" t="s">
        <v>2544</v>
      </c>
      <c r="D1261" s="18"/>
      <c r="E1261" s="18"/>
      <c r="F1261" s="18"/>
      <c r="G1261" s="18"/>
      <c r="H1261" s="19" t="s">
        <v>2545</v>
      </c>
      <c r="I1261" s="18" t="s">
        <v>161</v>
      </c>
      <c r="J1261" s="20">
        <v>1</v>
      </c>
      <c r="K1261" s="20">
        <v>1.1499999999999999</v>
      </c>
      <c r="L1261" s="21" t="s">
        <v>28</v>
      </c>
      <c r="M1261" s="22">
        <v>33.4495</v>
      </c>
      <c r="N1261" s="22">
        <v>0</v>
      </c>
      <c r="O1261" s="22">
        <v>1324.54</v>
      </c>
      <c r="P1261" s="22">
        <f t="shared" si="178"/>
        <v>50950.980839499993</v>
      </c>
      <c r="Q1261" s="22">
        <v>0</v>
      </c>
      <c r="R1261" s="22">
        <f t="shared" si="179"/>
        <v>0</v>
      </c>
      <c r="S1261" s="22">
        <f t="shared" si="180"/>
        <v>50950.980839499993</v>
      </c>
      <c r="T1261" s="23">
        <v>0.55859868298040061</v>
      </c>
      <c r="U1261" s="24">
        <v>0.1</v>
      </c>
      <c r="V1261" s="25">
        <f t="shared" si="190"/>
        <v>87353.344796304751</v>
      </c>
      <c r="W1261" s="26" t="s">
        <v>29</v>
      </c>
    </row>
    <row r="1262" spans="1:23" x14ac:dyDescent="0.25">
      <c r="A1262" s="12">
        <f t="shared" ca="1" si="182"/>
        <v>1258</v>
      </c>
      <c r="B1262" s="35" t="s">
        <v>2503</v>
      </c>
      <c r="C1262" s="35" t="s">
        <v>2546</v>
      </c>
      <c r="D1262" s="35"/>
      <c r="E1262" s="35"/>
      <c r="F1262" s="35"/>
      <c r="G1262" s="35"/>
      <c r="H1262" s="36" t="s">
        <v>2547</v>
      </c>
      <c r="I1262" s="35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27"/>
      <c r="U1262" s="16"/>
      <c r="V1262" s="13"/>
      <c r="W1262" s="13"/>
    </row>
    <row r="1263" spans="1:23" ht="89.25" x14ac:dyDescent="0.25">
      <c r="A1263" s="17">
        <f t="shared" ca="1" si="182"/>
        <v>1259</v>
      </c>
      <c r="B1263" s="18" t="s">
        <v>2503</v>
      </c>
      <c r="C1263" s="18" t="s">
        <v>2548</v>
      </c>
      <c r="D1263" s="18"/>
      <c r="E1263" s="18"/>
      <c r="F1263" s="18"/>
      <c r="G1263" s="18"/>
      <c r="H1263" s="19" t="s">
        <v>2549</v>
      </c>
      <c r="I1263" s="18" t="s">
        <v>2550</v>
      </c>
      <c r="J1263" s="20">
        <v>1</v>
      </c>
      <c r="K1263" s="20">
        <v>1.1499999999999999</v>
      </c>
      <c r="L1263" s="21" t="s">
        <v>28</v>
      </c>
      <c r="M1263" s="22">
        <v>78.09</v>
      </c>
      <c r="N1263" s="22">
        <v>0</v>
      </c>
      <c r="O1263" s="22">
        <v>1324.54</v>
      </c>
      <c r="P1263" s="22">
        <f t="shared" si="178"/>
        <v>118948.32789</v>
      </c>
      <c r="Q1263" s="22">
        <v>0</v>
      </c>
      <c r="R1263" s="22">
        <f t="shared" si="179"/>
        <v>0</v>
      </c>
      <c r="S1263" s="22">
        <f t="shared" si="180"/>
        <v>118948.32789</v>
      </c>
      <c r="T1263" s="23">
        <v>0.55859868298040061</v>
      </c>
      <c r="U1263" s="24">
        <v>0.1</v>
      </c>
      <c r="V1263" s="25">
        <f t="shared" ref="V1263:V1265" si="191">S1263+S1263*T1263+(S1263+S1263*T1263)*U1263</f>
        <v>203931.97791128233</v>
      </c>
      <c r="W1263" s="26" t="s">
        <v>29</v>
      </c>
    </row>
    <row r="1264" spans="1:23" ht="89.25" x14ac:dyDescent="0.25">
      <c r="A1264" s="17">
        <f t="shared" ca="1" si="182"/>
        <v>1260</v>
      </c>
      <c r="B1264" s="18" t="s">
        <v>2503</v>
      </c>
      <c r="C1264" s="18" t="s">
        <v>2551</v>
      </c>
      <c r="D1264" s="18"/>
      <c r="E1264" s="18"/>
      <c r="F1264" s="18"/>
      <c r="G1264" s="18"/>
      <c r="H1264" s="19" t="s">
        <v>2552</v>
      </c>
      <c r="I1264" s="18" t="s">
        <v>2550</v>
      </c>
      <c r="J1264" s="20">
        <v>1</v>
      </c>
      <c r="K1264" s="20">
        <v>1.1499999999999999</v>
      </c>
      <c r="L1264" s="21" t="s">
        <v>28</v>
      </c>
      <c r="M1264" s="22">
        <v>112.366</v>
      </c>
      <c r="N1264" s="22">
        <v>0</v>
      </c>
      <c r="O1264" s="22">
        <v>1324.54</v>
      </c>
      <c r="P1264" s="22">
        <f t="shared" si="178"/>
        <v>171158.25088599997</v>
      </c>
      <c r="Q1264" s="22">
        <v>0</v>
      </c>
      <c r="R1264" s="22">
        <f t="shared" si="179"/>
        <v>0</v>
      </c>
      <c r="S1264" s="22">
        <f t="shared" si="180"/>
        <v>171158.25088599997</v>
      </c>
      <c r="T1264" s="23">
        <v>0.55859868298040061</v>
      </c>
      <c r="U1264" s="24">
        <v>0.1</v>
      </c>
      <c r="V1264" s="25">
        <f t="shared" si="191"/>
        <v>293443.72685336339</v>
      </c>
      <c r="W1264" s="26" t="s">
        <v>29</v>
      </c>
    </row>
    <row r="1265" spans="1:23" ht="89.25" x14ac:dyDescent="0.25">
      <c r="A1265" s="17">
        <f t="shared" ca="1" si="182"/>
        <v>1261</v>
      </c>
      <c r="B1265" s="18" t="s">
        <v>2503</v>
      </c>
      <c r="C1265" s="18" t="s">
        <v>2553</v>
      </c>
      <c r="D1265" s="18"/>
      <c r="E1265" s="18"/>
      <c r="F1265" s="18"/>
      <c r="G1265" s="18"/>
      <c r="H1265" s="19" t="s">
        <v>2554</v>
      </c>
      <c r="I1265" s="18" t="s">
        <v>2550</v>
      </c>
      <c r="J1265" s="20">
        <v>1</v>
      </c>
      <c r="K1265" s="20">
        <v>1.1499999999999999</v>
      </c>
      <c r="L1265" s="21" t="s">
        <v>28</v>
      </c>
      <c r="M1265" s="22">
        <v>155.13499999999999</v>
      </c>
      <c r="N1265" s="22">
        <v>0</v>
      </c>
      <c r="O1265" s="22">
        <v>1324.54</v>
      </c>
      <c r="P1265" s="22">
        <f t="shared" si="178"/>
        <v>236304.88983499995</v>
      </c>
      <c r="Q1265" s="22">
        <v>0</v>
      </c>
      <c r="R1265" s="22">
        <f t="shared" si="179"/>
        <v>0</v>
      </c>
      <c r="S1265" s="22">
        <f t="shared" si="180"/>
        <v>236304.88983499995</v>
      </c>
      <c r="T1265" s="23">
        <v>0.55859868298040061</v>
      </c>
      <c r="U1265" s="24">
        <v>0.1</v>
      </c>
      <c r="V1265" s="25">
        <f t="shared" si="191"/>
        <v>405134.93908652558</v>
      </c>
      <c r="W1265" s="26" t="s">
        <v>29</v>
      </c>
    </row>
    <row r="1266" spans="1:23" x14ac:dyDescent="0.25">
      <c r="A1266" s="12">
        <f t="shared" ca="1" si="182"/>
        <v>1262</v>
      </c>
      <c r="B1266" s="35" t="s">
        <v>2503</v>
      </c>
      <c r="C1266" s="35" t="s">
        <v>2555</v>
      </c>
      <c r="D1266" s="35"/>
      <c r="E1266" s="35"/>
      <c r="F1266" s="35"/>
      <c r="G1266" s="35"/>
      <c r="H1266" s="36" t="s">
        <v>2556</v>
      </c>
      <c r="I1266" s="35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27"/>
      <c r="U1266" s="16"/>
      <c r="V1266" s="13"/>
      <c r="W1266" s="13"/>
    </row>
    <row r="1267" spans="1:23" ht="89.25" x14ac:dyDescent="0.25">
      <c r="A1267" s="17">
        <f t="shared" ca="1" si="182"/>
        <v>1263</v>
      </c>
      <c r="B1267" s="18" t="s">
        <v>2503</v>
      </c>
      <c r="C1267" s="18" t="s">
        <v>2557</v>
      </c>
      <c r="D1267" s="18"/>
      <c r="E1267" s="18"/>
      <c r="F1267" s="18"/>
      <c r="G1267" s="18"/>
      <c r="H1267" s="19" t="s">
        <v>2558</v>
      </c>
      <c r="I1267" s="18" t="s">
        <v>161</v>
      </c>
      <c r="J1267" s="20">
        <v>1</v>
      </c>
      <c r="K1267" s="20">
        <v>1.1499999999999999</v>
      </c>
      <c r="L1267" s="21" t="s">
        <v>28</v>
      </c>
      <c r="M1267" s="22">
        <v>38.303999999999995</v>
      </c>
      <c r="N1267" s="22">
        <v>0</v>
      </c>
      <c r="O1267" s="22">
        <v>1324.54</v>
      </c>
      <c r="P1267" s="22">
        <f t="shared" si="178"/>
        <v>58345.457183999984</v>
      </c>
      <c r="Q1267" s="22">
        <v>0</v>
      </c>
      <c r="R1267" s="22">
        <f t="shared" si="179"/>
        <v>0</v>
      </c>
      <c r="S1267" s="22">
        <f t="shared" si="180"/>
        <v>58345.457183999984</v>
      </c>
      <c r="T1267" s="23">
        <v>0.55859868298040061</v>
      </c>
      <c r="U1267" s="24">
        <v>0.1</v>
      </c>
      <c r="V1267" s="25">
        <f t="shared" ref="V1267:V1268" si="192">S1267+S1267*T1267+(S1267+S1267*T1267)*U1267</f>
        <v>100030.8679973589</v>
      </c>
      <c r="W1267" s="26" t="s">
        <v>29</v>
      </c>
    </row>
    <row r="1268" spans="1:23" ht="89.25" x14ac:dyDescent="0.25">
      <c r="A1268" s="17">
        <f t="shared" ca="1" si="182"/>
        <v>1264</v>
      </c>
      <c r="B1268" s="18" t="s">
        <v>2503</v>
      </c>
      <c r="C1268" s="18" t="s">
        <v>2559</v>
      </c>
      <c r="D1268" s="18"/>
      <c r="E1268" s="18"/>
      <c r="F1268" s="18"/>
      <c r="G1268" s="18"/>
      <c r="H1268" s="19" t="s">
        <v>2560</v>
      </c>
      <c r="I1268" s="18" t="s">
        <v>161</v>
      </c>
      <c r="J1268" s="20">
        <v>1</v>
      </c>
      <c r="K1268" s="20">
        <v>1.1499999999999999</v>
      </c>
      <c r="L1268" s="21" t="s">
        <v>28</v>
      </c>
      <c r="M1268" s="22">
        <v>60.838000000000001</v>
      </c>
      <c r="N1268" s="22">
        <v>0</v>
      </c>
      <c r="O1268" s="22">
        <v>1324.54</v>
      </c>
      <c r="P1268" s="22">
        <f t="shared" si="178"/>
        <v>92669.719197999992</v>
      </c>
      <c r="Q1268" s="22">
        <v>0</v>
      </c>
      <c r="R1268" s="22">
        <f t="shared" si="179"/>
        <v>0</v>
      </c>
      <c r="S1268" s="22">
        <f t="shared" si="180"/>
        <v>92669.719197999992</v>
      </c>
      <c r="T1268" s="23">
        <v>0.55859868298040061</v>
      </c>
      <c r="U1268" s="24">
        <v>0.1</v>
      </c>
      <c r="V1268" s="25">
        <f t="shared" si="192"/>
        <v>158878.39252358297</v>
      </c>
      <c r="W1268" s="26" t="s">
        <v>29</v>
      </c>
    </row>
    <row r="1269" spans="1:23" x14ac:dyDescent="0.25">
      <c r="A1269" s="12">
        <f t="shared" ca="1" si="182"/>
        <v>1265</v>
      </c>
      <c r="B1269" s="35" t="s">
        <v>2503</v>
      </c>
      <c r="C1269" s="35" t="s">
        <v>2561</v>
      </c>
      <c r="D1269" s="35"/>
      <c r="E1269" s="35"/>
      <c r="F1269" s="35"/>
      <c r="G1269" s="35"/>
      <c r="H1269" s="36" t="s">
        <v>2562</v>
      </c>
      <c r="I1269" s="35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27"/>
      <c r="U1269" s="16"/>
      <c r="V1269" s="13"/>
      <c r="W1269" s="13"/>
    </row>
    <row r="1270" spans="1:23" ht="89.25" x14ac:dyDescent="0.25">
      <c r="A1270" s="17">
        <f t="shared" ca="1" si="182"/>
        <v>1266</v>
      </c>
      <c r="B1270" s="18" t="s">
        <v>2503</v>
      </c>
      <c r="C1270" s="18" t="s">
        <v>2563</v>
      </c>
      <c r="D1270" s="18"/>
      <c r="E1270" s="18"/>
      <c r="F1270" s="18"/>
      <c r="G1270" s="18"/>
      <c r="H1270" s="19" t="s">
        <v>2564</v>
      </c>
      <c r="I1270" s="18" t="s">
        <v>2550</v>
      </c>
      <c r="J1270" s="20">
        <v>1</v>
      </c>
      <c r="K1270" s="20">
        <v>1.1499999999999999</v>
      </c>
      <c r="L1270" s="21" t="s">
        <v>28</v>
      </c>
      <c r="M1270" s="22">
        <v>119.69999999999999</v>
      </c>
      <c r="N1270" s="22">
        <v>0</v>
      </c>
      <c r="O1270" s="22">
        <v>1324.54</v>
      </c>
      <c r="P1270" s="22">
        <f t="shared" si="178"/>
        <v>182329.55369999999</v>
      </c>
      <c r="Q1270" s="22">
        <v>0</v>
      </c>
      <c r="R1270" s="22">
        <f t="shared" si="179"/>
        <v>0</v>
      </c>
      <c r="S1270" s="22">
        <f t="shared" si="180"/>
        <v>182329.55369999999</v>
      </c>
      <c r="T1270" s="23">
        <v>0.55859868298040061</v>
      </c>
      <c r="U1270" s="24">
        <v>0.1</v>
      </c>
      <c r="V1270" s="25">
        <f t="shared" ref="V1270" si="193">S1270+S1270*T1270+(S1270+S1270*T1270)*U1270</f>
        <v>312596.46249174664</v>
      </c>
      <c r="W1270" s="26" t="s">
        <v>29</v>
      </c>
    </row>
    <row r="1271" spans="1:23" x14ac:dyDescent="0.25">
      <c r="A1271" s="12">
        <f t="shared" ca="1" si="182"/>
        <v>1267</v>
      </c>
      <c r="B1271" s="35" t="s">
        <v>2503</v>
      </c>
      <c r="C1271" s="35" t="s">
        <v>2565</v>
      </c>
      <c r="D1271" s="35"/>
      <c r="E1271" s="35"/>
      <c r="F1271" s="35"/>
      <c r="G1271" s="35"/>
      <c r="H1271" s="36" t="s">
        <v>2566</v>
      </c>
      <c r="I1271" s="35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27"/>
      <c r="U1271" s="16"/>
      <c r="V1271" s="13"/>
      <c r="W1271" s="13"/>
    </row>
    <row r="1272" spans="1:23" ht="89.25" x14ac:dyDescent="0.25">
      <c r="A1272" s="17">
        <f t="shared" ca="1" si="182"/>
        <v>1268</v>
      </c>
      <c r="B1272" s="18" t="s">
        <v>2503</v>
      </c>
      <c r="C1272" s="18" t="s">
        <v>2567</v>
      </c>
      <c r="D1272" s="18"/>
      <c r="E1272" s="18"/>
      <c r="F1272" s="18"/>
      <c r="G1272" s="18"/>
      <c r="H1272" s="19" t="s">
        <v>2568</v>
      </c>
      <c r="I1272" s="18" t="s">
        <v>2550</v>
      </c>
      <c r="J1272" s="20">
        <v>1</v>
      </c>
      <c r="K1272" s="20">
        <v>1.1499999999999999</v>
      </c>
      <c r="L1272" s="21" t="s">
        <v>28</v>
      </c>
      <c r="M1272" s="22">
        <v>70.328499999999991</v>
      </c>
      <c r="N1272" s="22">
        <v>0</v>
      </c>
      <c r="O1272" s="22">
        <v>1324.54</v>
      </c>
      <c r="P1272" s="22">
        <f t="shared" si="178"/>
        <v>107125.84809849996</v>
      </c>
      <c r="Q1272" s="22">
        <v>0</v>
      </c>
      <c r="R1272" s="22">
        <f t="shared" si="179"/>
        <v>0</v>
      </c>
      <c r="S1272" s="22">
        <f t="shared" si="180"/>
        <v>107125.84809849996</v>
      </c>
      <c r="T1272" s="23">
        <v>0.55859868298040061</v>
      </c>
      <c r="U1272" s="24">
        <v>0.1</v>
      </c>
      <c r="V1272" s="25">
        <f t="shared" ref="V1272" si="194">S1272+S1272*T1272+(S1272+S1272*T1272)*U1272</f>
        <v>183662.82633542852</v>
      </c>
      <c r="W1272" s="26" t="s">
        <v>29</v>
      </c>
    </row>
    <row r="1273" spans="1:23" x14ac:dyDescent="0.25">
      <c r="A1273" s="12">
        <f t="shared" ca="1" si="182"/>
        <v>1269</v>
      </c>
      <c r="B1273" s="32" t="s">
        <v>2503</v>
      </c>
      <c r="C1273" s="32" t="s">
        <v>2569</v>
      </c>
      <c r="D1273" s="32"/>
      <c r="E1273" s="32"/>
      <c r="F1273" s="32"/>
      <c r="G1273" s="32"/>
      <c r="H1273" s="31" t="s">
        <v>2570</v>
      </c>
      <c r="I1273" s="32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27"/>
      <c r="U1273" s="16"/>
      <c r="V1273" s="13"/>
      <c r="W1273" s="13"/>
    </row>
    <row r="1274" spans="1:23" ht="89.25" x14ac:dyDescent="0.25">
      <c r="A1274" s="17">
        <f t="shared" ca="1" si="182"/>
        <v>1270</v>
      </c>
      <c r="B1274" s="18" t="s">
        <v>2503</v>
      </c>
      <c r="C1274" s="18" t="s">
        <v>2571</v>
      </c>
      <c r="D1274" s="18"/>
      <c r="E1274" s="18"/>
      <c r="F1274" s="18"/>
      <c r="G1274" s="18"/>
      <c r="H1274" s="19" t="s">
        <v>2572</v>
      </c>
      <c r="I1274" s="18" t="s">
        <v>161</v>
      </c>
      <c r="J1274" s="20">
        <v>1</v>
      </c>
      <c r="K1274" s="20">
        <v>1.1499999999999999</v>
      </c>
      <c r="L1274" s="21" t="s">
        <v>28</v>
      </c>
      <c r="M1274" s="22">
        <v>152.44649999999999</v>
      </c>
      <c r="N1274" s="22">
        <v>0</v>
      </c>
      <c r="O1274" s="22">
        <v>1324.54</v>
      </c>
      <c r="P1274" s="22">
        <f t="shared" si="178"/>
        <v>232209.71017649997</v>
      </c>
      <c r="Q1274" s="22">
        <v>0</v>
      </c>
      <c r="R1274" s="22">
        <f t="shared" si="179"/>
        <v>0</v>
      </c>
      <c r="S1274" s="22">
        <f t="shared" si="180"/>
        <v>232209.71017649997</v>
      </c>
      <c r="T1274" s="23">
        <v>0.55859868298040061</v>
      </c>
      <c r="U1274" s="24">
        <v>0.1</v>
      </c>
      <c r="V1274" s="25">
        <f t="shared" ref="V1274:V1275" si="195">S1274+S1274*T1274+(S1274+S1274*T1274)*U1274</f>
        <v>398113.92330198875</v>
      </c>
      <c r="W1274" s="26" t="s">
        <v>29</v>
      </c>
    </row>
    <row r="1275" spans="1:23" ht="89.25" x14ac:dyDescent="0.25">
      <c r="A1275" s="17">
        <f t="shared" ca="1" si="182"/>
        <v>1271</v>
      </c>
      <c r="B1275" s="18" t="s">
        <v>2503</v>
      </c>
      <c r="C1275" s="18" t="s">
        <v>2573</v>
      </c>
      <c r="D1275" s="18"/>
      <c r="E1275" s="18"/>
      <c r="F1275" s="18"/>
      <c r="G1275" s="18"/>
      <c r="H1275" s="19" t="s">
        <v>2574</v>
      </c>
      <c r="I1275" s="18" t="s">
        <v>161</v>
      </c>
      <c r="J1275" s="20">
        <v>1</v>
      </c>
      <c r="K1275" s="20">
        <v>1.1499999999999999</v>
      </c>
      <c r="L1275" s="21" t="s">
        <v>28</v>
      </c>
      <c r="M1275" s="22">
        <v>45.846999999999994</v>
      </c>
      <c r="N1275" s="22">
        <v>0</v>
      </c>
      <c r="O1275" s="22">
        <v>1324.54</v>
      </c>
      <c r="P1275" s="22">
        <f t="shared" si="178"/>
        <v>69835.113186999981</v>
      </c>
      <c r="Q1275" s="22">
        <v>0</v>
      </c>
      <c r="R1275" s="22">
        <f t="shared" si="179"/>
        <v>0</v>
      </c>
      <c r="S1275" s="22">
        <f t="shared" si="180"/>
        <v>69835.113186999981</v>
      </c>
      <c r="T1275" s="23">
        <v>0.55859868298040061</v>
      </c>
      <c r="U1275" s="24">
        <v>0.1</v>
      </c>
      <c r="V1275" s="25">
        <f t="shared" si="195"/>
        <v>119729.40698294992</v>
      </c>
      <c r="W1275" s="26" t="s">
        <v>29</v>
      </c>
    </row>
    <row r="1276" spans="1:23" x14ac:dyDescent="0.25">
      <c r="A1276" s="12">
        <f t="shared" ca="1" si="182"/>
        <v>1272</v>
      </c>
      <c r="B1276" s="32" t="s">
        <v>2503</v>
      </c>
      <c r="C1276" s="32" t="s">
        <v>2575</v>
      </c>
      <c r="D1276" s="32"/>
      <c r="E1276" s="32"/>
      <c r="F1276" s="32"/>
      <c r="G1276" s="32"/>
      <c r="H1276" s="31" t="s">
        <v>2576</v>
      </c>
      <c r="I1276" s="32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27"/>
      <c r="U1276" s="16"/>
      <c r="V1276" s="13"/>
      <c r="W1276" s="13"/>
    </row>
    <row r="1277" spans="1:23" ht="89.25" x14ac:dyDescent="0.25">
      <c r="A1277" s="17">
        <f t="shared" ca="1" si="182"/>
        <v>1273</v>
      </c>
      <c r="B1277" s="18" t="s">
        <v>2503</v>
      </c>
      <c r="C1277" s="18" t="s">
        <v>2577</v>
      </c>
      <c r="D1277" s="18"/>
      <c r="E1277" s="18"/>
      <c r="F1277" s="18"/>
      <c r="G1277" s="18"/>
      <c r="H1277" s="19" t="s">
        <v>2578</v>
      </c>
      <c r="I1277" s="18" t="s">
        <v>161</v>
      </c>
      <c r="J1277" s="20">
        <v>1</v>
      </c>
      <c r="K1277" s="20">
        <v>1.1499999999999999</v>
      </c>
      <c r="L1277" s="21" t="s">
        <v>28</v>
      </c>
      <c r="M1277" s="22">
        <v>117.1635</v>
      </c>
      <c r="N1277" s="22">
        <v>0</v>
      </c>
      <c r="O1277" s="22">
        <v>1324.54</v>
      </c>
      <c r="P1277" s="22">
        <f t="shared" si="178"/>
        <v>178465.90363349998</v>
      </c>
      <c r="Q1277" s="22">
        <v>0</v>
      </c>
      <c r="R1277" s="22">
        <f t="shared" si="179"/>
        <v>0</v>
      </c>
      <c r="S1277" s="22">
        <f t="shared" si="180"/>
        <v>178465.90363349998</v>
      </c>
      <c r="T1277" s="23">
        <v>0.55859868298040061</v>
      </c>
      <c r="U1277" s="24">
        <v>0.1</v>
      </c>
      <c r="V1277" s="25">
        <f t="shared" ref="V1277:V1287" si="196">S1277+S1277*T1277+(S1277+S1277*T1277)*U1277</f>
        <v>305972.39459608821</v>
      </c>
      <c r="W1277" s="26" t="s">
        <v>29</v>
      </c>
    </row>
    <row r="1278" spans="1:23" ht="89.25" x14ac:dyDescent="0.25">
      <c r="A1278" s="17">
        <f t="shared" ca="1" si="182"/>
        <v>1274</v>
      </c>
      <c r="B1278" s="18" t="s">
        <v>2503</v>
      </c>
      <c r="C1278" s="18" t="s">
        <v>2579</v>
      </c>
      <c r="D1278" s="18"/>
      <c r="E1278" s="18"/>
      <c r="F1278" s="18"/>
      <c r="G1278" s="18"/>
      <c r="H1278" s="19" t="s">
        <v>2580</v>
      </c>
      <c r="I1278" s="18" t="s">
        <v>161</v>
      </c>
      <c r="J1278" s="20">
        <v>1</v>
      </c>
      <c r="K1278" s="20">
        <v>1.1499999999999999</v>
      </c>
      <c r="L1278" s="21" t="s">
        <v>28</v>
      </c>
      <c r="M1278" s="22">
        <v>154.166</v>
      </c>
      <c r="N1278" s="22">
        <v>0</v>
      </c>
      <c r="O1278" s="22">
        <v>1324.54</v>
      </c>
      <c r="P1278" s="22">
        <f t="shared" si="178"/>
        <v>234828.88868599996</v>
      </c>
      <c r="Q1278" s="22">
        <v>0</v>
      </c>
      <c r="R1278" s="22">
        <f t="shared" si="179"/>
        <v>0</v>
      </c>
      <c r="S1278" s="22">
        <f t="shared" si="180"/>
        <v>234828.88868599996</v>
      </c>
      <c r="T1278" s="23">
        <v>0.55859868298040061</v>
      </c>
      <c r="U1278" s="24">
        <v>0.1</v>
      </c>
      <c r="V1278" s="25">
        <f t="shared" si="196"/>
        <v>402604.39629492565</v>
      </c>
      <c r="W1278" s="26" t="s">
        <v>29</v>
      </c>
    </row>
    <row r="1279" spans="1:23" ht="89.25" x14ac:dyDescent="0.25">
      <c r="A1279" s="17">
        <f t="shared" ca="1" si="182"/>
        <v>1275</v>
      </c>
      <c r="B1279" s="18" t="s">
        <v>2503</v>
      </c>
      <c r="C1279" s="18" t="s">
        <v>2581</v>
      </c>
      <c r="D1279" s="18"/>
      <c r="E1279" s="18"/>
      <c r="F1279" s="18"/>
      <c r="G1279" s="18"/>
      <c r="H1279" s="19" t="s">
        <v>2582</v>
      </c>
      <c r="I1279" s="18" t="s">
        <v>161</v>
      </c>
      <c r="J1279" s="20">
        <v>1</v>
      </c>
      <c r="K1279" s="20">
        <v>1.1499999999999999</v>
      </c>
      <c r="L1279" s="21" t="s">
        <v>28</v>
      </c>
      <c r="M1279" s="22">
        <v>209.779</v>
      </c>
      <c r="N1279" s="22">
        <v>0</v>
      </c>
      <c r="O1279" s="22">
        <v>1324.54</v>
      </c>
      <c r="P1279" s="22">
        <f t="shared" si="178"/>
        <v>319539.77815899998</v>
      </c>
      <c r="Q1279" s="22">
        <v>0</v>
      </c>
      <c r="R1279" s="22">
        <f t="shared" si="179"/>
        <v>0</v>
      </c>
      <c r="S1279" s="22">
        <f t="shared" si="180"/>
        <v>319539.77815899998</v>
      </c>
      <c r="T1279" s="23">
        <v>0.55859868298040061</v>
      </c>
      <c r="U1279" s="24">
        <v>0.1</v>
      </c>
      <c r="V1279" s="25">
        <f t="shared" si="196"/>
        <v>547837.70513831335</v>
      </c>
      <c r="W1279" s="26" t="s">
        <v>29</v>
      </c>
    </row>
    <row r="1280" spans="1:23" ht="89.25" x14ac:dyDescent="0.25">
      <c r="A1280" s="17">
        <f t="shared" ca="1" si="182"/>
        <v>1276</v>
      </c>
      <c r="B1280" s="18" t="s">
        <v>2503</v>
      </c>
      <c r="C1280" s="18" t="s">
        <v>2583</v>
      </c>
      <c r="D1280" s="18"/>
      <c r="E1280" s="18"/>
      <c r="F1280" s="18"/>
      <c r="G1280" s="18"/>
      <c r="H1280" s="19" t="s">
        <v>2584</v>
      </c>
      <c r="I1280" s="18" t="s">
        <v>161</v>
      </c>
      <c r="J1280" s="20">
        <v>1</v>
      </c>
      <c r="K1280" s="20">
        <v>1.1499999999999999</v>
      </c>
      <c r="L1280" s="21" t="s">
        <v>28</v>
      </c>
      <c r="M1280" s="22">
        <v>90.962499999999991</v>
      </c>
      <c r="N1280" s="22">
        <v>0</v>
      </c>
      <c r="O1280" s="22">
        <v>1324.54</v>
      </c>
      <c r="P1280" s="22">
        <f t="shared" ref="P1280:P1343" si="197">O1280*M1280*K1280</f>
        <v>138555.99021249998</v>
      </c>
      <c r="Q1280" s="22">
        <v>0</v>
      </c>
      <c r="R1280" s="22">
        <f t="shared" ref="R1280:R1343" si="198">N1280*Q1280*K1280</f>
        <v>0</v>
      </c>
      <c r="S1280" s="22">
        <f t="shared" ref="S1280:S1343" si="199">P1280+R1280</f>
        <v>138555.99021249998</v>
      </c>
      <c r="T1280" s="23">
        <v>0.55859868298040061</v>
      </c>
      <c r="U1280" s="24">
        <v>0.1</v>
      </c>
      <c r="V1280" s="25">
        <f t="shared" si="196"/>
        <v>237548.50225067252</v>
      </c>
      <c r="W1280" s="26" t="s">
        <v>29</v>
      </c>
    </row>
    <row r="1281" spans="1:23" ht="89.25" x14ac:dyDescent="0.25">
      <c r="A1281" s="17">
        <f t="shared" ca="1" si="182"/>
        <v>1277</v>
      </c>
      <c r="B1281" s="18" t="s">
        <v>2503</v>
      </c>
      <c r="C1281" s="18" t="s">
        <v>2585</v>
      </c>
      <c r="D1281" s="18"/>
      <c r="E1281" s="18"/>
      <c r="F1281" s="18"/>
      <c r="G1281" s="18"/>
      <c r="H1281" s="19" t="s">
        <v>2586</v>
      </c>
      <c r="I1281" s="18" t="s">
        <v>161</v>
      </c>
      <c r="J1281" s="20">
        <v>1</v>
      </c>
      <c r="K1281" s="20">
        <v>1.1499999999999999</v>
      </c>
      <c r="L1281" s="21" t="s">
        <v>28</v>
      </c>
      <c r="M1281" s="22">
        <v>150.48949999999999</v>
      </c>
      <c r="N1281" s="22">
        <v>0</v>
      </c>
      <c r="O1281" s="22">
        <v>1324.54</v>
      </c>
      <c r="P1281" s="22">
        <f t="shared" si="197"/>
        <v>229228.76667949994</v>
      </c>
      <c r="Q1281" s="22">
        <v>0</v>
      </c>
      <c r="R1281" s="22">
        <f t="shared" si="198"/>
        <v>0</v>
      </c>
      <c r="S1281" s="22">
        <f t="shared" si="199"/>
        <v>229228.76667949994</v>
      </c>
      <c r="T1281" s="23">
        <v>0.55859868298040061</v>
      </c>
      <c r="U1281" s="24">
        <v>0.1</v>
      </c>
      <c r="V1281" s="25">
        <f t="shared" si="196"/>
        <v>393003.21923267917</v>
      </c>
      <c r="W1281" s="26" t="s">
        <v>29</v>
      </c>
    </row>
    <row r="1282" spans="1:23" ht="89.25" x14ac:dyDescent="0.25">
      <c r="A1282" s="17">
        <f t="shared" ca="1" si="182"/>
        <v>1278</v>
      </c>
      <c r="B1282" s="18" t="s">
        <v>2503</v>
      </c>
      <c r="C1282" s="18" t="s">
        <v>2587</v>
      </c>
      <c r="D1282" s="18"/>
      <c r="E1282" s="18"/>
      <c r="F1282" s="18"/>
      <c r="G1282" s="18"/>
      <c r="H1282" s="19" t="s">
        <v>2588</v>
      </c>
      <c r="I1282" s="18" t="s">
        <v>161</v>
      </c>
      <c r="J1282" s="20">
        <v>1</v>
      </c>
      <c r="K1282" s="20">
        <v>1.1499999999999999</v>
      </c>
      <c r="L1282" s="21" t="s">
        <v>28</v>
      </c>
      <c r="M1282" s="22">
        <v>191.00700000000001</v>
      </c>
      <c r="N1282" s="22">
        <v>0</v>
      </c>
      <c r="O1282" s="22">
        <v>1324.54</v>
      </c>
      <c r="P1282" s="22">
        <f t="shared" si="197"/>
        <v>290945.873547</v>
      </c>
      <c r="Q1282" s="22">
        <v>0</v>
      </c>
      <c r="R1282" s="22">
        <f t="shared" si="198"/>
        <v>0</v>
      </c>
      <c r="S1282" s="22">
        <f t="shared" si="199"/>
        <v>290945.873547</v>
      </c>
      <c r="T1282" s="23">
        <v>0.55859868298040061</v>
      </c>
      <c r="U1282" s="24">
        <v>0.1</v>
      </c>
      <c r="V1282" s="25">
        <f t="shared" si="196"/>
        <v>498814.64086182998</v>
      </c>
      <c r="W1282" s="26" t="s">
        <v>29</v>
      </c>
    </row>
    <row r="1283" spans="1:23" ht="89.25" x14ac:dyDescent="0.25">
      <c r="A1283" s="17">
        <f t="shared" ref="A1283:A1346" ca="1" si="200">CELL("строка",A1283)-4</f>
        <v>1279</v>
      </c>
      <c r="B1283" s="18" t="s">
        <v>2503</v>
      </c>
      <c r="C1283" s="18" t="s">
        <v>2589</v>
      </c>
      <c r="D1283" s="18"/>
      <c r="E1283" s="18"/>
      <c r="F1283" s="18"/>
      <c r="G1283" s="18"/>
      <c r="H1283" s="19" t="s">
        <v>2590</v>
      </c>
      <c r="I1283" s="18" t="s">
        <v>161</v>
      </c>
      <c r="J1283" s="20">
        <v>1</v>
      </c>
      <c r="K1283" s="20">
        <v>1.1499999999999999</v>
      </c>
      <c r="L1283" s="21" t="s">
        <v>28</v>
      </c>
      <c r="M1283" s="22">
        <v>46.198500000000003</v>
      </c>
      <c r="N1283" s="22">
        <v>0</v>
      </c>
      <c r="O1283" s="22">
        <v>1324.54</v>
      </c>
      <c r="P1283" s="22">
        <f t="shared" si="197"/>
        <v>70370.525368500006</v>
      </c>
      <c r="Q1283" s="22">
        <v>0</v>
      </c>
      <c r="R1283" s="22">
        <f t="shared" si="198"/>
        <v>0</v>
      </c>
      <c r="S1283" s="22">
        <f t="shared" si="199"/>
        <v>70370.525368500006</v>
      </c>
      <c r="T1283" s="23">
        <v>0.55859868298040061</v>
      </c>
      <c r="U1283" s="24">
        <v>0.1</v>
      </c>
      <c r="V1283" s="25">
        <f t="shared" si="196"/>
        <v>120647.34897598128</v>
      </c>
      <c r="W1283" s="26" t="s">
        <v>29</v>
      </c>
    </row>
    <row r="1284" spans="1:23" ht="89.25" x14ac:dyDescent="0.25">
      <c r="A1284" s="17">
        <f t="shared" ca="1" si="200"/>
        <v>1280</v>
      </c>
      <c r="B1284" s="18" t="s">
        <v>2503</v>
      </c>
      <c r="C1284" s="18" t="s">
        <v>2591</v>
      </c>
      <c r="D1284" s="18"/>
      <c r="E1284" s="18"/>
      <c r="F1284" s="18"/>
      <c r="G1284" s="18"/>
      <c r="H1284" s="19" t="s">
        <v>2592</v>
      </c>
      <c r="I1284" s="18" t="s">
        <v>161</v>
      </c>
      <c r="J1284" s="20">
        <v>1</v>
      </c>
      <c r="K1284" s="20">
        <v>1.1499999999999999</v>
      </c>
      <c r="L1284" s="21" t="s">
        <v>28</v>
      </c>
      <c r="M1284" s="22">
        <v>87.181499999999986</v>
      </c>
      <c r="N1284" s="22">
        <v>0</v>
      </c>
      <c r="O1284" s="22">
        <v>1324.54</v>
      </c>
      <c r="P1284" s="22">
        <f t="shared" si="197"/>
        <v>132796.69161149996</v>
      </c>
      <c r="Q1284" s="22">
        <v>0</v>
      </c>
      <c r="R1284" s="22">
        <f t="shared" si="198"/>
        <v>0</v>
      </c>
      <c r="S1284" s="22">
        <f t="shared" si="199"/>
        <v>132796.69161149996</v>
      </c>
      <c r="T1284" s="23">
        <v>0.55859868298040061</v>
      </c>
      <c r="U1284" s="24">
        <v>0.1</v>
      </c>
      <c r="V1284" s="25">
        <f t="shared" si="196"/>
        <v>227674.42351482209</v>
      </c>
      <c r="W1284" s="26" t="s">
        <v>29</v>
      </c>
    </row>
    <row r="1285" spans="1:23" ht="89.25" x14ac:dyDescent="0.25">
      <c r="A1285" s="17">
        <f t="shared" ca="1" si="200"/>
        <v>1281</v>
      </c>
      <c r="B1285" s="18" t="s">
        <v>2503</v>
      </c>
      <c r="C1285" s="18" t="s">
        <v>2593</v>
      </c>
      <c r="D1285" s="18"/>
      <c r="E1285" s="18"/>
      <c r="F1285" s="18"/>
      <c r="G1285" s="18"/>
      <c r="H1285" s="19" t="s">
        <v>2594</v>
      </c>
      <c r="I1285" s="18" t="s">
        <v>161</v>
      </c>
      <c r="J1285" s="20">
        <v>1</v>
      </c>
      <c r="K1285" s="20">
        <v>1.1499999999999999</v>
      </c>
      <c r="L1285" s="21" t="s">
        <v>28</v>
      </c>
      <c r="M1285" s="22">
        <v>41.391500000000001</v>
      </c>
      <c r="N1285" s="22">
        <v>0</v>
      </c>
      <c r="O1285" s="22">
        <v>1324.54</v>
      </c>
      <c r="P1285" s="22">
        <f t="shared" si="197"/>
        <v>63048.402021499998</v>
      </c>
      <c r="Q1285" s="22">
        <v>0</v>
      </c>
      <c r="R1285" s="22">
        <f t="shared" si="198"/>
        <v>0</v>
      </c>
      <c r="S1285" s="22">
        <f t="shared" si="199"/>
        <v>63048.402021499998</v>
      </c>
      <c r="T1285" s="23">
        <v>0.55859868298040061</v>
      </c>
      <c r="U1285" s="24">
        <v>0.1</v>
      </c>
      <c r="V1285" s="25">
        <f t="shared" si="196"/>
        <v>108093.87199020159</v>
      </c>
      <c r="W1285" s="26" t="s">
        <v>29</v>
      </c>
    </row>
    <row r="1286" spans="1:23" ht="89.25" x14ac:dyDescent="0.25">
      <c r="A1286" s="17">
        <f t="shared" ca="1" si="200"/>
        <v>1282</v>
      </c>
      <c r="B1286" s="18" t="s">
        <v>2503</v>
      </c>
      <c r="C1286" s="18" t="s">
        <v>2595</v>
      </c>
      <c r="D1286" s="18"/>
      <c r="E1286" s="18"/>
      <c r="F1286" s="18"/>
      <c r="G1286" s="18"/>
      <c r="H1286" s="19" t="s">
        <v>2596</v>
      </c>
      <c r="I1286" s="18" t="s">
        <v>161</v>
      </c>
      <c r="J1286" s="20">
        <v>1</v>
      </c>
      <c r="K1286" s="20">
        <v>1.1499999999999999</v>
      </c>
      <c r="L1286" s="21" t="s">
        <v>28</v>
      </c>
      <c r="M1286" s="22">
        <v>96.557999999999993</v>
      </c>
      <c r="N1286" s="22">
        <v>0</v>
      </c>
      <c r="O1286" s="22">
        <v>1324.54</v>
      </c>
      <c r="P1286" s="22">
        <f t="shared" si="197"/>
        <v>147079.17331799996</v>
      </c>
      <c r="Q1286" s="22">
        <v>0</v>
      </c>
      <c r="R1286" s="22">
        <f t="shared" si="198"/>
        <v>0</v>
      </c>
      <c r="S1286" s="22">
        <f t="shared" si="199"/>
        <v>147079.17331799996</v>
      </c>
      <c r="T1286" s="23">
        <v>0.55859868298040061</v>
      </c>
      <c r="U1286" s="24">
        <v>0.1</v>
      </c>
      <c r="V1286" s="25">
        <f t="shared" si="196"/>
        <v>252161.14641000892</v>
      </c>
      <c r="W1286" s="26" t="s">
        <v>29</v>
      </c>
    </row>
    <row r="1287" spans="1:23" ht="89.25" x14ac:dyDescent="0.25">
      <c r="A1287" s="17">
        <f t="shared" ca="1" si="200"/>
        <v>1283</v>
      </c>
      <c r="B1287" s="18" t="s">
        <v>2503</v>
      </c>
      <c r="C1287" s="18" t="s">
        <v>2597</v>
      </c>
      <c r="D1287" s="18"/>
      <c r="E1287" s="18"/>
      <c r="F1287" s="18"/>
      <c r="G1287" s="18"/>
      <c r="H1287" s="19" t="s">
        <v>2598</v>
      </c>
      <c r="I1287" s="18" t="s">
        <v>161</v>
      </c>
      <c r="J1287" s="20">
        <v>1</v>
      </c>
      <c r="K1287" s="20">
        <v>1.1499999999999999</v>
      </c>
      <c r="L1287" s="21" t="s">
        <v>28</v>
      </c>
      <c r="M1287" s="22">
        <v>4.2370000000000001</v>
      </c>
      <c r="N1287" s="22">
        <v>0</v>
      </c>
      <c r="O1287" s="22">
        <v>1324.54</v>
      </c>
      <c r="P1287" s="22">
        <f t="shared" si="197"/>
        <v>6453.8873769999991</v>
      </c>
      <c r="Q1287" s="22">
        <v>0</v>
      </c>
      <c r="R1287" s="22">
        <f t="shared" si="198"/>
        <v>0</v>
      </c>
      <c r="S1287" s="22">
        <f t="shared" si="199"/>
        <v>6453.8873769999991</v>
      </c>
      <c r="T1287" s="23">
        <v>0.55859868298040061</v>
      </c>
      <c r="U1287" s="24">
        <v>0.1</v>
      </c>
      <c r="V1287" s="25">
        <f t="shared" si="196"/>
        <v>11064.922402485634</v>
      </c>
      <c r="W1287" s="26" t="s">
        <v>29</v>
      </c>
    </row>
    <row r="1288" spans="1:23" x14ac:dyDescent="0.25">
      <c r="A1288" s="12">
        <f t="shared" ca="1" si="200"/>
        <v>1284</v>
      </c>
      <c r="B1288" s="32" t="s">
        <v>2503</v>
      </c>
      <c r="C1288" s="32" t="s">
        <v>2599</v>
      </c>
      <c r="D1288" s="32"/>
      <c r="E1288" s="32"/>
      <c r="F1288" s="32"/>
      <c r="G1288" s="32"/>
      <c r="H1288" s="31" t="s">
        <v>2420</v>
      </c>
      <c r="I1288" s="32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27"/>
      <c r="U1288" s="16"/>
      <c r="V1288" s="13"/>
      <c r="W1288" s="13"/>
    </row>
    <row r="1289" spans="1:23" ht="89.25" x14ac:dyDescent="0.25">
      <c r="A1289" s="17">
        <f t="shared" ca="1" si="200"/>
        <v>1285</v>
      </c>
      <c r="B1289" s="18" t="s">
        <v>2503</v>
      </c>
      <c r="C1289" s="18" t="s">
        <v>2600</v>
      </c>
      <c r="D1289" s="18"/>
      <c r="E1289" s="18"/>
      <c r="F1289" s="18"/>
      <c r="G1289" s="18"/>
      <c r="H1289" s="19" t="s">
        <v>2601</v>
      </c>
      <c r="I1289" s="18" t="s">
        <v>161</v>
      </c>
      <c r="J1289" s="20">
        <v>1</v>
      </c>
      <c r="K1289" s="20">
        <v>1.1499999999999999</v>
      </c>
      <c r="L1289" s="21" t="s">
        <v>28</v>
      </c>
      <c r="M1289" s="22">
        <v>52.3735</v>
      </c>
      <c r="N1289" s="22">
        <v>0</v>
      </c>
      <c r="O1289" s="22">
        <v>1324.54</v>
      </c>
      <c r="P1289" s="22">
        <f t="shared" si="197"/>
        <v>79776.41504349999</v>
      </c>
      <c r="Q1289" s="22">
        <v>0</v>
      </c>
      <c r="R1289" s="22">
        <f t="shared" si="198"/>
        <v>0</v>
      </c>
      <c r="S1289" s="22">
        <f t="shared" si="199"/>
        <v>79776.41504349999</v>
      </c>
      <c r="T1289" s="23">
        <v>0.55859868298040061</v>
      </c>
      <c r="U1289" s="24">
        <v>0.1</v>
      </c>
      <c r="V1289" s="25">
        <f t="shared" ref="V1289:V1295" si="201">S1289+S1289*T1289+(S1289+S1289*T1289)*U1289</f>
        <v>136773.35696166661</v>
      </c>
      <c r="W1289" s="26" t="s">
        <v>29</v>
      </c>
    </row>
    <row r="1290" spans="1:23" ht="89.25" x14ac:dyDescent="0.25">
      <c r="A1290" s="17">
        <f t="shared" ca="1" si="200"/>
        <v>1286</v>
      </c>
      <c r="B1290" s="18" t="s">
        <v>2503</v>
      </c>
      <c r="C1290" s="18" t="s">
        <v>2602</v>
      </c>
      <c r="D1290" s="18"/>
      <c r="E1290" s="18"/>
      <c r="F1290" s="18"/>
      <c r="G1290" s="18"/>
      <c r="H1290" s="19" t="s">
        <v>2603</v>
      </c>
      <c r="I1290" s="18" t="s">
        <v>161</v>
      </c>
      <c r="J1290" s="20">
        <v>1</v>
      </c>
      <c r="K1290" s="20">
        <v>1.1499999999999999</v>
      </c>
      <c r="L1290" s="21" t="s">
        <v>28</v>
      </c>
      <c r="M1290" s="22">
        <v>114.25649999999999</v>
      </c>
      <c r="N1290" s="22">
        <v>0</v>
      </c>
      <c r="O1290" s="22">
        <v>1324.54</v>
      </c>
      <c r="P1290" s="22">
        <f t="shared" si="197"/>
        <v>174037.90018649996</v>
      </c>
      <c r="Q1290" s="22">
        <v>0</v>
      </c>
      <c r="R1290" s="22">
        <f t="shared" si="198"/>
        <v>0</v>
      </c>
      <c r="S1290" s="22">
        <f t="shared" si="199"/>
        <v>174037.90018649996</v>
      </c>
      <c r="T1290" s="23">
        <v>0.55859868298040061</v>
      </c>
      <c r="U1290" s="24">
        <v>0.1</v>
      </c>
      <c r="V1290" s="25">
        <f t="shared" si="201"/>
        <v>298380.76622128859</v>
      </c>
      <c r="W1290" s="26" t="s">
        <v>29</v>
      </c>
    </row>
    <row r="1291" spans="1:23" ht="89.25" x14ac:dyDescent="0.25">
      <c r="A1291" s="17">
        <f t="shared" ca="1" si="200"/>
        <v>1287</v>
      </c>
      <c r="B1291" s="18" t="s">
        <v>2503</v>
      </c>
      <c r="C1291" s="18" t="s">
        <v>2604</v>
      </c>
      <c r="D1291" s="18"/>
      <c r="E1291" s="18"/>
      <c r="F1291" s="18"/>
      <c r="G1291" s="18"/>
      <c r="H1291" s="19" t="s">
        <v>2605</v>
      </c>
      <c r="I1291" s="18" t="s">
        <v>161</v>
      </c>
      <c r="J1291" s="20">
        <v>1</v>
      </c>
      <c r="K1291" s="20">
        <v>1.1499999999999999</v>
      </c>
      <c r="L1291" s="21" t="s">
        <v>28</v>
      </c>
      <c r="M1291" s="22">
        <v>174.73349999999999</v>
      </c>
      <c r="N1291" s="22">
        <v>0</v>
      </c>
      <c r="O1291" s="22">
        <v>1324.54</v>
      </c>
      <c r="P1291" s="22">
        <f t="shared" si="197"/>
        <v>266157.73660349997</v>
      </c>
      <c r="Q1291" s="22">
        <v>0</v>
      </c>
      <c r="R1291" s="22">
        <f t="shared" si="198"/>
        <v>0</v>
      </c>
      <c r="S1291" s="22">
        <f t="shared" si="199"/>
        <v>266157.73660349997</v>
      </c>
      <c r="T1291" s="23">
        <v>0.55859868298040061</v>
      </c>
      <c r="U1291" s="24">
        <v>0.1</v>
      </c>
      <c r="V1291" s="25">
        <f t="shared" si="201"/>
        <v>456316.40750878537</v>
      </c>
      <c r="W1291" s="26" t="s">
        <v>29</v>
      </c>
    </row>
    <row r="1292" spans="1:23" ht="89.25" x14ac:dyDescent="0.25">
      <c r="A1292" s="17">
        <f t="shared" ca="1" si="200"/>
        <v>1288</v>
      </c>
      <c r="B1292" s="18" t="s">
        <v>2503</v>
      </c>
      <c r="C1292" s="18" t="s">
        <v>2606</v>
      </c>
      <c r="D1292" s="18"/>
      <c r="E1292" s="18"/>
      <c r="F1292" s="18"/>
      <c r="G1292" s="18"/>
      <c r="H1292" s="19" t="s">
        <v>2607</v>
      </c>
      <c r="I1292" s="18" t="s">
        <v>161</v>
      </c>
      <c r="J1292" s="20">
        <v>1</v>
      </c>
      <c r="K1292" s="20">
        <v>1.1499999999999999</v>
      </c>
      <c r="L1292" s="21" t="s">
        <v>28</v>
      </c>
      <c r="M1292" s="22">
        <v>76.759999999999991</v>
      </c>
      <c r="N1292" s="22">
        <v>0</v>
      </c>
      <c r="O1292" s="22">
        <v>1324.54</v>
      </c>
      <c r="P1292" s="22">
        <f t="shared" si="197"/>
        <v>116922.44395999998</v>
      </c>
      <c r="Q1292" s="22">
        <v>0</v>
      </c>
      <c r="R1292" s="22">
        <f t="shared" si="198"/>
        <v>0</v>
      </c>
      <c r="S1292" s="22">
        <f t="shared" si="199"/>
        <v>116922.44395999998</v>
      </c>
      <c r="T1292" s="23">
        <v>0.55859868298040061</v>
      </c>
      <c r="U1292" s="24">
        <v>0.1</v>
      </c>
      <c r="V1292" s="25">
        <f t="shared" si="201"/>
        <v>200458.68388359621</v>
      </c>
      <c r="W1292" s="26" t="s">
        <v>29</v>
      </c>
    </row>
    <row r="1293" spans="1:23" ht="89.25" x14ac:dyDescent="0.25">
      <c r="A1293" s="17">
        <f t="shared" ca="1" si="200"/>
        <v>1289</v>
      </c>
      <c r="B1293" s="18" t="s">
        <v>2503</v>
      </c>
      <c r="C1293" s="18" t="s">
        <v>2608</v>
      </c>
      <c r="D1293" s="18"/>
      <c r="E1293" s="18"/>
      <c r="F1293" s="18"/>
      <c r="G1293" s="18"/>
      <c r="H1293" s="19" t="s">
        <v>2609</v>
      </c>
      <c r="I1293" s="18" t="s">
        <v>161</v>
      </c>
      <c r="J1293" s="20">
        <v>1</v>
      </c>
      <c r="K1293" s="20">
        <v>1.1499999999999999</v>
      </c>
      <c r="L1293" s="21" t="s">
        <v>28</v>
      </c>
      <c r="M1293" s="22">
        <v>137.17049999999998</v>
      </c>
      <c r="N1293" s="22">
        <v>0</v>
      </c>
      <c r="O1293" s="22">
        <v>1324.54</v>
      </c>
      <c r="P1293" s="22">
        <f t="shared" si="197"/>
        <v>208940.98618049995</v>
      </c>
      <c r="Q1293" s="22">
        <v>0</v>
      </c>
      <c r="R1293" s="22">
        <f t="shared" si="198"/>
        <v>0</v>
      </c>
      <c r="S1293" s="22">
        <f t="shared" si="199"/>
        <v>208940.98618049995</v>
      </c>
      <c r="T1293" s="23">
        <v>0.55859868298040061</v>
      </c>
      <c r="U1293" s="24">
        <v>0.1</v>
      </c>
      <c r="V1293" s="25">
        <f t="shared" si="201"/>
        <v>358220.66046970861</v>
      </c>
      <c r="W1293" s="26" t="s">
        <v>29</v>
      </c>
    </row>
    <row r="1294" spans="1:23" ht="89.25" x14ac:dyDescent="0.25">
      <c r="A1294" s="17">
        <f t="shared" ca="1" si="200"/>
        <v>1290</v>
      </c>
      <c r="B1294" s="18" t="s">
        <v>2503</v>
      </c>
      <c r="C1294" s="18" t="s">
        <v>2610</v>
      </c>
      <c r="D1294" s="18"/>
      <c r="E1294" s="18"/>
      <c r="F1294" s="18"/>
      <c r="G1294" s="18"/>
      <c r="H1294" s="19" t="s">
        <v>2611</v>
      </c>
      <c r="I1294" s="18" t="s">
        <v>161</v>
      </c>
      <c r="J1294" s="20">
        <v>1</v>
      </c>
      <c r="K1294" s="20">
        <v>1.1499999999999999</v>
      </c>
      <c r="L1294" s="21" t="s">
        <v>28</v>
      </c>
      <c r="M1294" s="22">
        <v>197.63799999999998</v>
      </c>
      <c r="N1294" s="22">
        <v>0</v>
      </c>
      <c r="O1294" s="22">
        <v>1324.54</v>
      </c>
      <c r="P1294" s="22">
        <f t="shared" si="197"/>
        <v>301046.35199799994</v>
      </c>
      <c r="Q1294" s="22">
        <v>0</v>
      </c>
      <c r="R1294" s="22">
        <f t="shared" si="198"/>
        <v>0</v>
      </c>
      <c r="S1294" s="22">
        <f t="shared" si="199"/>
        <v>301046.35199799994</v>
      </c>
      <c r="T1294" s="23">
        <v>0.55859868298040061</v>
      </c>
      <c r="U1294" s="24">
        <v>0.1</v>
      </c>
      <c r="V1294" s="25">
        <f t="shared" si="201"/>
        <v>516131.49251415045</v>
      </c>
      <c r="W1294" s="26" t="s">
        <v>29</v>
      </c>
    </row>
    <row r="1295" spans="1:23" ht="89.25" x14ac:dyDescent="0.25">
      <c r="A1295" s="17">
        <f t="shared" ca="1" si="200"/>
        <v>1291</v>
      </c>
      <c r="B1295" s="18" t="s">
        <v>2503</v>
      </c>
      <c r="C1295" s="18" t="s">
        <v>2612</v>
      </c>
      <c r="D1295" s="18"/>
      <c r="E1295" s="18"/>
      <c r="F1295" s="18"/>
      <c r="G1295" s="18"/>
      <c r="H1295" s="19" t="s">
        <v>2613</v>
      </c>
      <c r="I1295" s="18" t="s">
        <v>2527</v>
      </c>
      <c r="J1295" s="20">
        <v>1</v>
      </c>
      <c r="K1295" s="20">
        <v>1.1499999999999999</v>
      </c>
      <c r="L1295" s="21" t="s">
        <v>28</v>
      </c>
      <c r="M1295" s="22">
        <v>2.7929999999999997</v>
      </c>
      <c r="N1295" s="22">
        <v>0</v>
      </c>
      <c r="O1295" s="22">
        <v>1324.54</v>
      </c>
      <c r="P1295" s="22">
        <f t="shared" si="197"/>
        <v>4254.356252999999</v>
      </c>
      <c r="Q1295" s="22">
        <v>0</v>
      </c>
      <c r="R1295" s="22">
        <f t="shared" si="198"/>
        <v>0</v>
      </c>
      <c r="S1295" s="22">
        <f t="shared" si="199"/>
        <v>4254.356252999999</v>
      </c>
      <c r="T1295" s="23">
        <v>0.55859868298040061</v>
      </c>
      <c r="U1295" s="24">
        <v>0.1</v>
      </c>
      <c r="V1295" s="25">
        <f t="shared" si="201"/>
        <v>7293.9174581407542</v>
      </c>
      <c r="W1295" s="26" t="s">
        <v>29</v>
      </c>
    </row>
    <row r="1296" spans="1:23" x14ac:dyDescent="0.25">
      <c r="A1296" s="12">
        <f t="shared" ca="1" si="200"/>
        <v>1292</v>
      </c>
      <c r="B1296" s="32" t="s">
        <v>2503</v>
      </c>
      <c r="C1296" s="32" t="s">
        <v>2614</v>
      </c>
      <c r="D1296" s="32"/>
      <c r="E1296" s="32"/>
      <c r="F1296" s="32"/>
      <c r="G1296" s="32"/>
      <c r="H1296" s="31" t="s">
        <v>2615</v>
      </c>
      <c r="I1296" s="32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27"/>
      <c r="U1296" s="16"/>
      <c r="V1296" s="13"/>
      <c r="W1296" s="13"/>
    </row>
    <row r="1297" spans="1:23" ht="89.25" x14ac:dyDescent="0.25">
      <c r="A1297" s="17">
        <f t="shared" ca="1" si="200"/>
        <v>1293</v>
      </c>
      <c r="B1297" s="18" t="s">
        <v>2503</v>
      </c>
      <c r="C1297" s="18" t="s">
        <v>2616</v>
      </c>
      <c r="D1297" s="18"/>
      <c r="E1297" s="18"/>
      <c r="F1297" s="18"/>
      <c r="G1297" s="18"/>
      <c r="H1297" s="19" t="s">
        <v>2617</v>
      </c>
      <c r="I1297" s="18" t="s">
        <v>2550</v>
      </c>
      <c r="J1297" s="20">
        <v>1</v>
      </c>
      <c r="K1297" s="20">
        <v>1.1499999999999999</v>
      </c>
      <c r="L1297" s="21" t="s">
        <v>28</v>
      </c>
      <c r="M1297" s="22">
        <v>52.962499999999999</v>
      </c>
      <c r="N1297" s="22">
        <v>0</v>
      </c>
      <c r="O1297" s="22">
        <v>1324.54</v>
      </c>
      <c r="P1297" s="22">
        <f t="shared" si="197"/>
        <v>80673.592212499992</v>
      </c>
      <c r="Q1297" s="22">
        <v>0</v>
      </c>
      <c r="R1297" s="22">
        <f t="shared" si="198"/>
        <v>0</v>
      </c>
      <c r="S1297" s="22">
        <f t="shared" si="199"/>
        <v>80673.592212499992</v>
      </c>
      <c r="T1297" s="23">
        <v>0.55859868298040061</v>
      </c>
      <c r="U1297" s="24">
        <v>0.1</v>
      </c>
      <c r="V1297" s="25">
        <f t="shared" ref="V1297:V1304" si="202">S1297+S1297*T1297+(S1297+S1297*T1297)*U1297</f>
        <v>138311.53003107043</v>
      </c>
      <c r="W1297" s="26" t="s">
        <v>29</v>
      </c>
    </row>
    <row r="1298" spans="1:23" ht="89.25" x14ac:dyDescent="0.25">
      <c r="A1298" s="17">
        <f t="shared" ca="1" si="200"/>
        <v>1294</v>
      </c>
      <c r="B1298" s="18" t="s">
        <v>2503</v>
      </c>
      <c r="C1298" s="18" t="s">
        <v>2618</v>
      </c>
      <c r="D1298" s="18"/>
      <c r="E1298" s="18"/>
      <c r="F1298" s="18"/>
      <c r="G1298" s="18"/>
      <c r="H1298" s="19" t="s">
        <v>2619</v>
      </c>
      <c r="I1298" s="18" t="s">
        <v>2550</v>
      </c>
      <c r="J1298" s="20">
        <v>1</v>
      </c>
      <c r="K1298" s="20">
        <v>1.1499999999999999</v>
      </c>
      <c r="L1298" s="21" t="s">
        <v>28</v>
      </c>
      <c r="M1298" s="22">
        <v>55.613</v>
      </c>
      <c r="N1298" s="22">
        <v>0</v>
      </c>
      <c r="O1298" s="22">
        <v>1324.54</v>
      </c>
      <c r="P1298" s="22">
        <f t="shared" si="197"/>
        <v>84710.889473000003</v>
      </c>
      <c r="Q1298" s="22">
        <v>0</v>
      </c>
      <c r="R1298" s="22">
        <f t="shared" si="198"/>
        <v>0</v>
      </c>
      <c r="S1298" s="22">
        <f t="shared" si="199"/>
        <v>84710.889473000003</v>
      </c>
      <c r="T1298" s="23">
        <v>0.55859868298040061</v>
      </c>
      <c r="U1298" s="24">
        <v>0.1</v>
      </c>
      <c r="V1298" s="25">
        <f t="shared" si="202"/>
        <v>145233.3088433877</v>
      </c>
      <c r="W1298" s="26" t="s">
        <v>29</v>
      </c>
    </row>
    <row r="1299" spans="1:23" ht="89.25" x14ac:dyDescent="0.25">
      <c r="A1299" s="17">
        <f t="shared" ca="1" si="200"/>
        <v>1295</v>
      </c>
      <c r="B1299" s="18" t="s">
        <v>2503</v>
      </c>
      <c r="C1299" s="18" t="s">
        <v>2620</v>
      </c>
      <c r="D1299" s="18"/>
      <c r="E1299" s="18"/>
      <c r="F1299" s="18"/>
      <c r="G1299" s="18"/>
      <c r="H1299" s="19" t="s">
        <v>2621</v>
      </c>
      <c r="I1299" s="18" t="s">
        <v>2550</v>
      </c>
      <c r="J1299" s="20">
        <v>1</v>
      </c>
      <c r="K1299" s="20">
        <v>1.1499999999999999</v>
      </c>
      <c r="L1299" s="21" t="s">
        <v>28</v>
      </c>
      <c r="M1299" s="22">
        <v>133.43700000000001</v>
      </c>
      <c r="N1299" s="22">
        <v>0</v>
      </c>
      <c r="O1299" s="22">
        <v>1324.54</v>
      </c>
      <c r="P1299" s="22">
        <f t="shared" si="197"/>
        <v>203254.04057700001</v>
      </c>
      <c r="Q1299" s="22">
        <v>0</v>
      </c>
      <c r="R1299" s="22">
        <f t="shared" si="198"/>
        <v>0</v>
      </c>
      <c r="S1299" s="22">
        <f t="shared" si="199"/>
        <v>203254.04057700001</v>
      </c>
      <c r="T1299" s="23">
        <v>0.55859868298040061</v>
      </c>
      <c r="U1299" s="24">
        <v>0.1</v>
      </c>
      <c r="V1299" s="25">
        <f t="shared" si="202"/>
        <v>348470.62794913288</v>
      </c>
      <c r="W1299" s="26" t="s">
        <v>29</v>
      </c>
    </row>
    <row r="1300" spans="1:23" ht="89.25" x14ac:dyDescent="0.25">
      <c r="A1300" s="17">
        <f t="shared" ca="1" si="200"/>
        <v>1296</v>
      </c>
      <c r="B1300" s="18" t="s">
        <v>2503</v>
      </c>
      <c r="C1300" s="18" t="s">
        <v>2622</v>
      </c>
      <c r="D1300" s="18"/>
      <c r="E1300" s="18"/>
      <c r="F1300" s="18"/>
      <c r="G1300" s="18"/>
      <c r="H1300" s="19" t="s">
        <v>2623</v>
      </c>
      <c r="I1300" s="18" t="s">
        <v>161</v>
      </c>
      <c r="J1300" s="20">
        <v>1</v>
      </c>
      <c r="K1300" s="20">
        <v>1.1499999999999999</v>
      </c>
      <c r="L1300" s="21" t="s">
        <v>28</v>
      </c>
      <c r="M1300" s="22">
        <v>2.8689999999999998</v>
      </c>
      <c r="N1300" s="22">
        <v>0</v>
      </c>
      <c r="O1300" s="22">
        <v>1324.54</v>
      </c>
      <c r="P1300" s="22">
        <f t="shared" si="197"/>
        <v>4370.1210489999994</v>
      </c>
      <c r="Q1300" s="22">
        <v>0</v>
      </c>
      <c r="R1300" s="22">
        <f t="shared" si="198"/>
        <v>0</v>
      </c>
      <c r="S1300" s="22">
        <f t="shared" si="199"/>
        <v>4370.1210489999994</v>
      </c>
      <c r="T1300" s="23">
        <v>0.55859868298040061</v>
      </c>
      <c r="U1300" s="24">
        <v>0.1</v>
      </c>
      <c r="V1300" s="25">
        <f t="shared" si="202"/>
        <v>7492.3914025799586</v>
      </c>
      <c r="W1300" s="26" t="s">
        <v>29</v>
      </c>
    </row>
    <row r="1301" spans="1:23" ht="89.25" x14ac:dyDescent="0.25">
      <c r="A1301" s="17">
        <f t="shared" ca="1" si="200"/>
        <v>1297</v>
      </c>
      <c r="B1301" s="18" t="s">
        <v>2503</v>
      </c>
      <c r="C1301" s="18" t="s">
        <v>2624</v>
      </c>
      <c r="D1301" s="18"/>
      <c r="E1301" s="18"/>
      <c r="F1301" s="18"/>
      <c r="G1301" s="18"/>
      <c r="H1301" s="19" t="s">
        <v>2625</v>
      </c>
      <c r="I1301" s="18" t="s">
        <v>161</v>
      </c>
      <c r="J1301" s="20">
        <v>1</v>
      </c>
      <c r="K1301" s="20">
        <v>1.1499999999999999</v>
      </c>
      <c r="L1301" s="21" t="s">
        <v>28</v>
      </c>
      <c r="M1301" s="22">
        <v>17.081</v>
      </c>
      <c r="N1301" s="22">
        <v>0</v>
      </c>
      <c r="O1301" s="22">
        <v>1324.54</v>
      </c>
      <c r="P1301" s="22">
        <f t="shared" si="197"/>
        <v>26018.137900999998</v>
      </c>
      <c r="Q1301" s="22">
        <v>0</v>
      </c>
      <c r="R1301" s="22">
        <f t="shared" si="198"/>
        <v>0</v>
      </c>
      <c r="S1301" s="22">
        <f t="shared" si="199"/>
        <v>26018.137900999998</v>
      </c>
      <c r="T1301" s="23">
        <v>0.55859868298040061</v>
      </c>
      <c r="U1301" s="24">
        <v>0.1</v>
      </c>
      <c r="V1301" s="25">
        <f t="shared" si="202"/>
        <v>44607.019012711142</v>
      </c>
      <c r="W1301" s="26" t="s">
        <v>29</v>
      </c>
    </row>
    <row r="1302" spans="1:23" ht="89.25" x14ac:dyDescent="0.25">
      <c r="A1302" s="17">
        <f t="shared" ca="1" si="200"/>
        <v>1298</v>
      </c>
      <c r="B1302" s="18" t="s">
        <v>2503</v>
      </c>
      <c r="C1302" s="18" t="s">
        <v>2626</v>
      </c>
      <c r="D1302" s="18"/>
      <c r="E1302" s="18"/>
      <c r="F1302" s="18"/>
      <c r="G1302" s="18"/>
      <c r="H1302" s="19" t="s">
        <v>2627</v>
      </c>
      <c r="I1302" s="18" t="s">
        <v>161</v>
      </c>
      <c r="J1302" s="20">
        <v>1</v>
      </c>
      <c r="K1302" s="20">
        <v>1.1499999999999999</v>
      </c>
      <c r="L1302" s="21" t="s">
        <v>28</v>
      </c>
      <c r="M1302" s="22">
        <v>9.234</v>
      </c>
      <c r="N1302" s="22">
        <v>0</v>
      </c>
      <c r="O1302" s="22">
        <v>1324.54</v>
      </c>
      <c r="P1302" s="22">
        <f t="shared" si="197"/>
        <v>14065.422713999998</v>
      </c>
      <c r="Q1302" s="22">
        <v>0</v>
      </c>
      <c r="R1302" s="22">
        <f t="shared" si="198"/>
        <v>0</v>
      </c>
      <c r="S1302" s="22">
        <f t="shared" si="199"/>
        <v>14065.422713999998</v>
      </c>
      <c r="T1302" s="23">
        <v>0.55859868298040061</v>
      </c>
      <c r="U1302" s="24">
        <v>0.1</v>
      </c>
      <c r="V1302" s="25">
        <f t="shared" si="202"/>
        <v>24114.58424936331</v>
      </c>
      <c r="W1302" s="26" t="s">
        <v>29</v>
      </c>
    </row>
    <row r="1303" spans="1:23" ht="89.25" x14ac:dyDescent="0.25">
      <c r="A1303" s="17">
        <f t="shared" ca="1" si="200"/>
        <v>1299</v>
      </c>
      <c r="B1303" s="18" t="s">
        <v>2503</v>
      </c>
      <c r="C1303" s="18" t="s">
        <v>2628</v>
      </c>
      <c r="D1303" s="18"/>
      <c r="E1303" s="18"/>
      <c r="F1303" s="18"/>
      <c r="G1303" s="18"/>
      <c r="H1303" s="19" t="s">
        <v>2629</v>
      </c>
      <c r="I1303" s="18" t="s">
        <v>161</v>
      </c>
      <c r="J1303" s="20">
        <v>1</v>
      </c>
      <c r="K1303" s="20">
        <v>1.1499999999999999</v>
      </c>
      <c r="L1303" s="21" t="s">
        <v>28</v>
      </c>
      <c r="M1303" s="22">
        <v>1.6339999999999999</v>
      </c>
      <c r="N1303" s="22">
        <v>0</v>
      </c>
      <c r="O1303" s="22">
        <v>1324.54</v>
      </c>
      <c r="P1303" s="22">
        <f t="shared" si="197"/>
        <v>2488.9431139999997</v>
      </c>
      <c r="Q1303" s="22">
        <v>0</v>
      </c>
      <c r="R1303" s="22">
        <f t="shared" si="198"/>
        <v>0</v>
      </c>
      <c r="S1303" s="22">
        <f t="shared" si="199"/>
        <v>2488.9431139999997</v>
      </c>
      <c r="T1303" s="23">
        <v>0.55859868298040061</v>
      </c>
      <c r="U1303" s="24">
        <v>0.1</v>
      </c>
      <c r="V1303" s="25">
        <f t="shared" si="202"/>
        <v>4267.1898054428902</v>
      </c>
      <c r="W1303" s="26" t="s">
        <v>29</v>
      </c>
    </row>
    <row r="1304" spans="1:23" ht="89.25" x14ac:dyDescent="0.25">
      <c r="A1304" s="17">
        <f t="shared" ca="1" si="200"/>
        <v>1300</v>
      </c>
      <c r="B1304" s="18" t="s">
        <v>2503</v>
      </c>
      <c r="C1304" s="18" t="s">
        <v>2630</v>
      </c>
      <c r="D1304" s="18"/>
      <c r="E1304" s="18"/>
      <c r="F1304" s="18"/>
      <c r="G1304" s="18"/>
      <c r="H1304" s="19" t="s">
        <v>2631</v>
      </c>
      <c r="I1304" s="18" t="s">
        <v>2550</v>
      </c>
      <c r="J1304" s="20">
        <v>1</v>
      </c>
      <c r="K1304" s="20">
        <v>1.1499999999999999</v>
      </c>
      <c r="L1304" s="21" t="s">
        <v>28</v>
      </c>
      <c r="M1304" s="22">
        <v>168.99549999999999</v>
      </c>
      <c r="N1304" s="22">
        <v>0</v>
      </c>
      <c r="O1304" s="22">
        <v>1324.54</v>
      </c>
      <c r="P1304" s="22">
        <f t="shared" si="197"/>
        <v>257417.49450549996</v>
      </c>
      <c r="Q1304" s="22">
        <v>0</v>
      </c>
      <c r="R1304" s="22">
        <f t="shared" si="198"/>
        <v>0</v>
      </c>
      <c r="S1304" s="22">
        <f t="shared" si="199"/>
        <v>257417.49450549996</v>
      </c>
      <c r="T1304" s="23">
        <v>0.55859868298040061</v>
      </c>
      <c r="U1304" s="24">
        <v>0.1</v>
      </c>
      <c r="V1304" s="25">
        <f t="shared" si="202"/>
        <v>441331.62470362539</v>
      </c>
      <c r="W1304" s="26" t="s">
        <v>29</v>
      </c>
    </row>
    <row r="1305" spans="1:23" x14ac:dyDescent="0.25">
      <c r="A1305" s="12">
        <f t="shared" ca="1" si="200"/>
        <v>1301</v>
      </c>
      <c r="B1305" s="32" t="s">
        <v>2503</v>
      </c>
      <c r="C1305" s="32" t="s">
        <v>2632</v>
      </c>
      <c r="D1305" s="32"/>
      <c r="E1305" s="32"/>
      <c r="F1305" s="32"/>
      <c r="G1305" s="32"/>
      <c r="H1305" s="31" t="s">
        <v>2633</v>
      </c>
      <c r="I1305" s="32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27"/>
      <c r="U1305" s="16"/>
      <c r="V1305" s="13"/>
      <c r="W1305" s="13"/>
    </row>
    <row r="1306" spans="1:23" ht="89.25" x14ac:dyDescent="0.25">
      <c r="A1306" s="17">
        <f t="shared" ca="1" si="200"/>
        <v>1302</v>
      </c>
      <c r="B1306" s="18" t="s">
        <v>2503</v>
      </c>
      <c r="C1306" s="18" t="s">
        <v>2634</v>
      </c>
      <c r="D1306" s="18"/>
      <c r="E1306" s="18"/>
      <c r="F1306" s="18"/>
      <c r="G1306" s="18"/>
      <c r="H1306" s="19" t="s">
        <v>2635</v>
      </c>
      <c r="I1306" s="18" t="s">
        <v>161</v>
      </c>
      <c r="J1306" s="20">
        <v>1</v>
      </c>
      <c r="K1306" s="20">
        <v>1.1499999999999999</v>
      </c>
      <c r="L1306" s="21" t="s">
        <v>28</v>
      </c>
      <c r="M1306" s="22">
        <v>7.1059999999999999</v>
      </c>
      <c r="N1306" s="22">
        <v>0</v>
      </c>
      <c r="O1306" s="22">
        <v>1324.54</v>
      </c>
      <c r="P1306" s="22">
        <f t="shared" si="197"/>
        <v>10824.008425999999</v>
      </c>
      <c r="Q1306" s="22">
        <v>0</v>
      </c>
      <c r="R1306" s="22">
        <f t="shared" si="198"/>
        <v>0</v>
      </c>
      <c r="S1306" s="22">
        <f t="shared" si="199"/>
        <v>10824.008425999999</v>
      </c>
      <c r="T1306" s="23">
        <v>0.55859868298040061</v>
      </c>
      <c r="U1306" s="24">
        <v>0.1</v>
      </c>
      <c r="V1306" s="25">
        <f t="shared" ref="V1306:V1308" si="203">S1306+S1306*T1306+(S1306+S1306*T1306)*U1306</f>
        <v>18557.313805065594</v>
      </c>
      <c r="W1306" s="26" t="s">
        <v>29</v>
      </c>
    </row>
    <row r="1307" spans="1:23" ht="89.25" x14ac:dyDescent="0.25">
      <c r="A1307" s="17">
        <f t="shared" ca="1" si="200"/>
        <v>1303</v>
      </c>
      <c r="B1307" s="18" t="s">
        <v>2503</v>
      </c>
      <c r="C1307" s="18" t="s">
        <v>2636</v>
      </c>
      <c r="D1307" s="18"/>
      <c r="E1307" s="18"/>
      <c r="F1307" s="18"/>
      <c r="G1307" s="18"/>
      <c r="H1307" s="19" t="s">
        <v>2637</v>
      </c>
      <c r="I1307" s="18" t="s">
        <v>161</v>
      </c>
      <c r="J1307" s="20">
        <v>1</v>
      </c>
      <c r="K1307" s="20">
        <v>1.1499999999999999</v>
      </c>
      <c r="L1307" s="21" t="s">
        <v>28</v>
      </c>
      <c r="M1307" s="22">
        <v>6.2889999999999997</v>
      </c>
      <c r="N1307" s="22">
        <v>0</v>
      </c>
      <c r="O1307" s="22">
        <v>1324.54</v>
      </c>
      <c r="P1307" s="22">
        <f t="shared" si="197"/>
        <v>9579.5368689999996</v>
      </c>
      <c r="Q1307" s="22">
        <v>0</v>
      </c>
      <c r="R1307" s="22">
        <f t="shared" si="198"/>
        <v>0</v>
      </c>
      <c r="S1307" s="22">
        <f t="shared" si="199"/>
        <v>9579.5368689999996</v>
      </c>
      <c r="T1307" s="23">
        <v>0.55859868298040061</v>
      </c>
      <c r="U1307" s="24">
        <v>0.1</v>
      </c>
      <c r="V1307" s="25">
        <f t="shared" si="203"/>
        <v>16423.718902344146</v>
      </c>
      <c r="W1307" s="26" t="s">
        <v>29</v>
      </c>
    </row>
    <row r="1308" spans="1:23" ht="89.25" x14ac:dyDescent="0.25">
      <c r="A1308" s="17">
        <f t="shared" ca="1" si="200"/>
        <v>1304</v>
      </c>
      <c r="B1308" s="18" t="s">
        <v>2503</v>
      </c>
      <c r="C1308" s="18" t="s">
        <v>2638</v>
      </c>
      <c r="D1308" s="18"/>
      <c r="E1308" s="18"/>
      <c r="F1308" s="18"/>
      <c r="G1308" s="18"/>
      <c r="H1308" s="19" t="s">
        <v>2639</v>
      </c>
      <c r="I1308" s="18" t="s">
        <v>161</v>
      </c>
      <c r="J1308" s="20">
        <v>1</v>
      </c>
      <c r="K1308" s="20">
        <v>1.1499999999999999</v>
      </c>
      <c r="L1308" s="21" t="s">
        <v>28</v>
      </c>
      <c r="M1308" s="22">
        <v>84.521499999999989</v>
      </c>
      <c r="N1308" s="22">
        <v>0</v>
      </c>
      <c r="O1308" s="22">
        <v>1324.54</v>
      </c>
      <c r="P1308" s="22">
        <f t="shared" si="197"/>
        <v>128744.92375149997</v>
      </c>
      <c r="Q1308" s="22">
        <v>0</v>
      </c>
      <c r="R1308" s="22">
        <f t="shared" si="198"/>
        <v>0</v>
      </c>
      <c r="S1308" s="22">
        <f t="shared" si="199"/>
        <v>128744.92375149997</v>
      </c>
      <c r="T1308" s="23">
        <v>0.55859868298040061</v>
      </c>
      <c r="U1308" s="24">
        <v>0.1</v>
      </c>
      <c r="V1308" s="25">
        <f t="shared" si="203"/>
        <v>220727.83545944994</v>
      </c>
      <c r="W1308" s="26" t="s">
        <v>29</v>
      </c>
    </row>
    <row r="1309" spans="1:23" x14ac:dyDescent="0.25">
      <c r="A1309" s="12">
        <f t="shared" ca="1" si="200"/>
        <v>1305</v>
      </c>
      <c r="B1309" s="32" t="s">
        <v>2503</v>
      </c>
      <c r="C1309" s="32" t="s">
        <v>2640</v>
      </c>
      <c r="D1309" s="32"/>
      <c r="E1309" s="32"/>
      <c r="F1309" s="32"/>
      <c r="G1309" s="32"/>
      <c r="H1309" s="31" t="s">
        <v>2641</v>
      </c>
      <c r="I1309" s="32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27"/>
      <c r="U1309" s="16"/>
      <c r="V1309" s="13"/>
      <c r="W1309" s="13"/>
    </row>
    <row r="1310" spans="1:23" ht="89.25" x14ac:dyDescent="0.25">
      <c r="A1310" s="17">
        <f t="shared" ca="1" si="200"/>
        <v>1306</v>
      </c>
      <c r="B1310" s="18" t="s">
        <v>2503</v>
      </c>
      <c r="C1310" s="18" t="s">
        <v>2642</v>
      </c>
      <c r="D1310" s="18"/>
      <c r="E1310" s="18"/>
      <c r="F1310" s="18"/>
      <c r="G1310" s="18"/>
      <c r="H1310" s="19" t="s">
        <v>2643</v>
      </c>
      <c r="I1310" s="18" t="s">
        <v>104</v>
      </c>
      <c r="J1310" s="20">
        <v>1</v>
      </c>
      <c r="K1310" s="20">
        <v>1.1499999999999999</v>
      </c>
      <c r="L1310" s="21" t="s">
        <v>28</v>
      </c>
      <c r="M1310" s="22">
        <v>1.2349999999999999</v>
      </c>
      <c r="N1310" s="22">
        <v>0</v>
      </c>
      <c r="O1310" s="22">
        <v>1324.54</v>
      </c>
      <c r="P1310" s="22">
        <f t="shared" si="197"/>
        <v>1881.1779349999997</v>
      </c>
      <c r="Q1310" s="22">
        <v>0</v>
      </c>
      <c r="R1310" s="22">
        <f t="shared" si="198"/>
        <v>0</v>
      </c>
      <c r="S1310" s="22">
        <f t="shared" si="199"/>
        <v>1881.1779349999997</v>
      </c>
      <c r="T1310" s="23">
        <v>0.55859868298040061</v>
      </c>
      <c r="U1310" s="24">
        <v>0.1</v>
      </c>
      <c r="V1310" s="25">
        <f t="shared" ref="V1310:V1313" si="204">S1310+S1310*T1310+(S1310+S1310*T1310)*U1310</f>
        <v>3225.2015971370679</v>
      </c>
      <c r="W1310" s="26" t="s">
        <v>29</v>
      </c>
    </row>
    <row r="1311" spans="1:23" ht="89.25" x14ac:dyDescent="0.25">
      <c r="A1311" s="17">
        <f t="shared" ca="1" si="200"/>
        <v>1307</v>
      </c>
      <c r="B1311" s="18" t="s">
        <v>2503</v>
      </c>
      <c r="C1311" s="18" t="s">
        <v>2644</v>
      </c>
      <c r="D1311" s="18"/>
      <c r="E1311" s="18"/>
      <c r="F1311" s="18"/>
      <c r="G1311" s="18"/>
      <c r="H1311" s="19" t="s">
        <v>2645</v>
      </c>
      <c r="I1311" s="18" t="s">
        <v>2550</v>
      </c>
      <c r="J1311" s="20">
        <v>1</v>
      </c>
      <c r="K1311" s="20">
        <v>1.1499999999999999</v>
      </c>
      <c r="L1311" s="21" t="s">
        <v>28</v>
      </c>
      <c r="M1311" s="22">
        <v>2.4319999999999999</v>
      </c>
      <c r="N1311" s="22">
        <v>0</v>
      </c>
      <c r="O1311" s="22">
        <v>1324.54</v>
      </c>
      <c r="P1311" s="22">
        <f t="shared" si="197"/>
        <v>3704.4734719999992</v>
      </c>
      <c r="Q1311" s="22">
        <v>0</v>
      </c>
      <c r="R1311" s="22">
        <f t="shared" si="198"/>
        <v>0</v>
      </c>
      <c r="S1311" s="22">
        <f t="shared" si="199"/>
        <v>3704.4734719999992</v>
      </c>
      <c r="T1311" s="23">
        <v>0.55859868298040061</v>
      </c>
      <c r="U1311" s="24">
        <v>0.1</v>
      </c>
      <c r="V1311" s="25">
        <f t="shared" si="204"/>
        <v>6351.1662220545331</v>
      </c>
      <c r="W1311" s="26" t="s">
        <v>29</v>
      </c>
    </row>
    <row r="1312" spans="1:23" ht="89.25" x14ac:dyDescent="0.25">
      <c r="A1312" s="17">
        <f t="shared" ca="1" si="200"/>
        <v>1308</v>
      </c>
      <c r="B1312" s="18" t="s">
        <v>2503</v>
      </c>
      <c r="C1312" s="18" t="s">
        <v>2646</v>
      </c>
      <c r="D1312" s="18"/>
      <c r="E1312" s="18"/>
      <c r="F1312" s="18"/>
      <c r="G1312" s="18"/>
      <c r="H1312" s="19" t="s">
        <v>2647</v>
      </c>
      <c r="I1312" s="18" t="s">
        <v>2550</v>
      </c>
      <c r="J1312" s="20">
        <v>1</v>
      </c>
      <c r="K1312" s="20">
        <v>1.1499999999999999</v>
      </c>
      <c r="L1312" s="21" t="s">
        <v>28</v>
      </c>
      <c r="M1312" s="22">
        <v>22.980499999999999</v>
      </c>
      <c r="N1312" s="22">
        <v>0</v>
      </c>
      <c r="O1312" s="22">
        <v>1324.54</v>
      </c>
      <c r="P1312" s="22">
        <f t="shared" si="197"/>
        <v>35004.3801905</v>
      </c>
      <c r="Q1312" s="22">
        <v>0</v>
      </c>
      <c r="R1312" s="22">
        <f t="shared" si="198"/>
        <v>0</v>
      </c>
      <c r="S1312" s="22">
        <f t="shared" si="199"/>
        <v>35004.3801905</v>
      </c>
      <c r="T1312" s="23">
        <v>0.55859868298040061</v>
      </c>
      <c r="U1312" s="24">
        <v>0.1</v>
      </c>
      <c r="V1312" s="25">
        <f t="shared" si="204"/>
        <v>60013.558949804377</v>
      </c>
      <c r="W1312" s="26" t="s">
        <v>29</v>
      </c>
    </row>
    <row r="1313" spans="1:23" ht="89.25" x14ac:dyDescent="0.25">
      <c r="A1313" s="17">
        <f t="shared" ca="1" si="200"/>
        <v>1309</v>
      </c>
      <c r="B1313" s="18" t="s">
        <v>2503</v>
      </c>
      <c r="C1313" s="18" t="s">
        <v>2648</v>
      </c>
      <c r="D1313" s="18"/>
      <c r="E1313" s="18"/>
      <c r="F1313" s="18"/>
      <c r="G1313" s="18"/>
      <c r="H1313" s="19" t="s">
        <v>2649</v>
      </c>
      <c r="I1313" s="18" t="s">
        <v>2550</v>
      </c>
      <c r="J1313" s="20">
        <v>1</v>
      </c>
      <c r="K1313" s="20">
        <v>1.1499999999999999</v>
      </c>
      <c r="L1313" s="21" t="s">
        <v>28</v>
      </c>
      <c r="M1313" s="22">
        <v>56.790999999999997</v>
      </c>
      <c r="N1313" s="22">
        <v>0</v>
      </c>
      <c r="O1313" s="22">
        <v>1324.54</v>
      </c>
      <c r="P1313" s="22">
        <f t="shared" si="197"/>
        <v>86505.243810999978</v>
      </c>
      <c r="Q1313" s="22">
        <v>0</v>
      </c>
      <c r="R1313" s="22">
        <f t="shared" si="198"/>
        <v>0</v>
      </c>
      <c r="S1313" s="22">
        <f t="shared" si="199"/>
        <v>86505.243810999978</v>
      </c>
      <c r="T1313" s="23">
        <v>0.55859868298040061</v>
      </c>
      <c r="U1313" s="24">
        <v>0.1</v>
      </c>
      <c r="V1313" s="25">
        <f t="shared" si="204"/>
        <v>148309.65498219532</v>
      </c>
      <c r="W1313" s="26" t="s">
        <v>29</v>
      </c>
    </row>
    <row r="1314" spans="1:23" x14ac:dyDescent="0.25">
      <c r="A1314" s="12">
        <f t="shared" ca="1" si="200"/>
        <v>1310</v>
      </c>
      <c r="B1314" s="32" t="s">
        <v>2503</v>
      </c>
      <c r="C1314" s="32" t="s">
        <v>2650</v>
      </c>
      <c r="D1314" s="32"/>
      <c r="E1314" s="32"/>
      <c r="F1314" s="32"/>
      <c r="G1314" s="32"/>
      <c r="H1314" s="31" t="s">
        <v>2651</v>
      </c>
      <c r="I1314" s="32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27"/>
      <c r="U1314" s="16"/>
      <c r="V1314" s="13"/>
      <c r="W1314" s="13"/>
    </row>
    <row r="1315" spans="1:23" ht="89.25" x14ac:dyDescent="0.25">
      <c r="A1315" s="17">
        <f t="shared" ca="1" si="200"/>
        <v>1311</v>
      </c>
      <c r="B1315" s="18" t="s">
        <v>2503</v>
      </c>
      <c r="C1315" s="18" t="s">
        <v>2652</v>
      </c>
      <c r="D1315" s="18"/>
      <c r="E1315" s="18"/>
      <c r="F1315" s="18"/>
      <c r="G1315" s="18"/>
      <c r="H1315" s="19" t="s">
        <v>2653</v>
      </c>
      <c r="I1315" s="18" t="s">
        <v>161</v>
      </c>
      <c r="J1315" s="20">
        <v>1</v>
      </c>
      <c r="K1315" s="20">
        <v>1.1499999999999999</v>
      </c>
      <c r="L1315" s="21" t="s">
        <v>28</v>
      </c>
      <c r="M1315" s="22">
        <v>16.358999999999998</v>
      </c>
      <c r="N1315" s="22">
        <v>0</v>
      </c>
      <c r="O1315" s="22">
        <v>1324.54</v>
      </c>
      <c r="P1315" s="22">
        <f t="shared" si="197"/>
        <v>24918.372338999994</v>
      </c>
      <c r="Q1315" s="22">
        <v>0</v>
      </c>
      <c r="R1315" s="22">
        <f t="shared" si="198"/>
        <v>0</v>
      </c>
      <c r="S1315" s="22">
        <f t="shared" si="199"/>
        <v>24918.372338999994</v>
      </c>
      <c r="T1315" s="23">
        <v>0.55859868298040061</v>
      </c>
      <c r="U1315" s="24">
        <v>0.1</v>
      </c>
      <c r="V1315" s="25">
        <f t="shared" ref="V1315:V1325" si="205">S1315+S1315*T1315+(S1315+S1315*T1315)*U1315</f>
        <v>42721.516540538702</v>
      </c>
      <c r="W1315" s="26" t="s">
        <v>29</v>
      </c>
    </row>
    <row r="1316" spans="1:23" ht="89.25" x14ac:dyDescent="0.25">
      <c r="A1316" s="17">
        <f t="shared" ca="1" si="200"/>
        <v>1312</v>
      </c>
      <c r="B1316" s="18" t="s">
        <v>2503</v>
      </c>
      <c r="C1316" s="18" t="s">
        <v>2654</v>
      </c>
      <c r="D1316" s="18"/>
      <c r="E1316" s="18"/>
      <c r="F1316" s="18"/>
      <c r="G1316" s="18"/>
      <c r="H1316" s="19" t="s">
        <v>2655</v>
      </c>
      <c r="I1316" s="18" t="s">
        <v>161</v>
      </c>
      <c r="J1316" s="20">
        <v>1</v>
      </c>
      <c r="K1316" s="20">
        <v>1.1499999999999999</v>
      </c>
      <c r="L1316" s="21" t="s">
        <v>28</v>
      </c>
      <c r="M1316" s="22">
        <v>37.809999999999995</v>
      </c>
      <c r="N1316" s="22">
        <v>0</v>
      </c>
      <c r="O1316" s="22">
        <v>1324.54</v>
      </c>
      <c r="P1316" s="22">
        <f t="shared" si="197"/>
        <v>57592.986009999986</v>
      </c>
      <c r="Q1316" s="22">
        <v>0</v>
      </c>
      <c r="R1316" s="22">
        <f t="shared" si="198"/>
        <v>0</v>
      </c>
      <c r="S1316" s="22">
        <f t="shared" si="199"/>
        <v>57592.986009999986</v>
      </c>
      <c r="T1316" s="23">
        <v>0.55859868298040061</v>
      </c>
      <c r="U1316" s="24">
        <v>0.1</v>
      </c>
      <c r="V1316" s="25">
        <f t="shared" si="205"/>
        <v>98740.78735850408</v>
      </c>
      <c r="W1316" s="26" t="s">
        <v>29</v>
      </c>
    </row>
    <row r="1317" spans="1:23" ht="89.25" x14ac:dyDescent="0.25">
      <c r="A1317" s="17">
        <f t="shared" ca="1" si="200"/>
        <v>1313</v>
      </c>
      <c r="B1317" s="18" t="s">
        <v>2503</v>
      </c>
      <c r="C1317" s="18" t="s">
        <v>2656</v>
      </c>
      <c r="D1317" s="18"/>
      <c r="E1317" s="18"/>
      <c r="F1317" s="18"/>
      <c r="G1317" s="18"/>
      <c r="H1317" s="19" t="s">
        <v>2657</v>
      </c>
      <c r="I1317" s="18" t="s">
        <v>161</v>
      </c>
      <c r="J1317" s="20">
        <v>1</v>
      </c>
      <c r="K1317" s="20">
        <v>1.1499999999999999</v>
      </c>
      <c r="L1317" s="21" t="s">
        <v>28</v>
      </c>
      <c r="M1317" s="22">
        <v>2.8499999999999996</v>
      </c>
      <c r="N1317" s="22">
        <v>0</v>
      </c>
      <c r="O1317" s="22">
        <v>1324.54</v>
      </c>
      <c r="P1317" s="22">
        <f t="shared" si="197"/>
        <v>4341.1798499999986</v>
      </c>
      <c r="Q1317" s="22">
        <v>0</v>
      </c>
      <c r="R1317" s="22">
        <f t="shared" si="198"/>
        <v>0</v>
      </c>
      <c r="S1317" s="22">
        <f t="shared" si="199"/>
        <v>4341.1798499999986</v>
      </c>
      <c r="T1317" s="23">
        <v>0.55859868298040061</v>
      </c>
      <c r="U1317" s="24">
        <v>0.1</v>
      </c>
      <c r="V1317" s="25">
        <f t="shared" si="205"/>
        <v>7442.7729164701568</v>
      </c>
      <c r="W1317" s="26" t="s">
        <v>29</v>
      </c>
    </row>
    <row r="1318" spans="1:23" ht="89.25" x14ac:dyDescent="0.25">
      <c r="A1318" s="17">
        <f t="shared" ca="1" si="200"/>
        <v>1314</v>
      </c>
      <c r="B1318" s="18" t="s">
        <v>2503</v>
      </c>
      <c r="C1318" s="18" t="s">
        <v>2658</v>
      </c>
      <c r="D1318" s="18"/>
      <c r="E1318" s="18"/>
      <c r="F1318" s="18"/>
      <c r="G1318" s="18"/>
      <c r="H1318" s="19" t="s">
        <v>2659</v>
      </c>
      <c r="I1318" s="18" t="s">
        <v>161</v>
      </c>
      <c r="J1318" s="20">
        <v>1</v>
      </c>
      <c r="K1318" s="20">
        <v>1.1499999999999999</v>
      </c>
      <c r="L1318" s="21" t="s">
        <v>28</v>
      </c>
      <c r="M1318" s="22">
        <v>6.8969999999999994</v>
      </c>
      <c r="N1318" s="22">
        <v>0</v>
      </c>
      <c r="O1318" s="22">
        <v>1324.54</v>
      </c>
      <c r="P1318" s="22">
        <f t="shared" si="197"/>
        <v>10505.655236999997</v>
      </c>
      <c r="Q1318" s="22">
        <v>0</v>
      </c>
      <c r="R1318" s="22">
        <f t="shared" si="198"/>
        <v>0</v>
      </c>
      <c r="S1318" s="22">
        <f t="shared" si="199"/>
        <v>10505.655236999997</v>
      </c>
      <c r="T1318" s="23">
        <v>0.55859868298040061</v>
      </c>
      <c r="U1318" s="24">
        <v>0.1</v>
      </c>
      <c r="V1318" s="25">
        <f t="shared" si="205"/>
        <v>18011.510457857781</v>
      </c>
      <c r="W1318" s="26" t="s">
        <v>29</v>
      </c>
    </row>
    <row r="1319" spans="1:23" ht="89.25" x14ac:dyDescent="0.25">
      <c r="A1319" s="17">
        <f t="shared" ca="1" si="200"/>
        <v>1315</v>
      </c>
      <c r="B1319" s="18" t="s">
        <v>2503</v>
      </c>
      <c r="C1319" s="18" t="s">
        <v>2660</v>
      </c>
      <c r="D1319" s="18"/>
      <c r="E1319" s="18"/>
      <c r="F1319" s="18"/>
      <c r="G1319" s="18"/>
      <c r="H1319" s="19" t="s">
        <v>2661</v>
      </c>
      <c r="I1319" s="18" t="s">
        <v>161</v>
      </c>
      <c r="J1319" s="20">
        <v>1</v>
      </c>
      <c r="K1319" s="20">
        <v>1.1499999999999999</v>
      </c>
      <c r="L1319" s="21" t="s">
        <v>28</v>
      </c>
      <c r="M1319" s="22">
        <v>10.269500000000001</v>
      </c>
      <c r="N1319" s="22">
        <v>0</v>
      </c>
      <c r="O1319" s="22">
        <v>1324.54</v>
      </c>
      <c r="P1319" s="22">
        <f t="shared" si="197"/>
        <v>15642.718059499999</v>
      </c>
      <c r="Q1319" s="22">
        <v>0</v>
      </c>
      <c r="R1319" s="22">
        <f t="shared" si="198"/>
        <v>0</v>
      </c>
      <c r="S1319" s="22">
        <f t="shared" si="199"/>
        <v>15642.718059499999</v>
      </c>
      <c r="T1319" s="23">
        <v>0.55859868298040061</v>
      </c>
      <c r="U1319" s="24">
        <v>0.1</v>
      </c>
      <c r="V1319" s="25">
        <f t="shared" si="205"/>
        <v>26818.791742347465</v>
      </c>
      <c r="W1319" s="26" t="s">
        <v>29</v>
      </c>
    </row>
    <row r="1320" spans="1:23" ht="89.25" x14ac:dyDescent="0.25">
      <c r="A1320" s="17">
        <f t="shared" ca="1" si="200"/>
        <v>1316</v>
      </c>
      <c r="B1320" s="18" t="s">
        <v>2503</v>
      </c>
      <c r="C1320" s="18" t="s">
        <v>2662</v>
      </c>
      <c r="D1320" s="18"/>
      <c r="E1320" s="18"/>
      <c r="F1320" s="18"/>
      <c r="G1320" s="18"/>
      <c r="H1320" s="19" t="s">
        <v>2663</v>
      </c>
      <c r="I1320" s="18" t="s">
        <v>161</v>
      </c>
      <c r="J1320" s="20">
        <v>1</v>
      </c>
      <c r="K1320" s="20">
        <v>1.1499999999999999</v>
      </c>
      <c r="L1320" s="21" t="s">
        <v>28</v>
      </c>
      <c r="M1320" s="22">
        <v>2.698</v>
      </c>
      <c r="N1320" s="22">
        <v>0</v>
      </c>
      <c r="O1320" s="22">
        <v>1324.54</v>
      </c>
      <c r="P1320" s="22">
        <f t="shared" si="197"/>
        <v>4109.6502579999997</v>
      </c>
      <c r="Q1320" s="22">
        <v>0</v>
      </c>
      <c r="R1320" s="22">
        <f t="shared" si="198"/>
        <v>0</v>
      </c>
      <c r="S1320" s="22">
        <f t="shared" si="199"/>
        <v>4109.6502579999997</v>
      </c>
      <c r="T1320" s="23">
        <v>0.55859868298040061</v>
      </c>
      <c r="U1320" s="24">
        <v>0.1</v>
      </c>
      <c r="V1320" s="25">
        <f t="shared" si="205"/>
        <v>7045.8250275917499</v>
      </c>
      <c r="W1320" s="26" t="s">
        <v>29</v>
      </c>
    </row>
    <row r="1321" spans="1:23" ht="89.25" x14ac:dyDescent="0.25">
      <c r="A1321" s="17">
        <f t="shared" ca="1" si="200"/>
        <v>1317</v>
      </c>
      <c r="B1321" s="18" t="s">
        <v>2503</v>
      </c>
      <c r="C1321" s="18" t="s">
        <v>2664</v>
      </c>
      <c r="D1321" s="18"/>
      <c r="E1321" s="18"/>
      <c r="F1321" s="18"/>
      <c r="G1321" s="18"/>
      <c r="H1321" s="19" t="s">
        <v>2665</v>
      </c>
      <c r="I1321" s="18" t="s">
        <v>161</v>
      </c>
      <c r="J1321" s="20">
        <v>1</v>
      </c>
      <c r="K1321" s="20">
        <v>1.1499999999999999</v>
      </c>
      <c r="L1321" s="21" t="s">
        <v>28</v>
      </c>
      <c r="M1321" s="22">
        <v>6.6784999999999997</v>
      </c>
      <c r="N1321" s="22">
        <v>0</v>
      </c>
      <c r="O1321" s="22">
        <v>1324.54</v>
      </c>
      <c r="P1321" s="22">
        <f t="shared" si="197"/>
        <v>10172.831448499999</v>
      </c>
      <c r="Q1321" s="22">
        <v>0</v>
      </c>
      <c r="R1321" s="22">
        <f t="shared" si="198"/>
        <v>0</v>
      </c>
      <c r="S1321" s="22">
        <f t="shared" si="199"/>
        <v>10172.831448499999</v>
      </c>
      <c r="T1321" s="23">
        <v>0.55859868298040061</v>
      </c>
      <c r="U1321" s="24">
        <v>0.1</v>
      </c>
      <c r="V1321" s="25">
        <f t="shared" si="205"/>
        <v>17440.897867595071</v>
      </c>
      <c r="W1321" s="26" t="s">
        <v>29</v>
      </c>
    </row>
    <row r="1322" spans="1:23" ht="89.25" x14ac:dyDescent="0.25">
      <c r="A1322" s="17">
        <f t="shared" ca="1" si="200"/>
        <v>1318</v>
      </c>
      <c r="B1322" s="18" t="s">
        <v>2503</v>
      </c>
      <c r="C1322" s="18" t="s">
        <v>2666</v>
      </c>
      <c r="D1322" s="18"/>
      <c r="E1322" s="18"/>
      <c r="F1322" s="18"/>
      <c r="G1322" s="18"/>
      <c r="H1322" s="19" t="s">
        <v>2667</v>
      </c>
      <c r="I1322" s="18" t="s">
        <v>161</v>
      </c>
      <c r="J1322" s="20">
        <v>1</v>
      </c>
      <c r="K1322" s="20">
        <v>1.1499999999999999</v>
      </c>
      <c r="L1322" s="21" t="s">
        <v>28</v>
      </c>
      <c r="M1322" s="22">
        <v>3.1539999999999999</v>
      </c>
      <c r="N1322" s="22">
        <v>0</v>
      </c>
      <c r="O1322" s="22">
        <v>1324.54</v>
      </c>
      <c r="P1322" s="22">
        <f t="shared" si="197"/>
        <v>4804.2390339999993</v>
      </c>
      <c r="Q1322" s="22">
        <v>0</v>
      </c>
      <c r="R1322" s="22">
        <f t="shared" si="198"/>
        <v>0</v>
      </c>
      <c r="S1322" s="22">
        <f t="shared" si="199"/>
        <v>4804.2390339999993</v>
      </c>
      <c r="T1322" s="23">
        <v>0.55859868298040061</v>
      </c>
      <c r="U1322" s="24">
        <v>0.1</v>
      </c>
      <c r="V1322" s="25">
        <f t="shared" si="205"/>
        <v>8236.6686942269735</v>
      </c>
      <c r="W1322" s="26" t="s">
        <v>29</v>
      </c>
    </row>
    <row r="1323" spans="1:23" ht="89.25" x14ac:dyDescent="0.25">
      <c r="A1323" s="17">
        <f t="shared" ca="1" si="200"/>
        <v>1319</v>
      </c>
      <c r="B1323" s="18" t="s">
        <v>2503</v>
      </c>
      <c r="C1323" s="18" t="s">
        <v>2668</v>
      </c>
      <c r="D1323" s="18"/>
      <c r="E1323" s="18"/>
      <c r="F1323" s="18"/>
      <c r="G1323" s="18"/>
      <c r="H1323" s="19" t="s">
        <v>2669</v>
      </c>
      <c r="I1323" s="18" t="s">
        <v>161</v>
      </c>
      <c r="J1323" s="20">
        <v>1</v>
      </c>
      <c r="K1323" s="20">
        <v>1.1499999999999999</v>
      </c>
      <c r="L1323" s="21" t="s">
        <v>28</v>
      </c>
      <c r="M1323" s="22">
        <v>1.9664999999999997</v>
      </c>
      <c r="N1323" s="22">
        <v>0</v>
      </c>
      <c r="O1323" s="22">
        <v>1324.54</v>
      </c>
      <c r="P1323" s="22">
        <f t="shared" si="197"/>
        <v>2995.4140964999992</v>
      </c>
      <c r="Q1323" s="22">
        <v>0</v>
      </c>
      <c r="R1323" s="22">
        <f t="shared" si="198"/>
        <v>0</v>
      </c>
      <c r="S1323" s="22">
        <f t="shared" si="199"/>
        <v>2995.4140964999992</v>
      </c>
      <c r="T1323" s="23">
        <v>0.55859868298040061</v>
      </c>
      <c r="U1323" s="24">
        <v>0.1</v>
      </c>
      <c r="V1323" s="25">
        <f t="shared" si="205"/>
        <v>5135.5133123644082</v>
      </c>
      <c r="W1323" s="26" t="s">
        <v>29</v>
      </c>
    </row>
    <row r="1324" spans="1:23" ht="89.25" x14ac:dyDescent="0.25">
      <c r="A1324" s="17">
        <f t="shared" ca="1" si="200"/>
        <v>1320</v>
      </c>
      <c r="B1324" s="18" t="s">
        <v>2503</v>
      </c>
      <c r="C1324" s="18" t="s">
        <v>2670</v>
      </c>
      <c r="D1324" s="18"/>
      <c r="E1324" s="18"/>
      <c r="F1324" s="18"/>
      <c r="G1324" s="18"/>
      <c r="H1324" s="19" t="s">
        <v>2671</v>
      </c>
      <c r="I1324" s="18" t="s">
        <v>161</v>
      </c>
      <c r="J1324" s="20">
        <v>1</v>
      </c>
      <c r="K1324" s="20">
        <v>1.1499999999999999</v>
      </c>
      <c r="L1324" s="21" t="s">
        <v>28</v>
      </c>
      <c r="M1324" s="22">
        <v>1.9474999999999998</v>
      </c>
      <c r="N1324" s="22">
        <v>0</v>
      </c>
      <c r="O1324" s="22">
        <v>1324.54</v>
      </c>
      <c r="P1324" s="22">
        <f t="shared" si="197"/>
        <v>2966.4728974999994</v>
      </c>
      <c r="Q1324" s="22">
        <v>0</v>
      </c>
      <c r="R1324" s="22">
        <f t="shared" si="198"/>
        <v>0</v>
      </c>
      <c r="S1324" s="22">
        <f t="shared" si="199"/>
        <v>2966.4728974999994</v>
      </c>
      <c r="T1324" s="23">
        <v>0.55859868298040061</v>
      </c>
      <c r="U1324" s="24">
        <v>0.1</v>
      </c>
      <c r="V1324" s="25">
        <f t="shared" si="205"/>
        <v>5085.8948262546073</v>
      </c>
      <c r="W1324" s="26" t="s">
        <v>29</v>
      </c>
    </row>
    <row r="1325" spans="1:23" ht="89.25" x14ac:dyDescent="0.25">
      <c r="A1325" s="17">
        <f t="shared" ca="1" si="200"/>
        <v>1321</v>
      </c>
      <c r="B1325" s="18" t="s">
        <v>2503</v>
      </c>
      <c r="C1325" s="18" t="s">
        <v>2672</v>
      </c>
      <c r="D1325" s="18"/>
      <c r="E1325" s="18"/>
      <c r="F1325" s="18"/>
      <c r="G1325" s="18"/>
      <c r="H1325" s="19" t="s">
        <v>2673</v>
      </c>
      <c r="I1325" s="18" t="s">
        <v>161</v>
      </c>
      <c r="J1325" s="20">
        <v>1</v>
      </c>
      <c r="K1325" s="20">
        <v>1.1499999999999999</v>
      </c>
      <c r="L1325" s="21" t="s">
        <v>28</v>
      </c>
      <c r="M1325" s="22">
        <v>5.2249999999999996</v>
      </c>
      <c r="N1325" s="22">
        <v>0</v>
      </c>
      <c r="O1325" s="22">
        <v>1324.54</v>
      </c>
      <c r="P1325" s="22">
        <f t="shared" si="197"/>
        <v>7958.8297249999987</v>
      </c>
      <c r="Q1325" s="22">
        <v>0</v>
      </c>
      <c r="R1325" s="22">
        <f t="shared" si="198"/>
        <v>0</v>
      </c>
      <c r="S1325" s="22">
        <f t="shared" si="199"/>
        <v>7958.8297249999987</v>
      </c>
      <c r="T1325" s="23">
        <v>0.55859868298040061</v>
      </c>
      <c r="U1325" s="24">
        <v>0.1</v>
      </c>
      <c r="V1325" s="25">
        <f t="shared" si="205"/>
        <v>13645.083680195286</v>
      </c>
      <c r="W1325" s="26" t="s">
        <v>29</v>
      </c>
    </row>
    <row r="1326" spans="1:23" x14ac:dyDescent="0.25">
      <c r="A1326" s="28">
        <f t="shared" ca="1" si="200"/>
        <v>1322</v>
      </c>
      <c r="B1326" s="9" t="s">
        <v>2503</v>
      </c>
      <c r="C1326" s="9" t="s">
        <v>2674</v>
      </c>
      <c r="D1326" s="9"/>
      <c r="E1326" s="9"/>
      <c r="F1326" s="9"/>
      <c r="G1326" s="9"/>
      <c r="H1326" s="10" t="s">
        <v>2675</v>
      </c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29"/>
      <c r="U1326" s="11"/>
      <c r="V1326" s="9"/>
      <c r="W1326" s="9"/>
    </row>
    <row r="1327" spans="1:23" x14ac:dyDescent="0.25">
      <c r="A1327" s="12">
        <f t="shared" ca="1" si="200"/>
        <v>1323</v>
      </c>
      <c r="B1327" s="32" t="s">
        <v>2503</v>
      </c>
      <c r="C1327" s="32" t="s">
        <v>2676</v>
      </c>
      <c r="D1327" s="32"/>
      <c r="E1327" s="32"/>
      <c r="F1327" s="32"/>
      <c r="G1327" s="32"/>
      <c r="H1327" s="31" t="s">
        <v>2677</v>
      </c>
      <c r="I1327" s="32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27"/>
      <c r="U1327" s="16"/>
      <c r="V1327" s="13"/>
      <c r="W1327" s="13"/>
    </row>
    <row r="1328" spans="1:23" ht="89.25" x14ac:dyDescent="0.25">
      <c r="A1328" s="17">
        <f t="shared" ca="1" si="200"/>
        <v>1324</v>
      </c>
      <c r="B1328" s="18" t="s">
        <v>2503</v>
      </c>
      <c r="C1328" s="18" t="s">
        <v>2678</v>
      </c>
      <c r="D1328" s="18"/>
      <c r="E1328" s="18"/>
      <c r="F1328" s="18"/>
      <c r="G1328" s="18"/>
      <c r="H1328" s="19" t="s">
        <v>2677</v>
      </c>
      <c r="I1328" s="18" t="s">
        <v>2679</v>
      </c>
      <c r="J1328" s="20">
        <v>1</v>
      </c>
      <c r="K1328" s="20">
        <v>1.1499999999999999</v>
      </c>
      <c r="L1328" s="21" t="s">
        <v>28</v>
      </c>
      <c r="M1328" s="22">
        <v>3.8</v>
      </c>
      <c r="N1328" s="22">
        <v>0</v>
      </c>
      <c r="O1328" s="22">
        <v>1324.54</v>
      </c>
      <c r="P1328" s="22">
        <f t="shared" si="197"/>
        <v>5788.2397999999994</v>
      </c>
      <c r="Q1328" s="22">
        <v>0</v>
      </c>
      <c r="R1328" s="22">
        <f t="shared" si="198"/>
        <v>0</v>
      </c>
      <c r="S1328" s="22">
        <f t="shared" si="199"/>
        <v>5788.2397999999994</v>
      </c>
      <c r="T1328" s="23">
        <v>0.55859868298040061</v>
      </c>
      <c r="U1328" s="24">
        <v>0.1</v>
      </c>
      <c r="V1328" s="25">
        <f t="shared" ref="V1328:V1331" si="206">S1328+S1328*T1328+(S1328+S1328*T1328)*U1328</f>
        <v>9923.6972219602103</v>
      </c>
      <c r="W1328" s="26" t="s">
        <v>29</v>
      </c>
    </row>
    <row r="1329" spans="1:23" ht="89.25" x14ac:dyDescent="0.25">
      <c r="A1329" s="17">
        <f t="shared" ca="1" si="200"/>
        <v>1325</v>
      </c>
      <c r="B1329" s="18" t="s">
        <v>2503</v>
      </c>
      <c r="C1329" s="18" t="s">
        <v>2680</v>
      </c>
      <c r="D1329" s="18"/>
      <c r="E1329" s="18"/>
      <c r="F1329" s="18"/>
      <c r="G1329" s="18"/>
      <c r="H1329" s="19" t="s">
        <v>2681</v>
      </c>
      <c r="I1329" s="18" t="s">
        <v>2679</v>
      </c>
      <c r="J1329" s="20">
        <v>1</v>
      </c>
      <c r="K1329" s="20">
        <v>1.1499999999999999</v>
      </c>
      <c r="L1329" s="21" t="s">
        <v>28</v>
      </c>
      <c r="M1329" s="22">
        <v>1.9</v>
      </c>
      <c r="N1329" s="22">
        <v>0</v>
      </c>
      <c r="O1329" s="22">
        <v>1324.54</v>
      </c>
      <c r="P1329" s="22">
        <f t="shared" si="197"/>
        <v>2894.1198999999997</v>
      </c>
      <c r="Q1329" s="22">
        <v>0</v>
      </c>
      <c r="R1329" s="22">
        <f t="shared" si="198"/>
        <v>0</v>
      </c>
      <c r="S1329" s="22">
        <f t="shared" si="199"/>
        <v>2894.1198999999997</v>
      </c>
      <c r="T1329" s="23">
        <v>0.55859868298040061</v>
      </c>
      <c r="U1329" s="24">
        <v>0.1</v>
      </c>
      <c r="V1329" s="25">
        <f t="shared" si="206"/>
        <v>4961.8486109801051</v>
      </c>
      <c r="W1329" s="26" t="s">
        <v>29</v>
      </c>
    </row>
    <row r="1330" spans="1:23" ht="89.25" x14ac:dyDescent="0.25">
      <c r="A1330" s="17">
        <f t="shared" ca="1" si="200"/>
        <v>1326</v>
      </c>
      <c r="B1330" s="18" t="s">
        <v>2503</v>
      </c>
      <c r="C1330" s="18" t="s">
        <v>2682</v>
      </c>
      <c r="D1330" s="18"/>
      <c r="E1330" s="18"/>
      <c r="F1330" s="18"/>
      <c r="G1330" s="18"/>
      <c r="H1330" s="19" t="s">
        <v>2683</v>
      </c>
      <c r="I1330" s="18" t="s">
        <v>2679</v>
      </c>
      <c r="J1330" s="20">
        <v>1</v>
      </c>
      <c r="K1330" s="20">
        <v>1.1499999999999999</v>
      </c>
      <c r="L1330" s="21" t="s">
        <v>28</v>
      </c>
      <c r="M1330" s="22">
        <v>0.95</v>
      </c>
      <c r="N1330" s="22">
        <v>0</v>
      </c>
      <c r="O1330" s="22">
        <v>1324.54</v>
      </c>
      <c r="P1330" s="22">
        <f t="shared" si="197"/>
        <v>1447.0599499999998</v>
      </c>
      <c r="Q1330" s="22">
        <v>0</v>
      </c>
      <c r="R1330" s="22">
        <f t="shared" si="198"/>
        <v>0</v>
      </c>
      <c r="S1330" s="22">
        <f t="shared" si="199"/>
        <v>1447.0599499999998</v>
      </c>
      <c r="T1330" s="23">
        <v>0.55859868298040061</v>
      </c>
      <c r="U1330" s="24">
        <v>0.1</v>
      </c>
      <c r="V1330" s="25">
        <f t="shared" si="206"/>
        <v>2480.9243054900526</v>
      </c>
      <c r="W1330" s="26" t="s">
        <v>29</v>
      </c>
    </row>
    <row r="1331" spans="1:23" ht="89.25" x14ac:dyDescent="0.25">
      <c r="A1331" s="17">
        <f t="shared" ca="1" si="200"/>
        <v>1327</v>
      </c>
      <c r="B1331" s="18" t="s">
        <v>2503</v>
      </c>
      <c r="C1331" s="18" t="s">
        <v>2684</v>
      </c>
      <c r="D1331" s="18"/>
      <c r="E1331" s="18"/>
      <c r="F1331" s="18"/>
      <c r="G1331" s="18"/>
      <c r="H1331" s="19" t="s">
        <v>2685</v>
      </c>
      <c r="I1331" s="18" t="s">
        <v>2679</v>
      </c>
      <c r="J1331" s="20">
        <v>1</v>
      </c>
      <c r="K1331" s="20">
        <v>1.1499999999999999</v>
      </c>
      <c r="L1331" s="21" t="s">
        <v>28</v>
      </c>
      <c r="M1331" s="22">
        <v>0.95</v>
      </c>
      <c r="N1331" s="22">
        <v>0</v>
      </c>
      <c r="O1331" s="22">
        <v>1324.54</v>
      </c>
      <c r="P1331" s="22">
        <f t="shared" si="197"/>
        <v>1447.0599499999998</v>
      </c>
      <c r="Q1331" s="22">
        <v>0</v>
      </c>
      <c r="R1331" s="22">
        <f t="shared" si="198"/>
        <v>0</v>
      </c>
      <c r="S1331" s="22">
        <f t="shared" si="199"/>
        <v>1447.0599499999998</v>
      </c>
      <c r="T1331" s="23">
        <v>0.55859868298040061</v>
      </c>
      <c r="U1331" s="24">
        <v>0.1</v>
      </c>
      <c r="V1331" s="25">
        <f t="shared" si="206"/>
        <v>2480.9243054900526</v>
      </c>
      <c r="W1331" s="26" t="s">
        <v>29</v>
      </c>
    </row>
    <row r="1332" spans="1:23" x14ac:dyDescent="0.25">
      <c r="A1332" s="12">
        <f t="shared" ca="1" si="200"/>
        <v>1328</v>
      </c>
      <c r="B1332" s="32" t="s">
        <v>2503</v>
      </c>
      <c r="C1332" s="32" t="s">
        <v>2686</v>
      </c>
      <c r="D1332" s="32"/>
      <c r="E1332" s="32"/>
      <c r="F1332" s="32"/>
      <c r="G1332" s="32"/>
      <c r="H1332" s="31" t="s">
        <v>2687</v>
      </c>
      <c r="I1332" s="32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27"/>
      <c r="U1332" s="16"/>
      <c r="V1332" s="13"/>
      <c r="W1332" s="13"/>
    </row>
    <row r="1333" spans="1:23" ht="89.25" x14ac:dyDescent="0.25">
      <c r="A1333" s="17">
        <f t="shared" ca="1" si="200"/>
        <v>1329</v>
      </c>
      <c r="B1333" s="18" t="s">
        <v>2503</v>
      </c>
      <c r="C1333" s="18" t="s">
        <v>2688</v>
      </c>
      <c r="D1333" s="18"/>
      <c r="E1333" s="18"/>
      <c r="F1333" s="18"/>
      <c r="G1333" s="18"/>
      <c r="H1333" s="19" t="s">
        <v>2687</v>
      </c>
      <c r="I1333" s="18" t="s">
        <v>2679</v>
      </c>
      <c r="J1333" s="20">
        <v>1</v>
      </c>
      <c r="K1333" s="20">
        <v>1.1499999999999999</v>
      </c>
      <c r="L1333" s="21" t="s">
        <v>28</v>
      </c>
      <c r="M1333" s="22">
        <v>3.8</v>
      </c>
      <c r="N1333" s="22">
        <v>0</v>
      </c>
      <c r="O1333" s="22">
        <v>1324.54</v>
      </c>
      <c r="P1333" s="22">
        <f t="shared" si="197"/>
        <v>5788.2397999999994</v>
      </c>
      <c r="Q1333" s="22">
        <v>0</v>
      </c>
      <c r="R1333" s="22">
        <f t="shared" si="198"/>
        <v>0</v>
      </c>
      <c r="S1333" s="22">
        <f t="shared" si="199"/>
        <v>5788.2397999999994</v>
      </c>
      <c r="T1333" s="23">
        <v>0.55859868298040061</v>
      </c>
      <c r="U1333" s="24">
        <v>0.1</v>
      </c>
      <c r="V1333" s="25">
        <f t="shared" ref="V1333:V1336" si="207">S1333+S1333*T1333+(S1333+S1333*T1333)*U1333</f>
        <v>9923.6972219602103</v>
      </c>
      <c r="W1333" s="26" t="s">
        <v>29</v>
      </c>
    </row>
    <row r="1334" spans="1:23" ht="89.25" x14ac:dyDescent="0.25">
      <c r="A1334" s="17">
        <f t="shared" ca="1" si="200"/>
        <v>1330</v>
      </c>
      <c r="B1334" s="18" t="s">
        <v>2503</v>
      </c>
      <c r="C1334" s="18" t="s">
        <v>2689</v>
      </c>
      <c r="D1334" s="18"/>
      <c r="E1334" s="18"/>
      <c r="F1334" s="18"/>
      <c r="G1334" s="18"/>
      <c r="H1334" s="19" t="s">
        <v>2690</v>
      </c>
      <c r="I1334" s="18" t="s">
        <v>2679</v>
      </c>
      <c r="J1334" s="20">
        <v>1</v>
      </c>
      <c r="K1334" s="20">
        <v>1.1499999999999999</v>
      </c>
      <c r="L1334" s="21" t="s">
        <v>28</v>
      </c>
      <c r="M1334" s="22">
        <v>1.9</v>
      </c>
      <c r="N1334" s="22">
        <v>0</v>
      </c>
      <c r="O1334" s="22">
        <v>1324.54</v>
      </c>
      <c r="P1334" s="22">
        <f t="shared" si="197"/>
        <v>2894.1198999999997</v>
      </c>
      <c r="Q1334" s="22">
        <v>0</v>
      </c>
      <c r="R1334" s="22">
        <f t="shared" si="198"/>
        <v>0</v>
      </c>
      <c r="S1334" s="22">
        <f t="shared" si="199"/>
        <v>2894.1198999999997</v>
      </c>
      <c r="T1334" s="23">
        <v>0.55859868298040061</v>
      </c>
      <c r="U1334" s="24">
        <v>0.1</v>
      </c>
      <c r="V1334" s="25">
        <f t="shared" si="207"/>
        <v>4961.8486109801051</v>
      </c>
      <c r="W1334" s="26" t="s">
        <v>29</v>
      </c>
    </row>
    <row r="1335" spans="1:23" ht="89.25" x14ac:dyDescent="0.25">
      <c r="A1335" s="17">
        <f t="shared" ca="1" si="200"/>
        <v>1331</v>
      </c>
      <c r="B1335" s="18" t="s">
        <v>2503</v>
      </c>
      <c r="C1335" s="18" t="s">
        <v>2691</v>
      </c>
      <c r="D1335" s="18"/>
      <c r="E1335" s="18"/>
      <c r="F1335" s="18"/>
      <c r="G1335" s="18"/>
      <c r="H1335" s="19" t="s">
        <v>2692</v>
      </c>
      <c r="I1335" s="18" t="s">
        <v>2679</v>
      </c>
      <c r="J1335" s="20">
        <v>1</v>
      </c>
      <c r="K1335" s="20">
        <v>1.1499999999999999</v>
      </c>
      <c r="L1335" s="21" t="s">
        <v>28</v>
      </c>
      <c r="M1335" s="22">
        <v>0.95</v>
      </c>
      <c r="N1335" s="22">
        <v>0</v>
      </c>
      <c r="O1335" s="22">
        <v>1324.54</v>
      </c>
      <c r="P1335" s="22">
        <f t="shared" si="197"/>
        <v>1447.0599499999998</v>
      </c>
      <c r="Q1335" s="22">
        <v>0</v>
      </c>
      <c r="R1335" s="22">
        <f t="shared" si="198"/>
        <v>0</v>
      </c>
      <c r="S1335" s="22">
        <f t="shared" si="199"/>
        <v>1447.0599499999998</v>
      </c>
      <c r="T1335" s="23">
        <v>0.55859868298040061</v>
      </c>
      <c r="U1335" s="24">
        <v>0.1</v>
      </c>
      <c r="V1335" s="25">
        <f t="shared" si="207"/>
        <v>2480.9243054900526</v>
      </c>
      <c r="W1335" s="26" t="s">
        <v>29</v>
      </c>
    </row>
    <row r="1336" spans="1:23" ht="89.25" x14ac:dyDescent="0.25">
      <c r="A1336" s="17">
        <f t="shared" ca="1" si="200"/>
        <v>1332</v>
      </c>
      <c r="B1336" s="18" t="s">
        <v>2503</v>
      </c>
      <c r="C1336" s="18" t="s">
        <v>2693</v>
      </c>
      <c r="D1336" s="18"/>
      <c r="E1336" s="18"/>
      <c r="F1336" s="18"/>
      <c r="G1336" s="18"/>
      <c r="H1336" s="19" t="s">
        <v>2694</v>
      </c>
      <c r="I1336" s="18" t="s">
        <v>2679</v>
      </c>
      <c r="J1336" s="20">
        <v>1</v>
      </c>
      <c r="K1336" s="20">
        <v>1.1499999999999999</v>
      </c>
      <c r="L1336" s="21" t="s">
        <v>28</v>
      </c>
      <c r="M1336" s="22">
        <v>0.95</v>
      </c>
      <c r="N1336" s="22">
        <v>0</v>
      </c>
      <c r="O1336" s="22">
        <v>1324.54</v>
      </c>
      <c r="P1336" s="22">
        <f t="shared" si="197"/>
        <v>1447.0599499999998</v>
      </c>
      <c r="Q1336" s="22">
        <v>0</v>
      </c>
      <c r="R1336" s="22">
        <f t="shared" si="198"/>
        <v>0</v>
      </c>
      <c r="S1336" s="22">
        <f t="shared" si="199"/>
        <v>1447.0599499999998</v>
      </c>
      <c r="T1336" s="23">
        <v>0.55859868298040061</v>
      </c>
      <c r="U1336" s="24">
        <v>0.1</v>
      </c>
      <c r="V1336" s="25">
        <f t="shared" si="207"/>
        <v>2480.9243054900526</v>
      </c>
      <c r="W1336" s="26" t="s">
        <v>29</v>
      </c>
    </row>
    <row r="1337" spans="1:23" x14ac:dyDescent="0.25">
      <c r="A1337" s="12">
        <f t="shared" ca="1" si="200"/>
        <v>1333</v>
      </c>
      <c r="B1337" s="32" t="s">
        <v>2503</v>
      </c>
      <c r="C1337" s="32" t="s">
        <v>2695</v>
      </c>
      <c r="D1337" s="32"/>
      <c r="E1337" s="32"/>
      <c r="F1337" s="32"/>
      <c r="G1337" s="32"/>
      <c r="H1337" s="31" t="s">
        <v>2696</v>
      </c>
      <c r="I1337" s="32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27"/>
      <c r="U1337" s="16"/>
      <c r="V1337" s="13"/>
      <c r="W1337" s="13"/>
    </row>
    <row r="1338" spans="1:23" ht="89.25" x14ac:dyDescent="0.25">
      <c r="A1338" s="17">
        <f t="shared" ca="1" si="200"/>
        <v>1334</v>
      </c>
      <c r="B1338" s="18" t="s">
        <v>2503</v>
      </c>
      <c r="C1338" s="18" t="s">
        <v>2697</v>
      </c>
      <c r="D1338" s="18"/>
      <c r="E1338" s="18"/>
      <c r="F1338" s="18"/>
      <c r="G1338" s="18"/>
      <c r="H1338" s="19" t="s">
        <v>2696</v>
      </c>
      <c r="I1338" s="18" t="s">
        <v>2679</v>
      </c>
      <c r="J1338" s="20">
        <v>1</v>
      </c>
      <c r="K1338" s="20">
        <v>1.1499999999999999</v>
      </c>
      <c r="L1338" s="21" t="s">
        <v>28</v>
      </c>
      <c r="M1338" s="22">
        <v>1.9</v>
      </c>
      <c r="N1338" s="22">
        <v>0</v>
      </c>
      <c r="O1338" s="22">
        <v>1324.54</v>
      </c>
      <c r="P1338" s="22">
        <f t="shared" si="197"/>
        <v>2894.1198999999997</v>
      </c>
      <c r="Q1338" s="22">
        <v>0</v>
      </c>
      <c r="R1338" s="22">
        <f t="shared" si="198"/>
        <v>0</v>
      </c>
      <c r="S1338" s="22">
        <f t="shared" si="199"/>
        <v>2894.1198999999997</v>
      </c>
      <c r="T1338" s="23">
        <v>0.55859868298040061</v>
      </c>
      <c r="U1338" s="24">
        <v>0.1</v>
      </c>
      <c r="V1338" s="25">
        <f t="shared" ref="V1338:V1341" si="208">S1338+S1338*T1338+(S1338+S1338*T1338)*U1338</f>
        <v>4961.8486109801051</v>
      </c>
      <c r="W1338" s="26" t="s">
        <v>29</v>
      </c>
    </row>
    <row r="1339" spans="1:23" ht="89.25" x14ac:dyDescent="0.25">
      <c r="A1339" s="17">
        <f t="shared" ca="1" si="200"/>
        <v>1335</v>
      </c>
      <c r="B1339" s="18" t="s">
        <v>2503</v>
      </c>
      <c r="C1339" s="18" t="s">
        <v>2698</v>
      </c>
      <c r="D1339" s="18"/>
      <c r="E1339" s="18"/>
      <c r="F1339" s="18"/>
      <c r="G1339" s="18"/>
      <c r="H1339" s="19" t="s">
        <v>2699</v>
      </c>
      <c r="I1339" s="18" t="s">
        <v>2679</v>
      </c>
      <c r="J1339" s="20">
        <v>1</v>
      </c>
      <c r="K1339" s="20">
        <v>1.1499999999999999</v>
      </c>
      <c r="L1339" s="21" t="s">
        <v>28</v>
      </c>
      <c r="M1339" s="22">
        <v>0.95</v>
      </c>
      <c r="N1339" s="22">
        <v>0</v>
      </c>
      <c r="O1339" s="22">
        <v>1324.54</v>
      </c>
      <c r="P1339" s="22">
        <f t="shared" si="197"/>
        <v>1447.0599499999998</v>
      </c>
      <c r="Q1339" s="22">
        <v>0</v>
      </c>
      <c r="R1339" s="22">
        <f t="shared" si="198"/>
        <v>0</v>
      </c>
      <c r="S1339" s="22">
        <f t="shared" si="199"/>
        <v>1447.0599499999998</v>
      </c>
      <c r="T1339" s="23">
        <v>0.55859868298040061</v>
      </c>
      <c r="U1339" s="24">
        <v>0.1</v>
      </c>
      <c r="V1339" s="25">
        <f t="shared" si="208"/>
        <v>2480.9243054900526</v>
      </c>
      <c r="W1339" s="26" t="s">
        <v>29</v>
      </c>
    </row>
    <row r="1340" spans="1:23" ht="89.25" x14ac:dyDescent="0.25">
      <c r="A1340" s="17">
        <f t="shared" ca="1" si="200"/>
        <v>1336</v>
      </c>
      <c r="B1340" s="18" t="s">
        <v>2503</v>
      </c>
      <c r="C1340" s="18" t="s">
        <v>2700</v>
      </c>
      <c r="D1340" s="18"/>
      <c r="E1340" s="18"/>
      <c r="F1340" s="18"/>
      <c r="G1340" s="18"/>
      <c r="H1340" s="19" t="s">
        <v>2701</v>
      </c>
      <c r="I1340" s="18" t="s">
        <v>2679</v>
      </c>
      <c r="J1340" s="20">
        <v>1</v>
      </c>
      <c r="K1340" s="20">
        <v>1.1499999999999999</v>
      </c>
      <c r="L1340" s="21" t="s">
        <v>28</v>
      </c>
      <c r="M1340" s="22">
        <v>0.47499999999999998</v>
      </c>
      <c r="N1340" s="22">
        <v>0</v>
      </c>
      <c r="O1340" s="22">
        <v>1324.54</v>
      </c>
      <c r="P1340" s="22">
        <f t="shared" si="197"/>
        <v>723.52997499999992</v>
      </c>
      <c r="Q1340" s="22">
        <v>0</v>
      </c>
      <c r="R1340" s="22">
        <f t="shared" si="198"/>
        <v>0</v>
      </c>
      <c r="S1340" s="22">
        <f t="shared" si="199"/>
        <v>723.52997499999992</v>
      </c>
      <c r="T1340" s="23">
        <v>0.55859868298040061</v>
      </c>
      <c r="U1340" s="24">
        <v>0.1</v>
      </c>
      <c r="V1340" s="25">
        <f t="shared" si="208"/>
        <v>1240.4621527450263</v>
      </c>
      <c r="W1340" s="26" t="s">
        <v>29</v>
      </c>
    </row>
    <row r="1341" spans="1:23" ht="89.25" x14ac:dyDescent="0.25">
      <c r="A1341" s="17">
        <f t="shared" ca="1" si="200"/>
        <v>1337</v>
      </c>
      <c r="B1341" s="18" t="s">
        <v>2503</v>
      </c>
      <c r="C1341" s="18" t="s">
        <v>2702</v>
      </c>
      <c r="D1341" s="18"/>
      <c r="E1341" s="18"/>
      <c r="F1341" s="18"/>
      <c r="G1341" s="18"/>
      <c r="H1341" s="19" t="s">
        <v>2703</v>
      </c>
      <c r="I1341" s="18" t="s">
        <v>2679</v>
      </c>
      <c r="J1341" s="20">
        <v>1</v>
      </c>
      <c r="K1341" s="20">
        <v>1.1499999999999999</v>
      </c>
      <c r="L1341" s="21" t="s">
        <v>28</v>
      </c>
      <c r="M1341" s="22">
        <v>0.47499999999999998</v>
      </c>
      <c r="N1341" s="22">
        <v>0</v>
      </c>
      <c r="O1341" s="22">
        <v>1324.54</v>
      </c>
      <c r="P1341" s="22">
        <f t="shared" si="197"/>
        <v>723.52997499999992</v>
      </c>
      <c r="Q1341" s="22">
        <v>0</v>
      </c>
      <c r="R1341" s="22">
        <f t="shared" si="198"/>
        <v>0</v>
      </c>
      <c r="S1341" s="22">
        <f t="shared" si="199"/>
        <v>723.52997499999992</v>
      </c>
      <c r="T1341" s="23">
        <v>0.55859868298040061</v>
      </c>
      <c r="U1341" s="24">
        <v>0.1</v>
      </c>
      <c r="V1341" s="25">
        <f t="shared" si="208"/>
        <v>1240.4621527450263</v>
      </c>
      <c r="W1341" s="26" t="s">
        <v>29</v>
      </c>
    </row>
    <row r="1342" spans="1:23" x14ac:dyDescent="0.25">
      <c r="A1342" s="12">
        <f t="shared" ca="1" si="200"/>
        <v>1338</v>
      </c>
      <c r="B1342" s="32" t="s">
        <v>2503</v>
      </c>
      <c r="C1342" s="32" t="s">
        <v>2704</v>
      </c>
      <c r="D1342" s="32"/>
      <c r="E1342" s="32"/>
      <c r="F1342" s="32"/>
      <c r="G1342" s="32"/>
      <c r="H1342" s="31" t="s">
        <v>2705</v>
      </c>
      <c r="I1342" s="32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27"/>
      <c r="U1342" s="16"/>
      <c r="V1342" s="13"/>
      <c r="W1342" s="13"/>
    </row>
    <row r="1343" spans="1:23" ht="89.25" x14ac:dyDescent="0.25">
      <c r="A1343" s="17">
        <f t="shared" ca="1" si="200"/>
        <v>1339</v>
      </c>
      <c r="B1343" s="18" t="s">
        <v>2503</v>
      </c>
      <c r="C1343" s="18" t="s">
        <v>2706</v>
      </c>
      <c r="D1343" s="18"/>
      <c r="E1343" s="18"/>
      <c r="F1343" s="18"/>
      <c r="G1343" s="18"/>
      <c r="H1343" s="19" t="s">
        <v>2705</v>
      </c>
      <c r="I1343" s="18" t="s">
        <v>2707</v>
      </c>
      <c r="J1343" s="20">
        <v>1</v>
      </c>
      <c r="K1343" s="20">
        <v>1.1499999999999999</v>
      </c>
      <c r="L1343" s="21" t="s">
        <v>28</v>
      </c>
      <c r="M1343" s="22">
        <v>0.95</v>
      </c>
      <c r="N1343" s="22">
        <v>0</v>
      </c>
      <c r="O1343" s="22">
        <v>1324.54</v>
      </c>
      <c r="P1343" s="22">
        <f t="shared" si="197"/>
        <v>1447.0599499999998</v>
      </c>
      <c r="Q1343" s="22">
        <v>0</v>
      </c>
      <c r="R1343" s="22">
        <f t="shared" si="198"/>
        <v>0</v>
      </c>
      <c r="S1343" s="22">
        <f t="shared" si="199"/>
        <v>1447.0599499999998</v>
      </c>
      <c r="T1343" s="23">
        <v>0.55859868298040061</v>
      </c>
      <c r="U1343" s="24">
        <v>0.1</v>
      </c>
      <c r="V1343" s="25">
        <f t="shared" ref="V1343:V1345" si="209">S1343+S1343*T1343+(S1343+S1343*T1343)*U1343</f>
        <v>2480.9243054900526</v>
      </c>
      <c r="W1343" s="26" t="s">
        <v>29</v>
      </c>
    </row>
    <row r="1344" spans="1:23" ht="89.25" x14ac:dyDescent="0.25">
      <c r="A1344" s="17">
        <f t="shared" ca="1" si="200"/>
        <v>1340</v>
      </c>
      <c r="B1344" s="18" t="s">
        <v>2503</v>
      </c>
      <c r="C1344" s="18" t="s">
        <v>2708</v>
      </c>
      <c r="D1344" s="18"/>
      <c r="E1344" s="18"/>
      <c r="F1344" s="18"/>
      <c r="G1344" s="18"/>
      <c r="H1344" s="19" t="s">
        <v>2709</v>
      </c>
      <c r="I1344" s="18" t="s">
        <v>2707</v>
      </c>
      <c r="J1344" s="20">
        <v>1</v>
      </c>
      <c r="K1344" s="20">
        <v>1.1499999999999999</v>
      </c>
      <c r="L1344" s="21" t="s">
        <v>28</v>
      </c>
      <c r="M1344" s="22">
        <v>0.47499999999999998</v>
      </c>
      <c r="N1344" s="22">
        <v>0</v>
      </c>
      <c r="O1344" s="22">
        <v>1324.54</v>
      </c>
      <c r="P1344" s="22">
        <f t="shared" ref="P1344:P1401" si="210">O1344*M1344*K1344</f>
        <v>723.52997499999992</v>
      </c>
      <c r="Q1344" s="22">
        <v>0</v>
      </c>
      <c r="R1344" s="22">
        <f t="shared" ref="R1344:R1401" si="211">N1344*Q1344*K1344</f>
        <v>0</v>
      </c>
      <c r="S1344" s="22">
        <f t="shared" ref="S1344:S1401" si="212">P1344+R1344</f>
        <v>723.52997499999992</v>
      </c>
      <c r="T1344" s="23">
        <v>0.55859868298040061</v>
      </c>
      <c r="U1344" s="24">
        <v>0.1</v>
      </c>
      <c r="V1344" s="25">
        <f t="shared" si="209"/>
        <v>1240.4621527450263</v>
      </c>
      <c r="W1344" s="26" t="s">
        <v>29</v>
      </c>
    </row>
    <row r="1345" spans="1:23" ht="89.25" x14ac:dyDescent="0.25">
      <c r="A1345" s="17">
        <f t="shared" ca="1" si="200"/>
        <v>1341</v>
      </c>
      <c r="B1345" s="18" t="s">
        <v>2503</v>
      </c>
      <c r="C1345" s="18" t="s">
        <v>2710</v>
      </c>
      <c r="D1345" s="18"/>
      <c r="E1345" s="18"/>
      <c r="F1345" s="18"/>
      <c r="G1345" s="18"/>
      <c r="H1345" s="19" t="s">
        <v>2711</v>
      </c>
      <c r="I1345" s="18" t="s">
        <v>2707</v>
      </c>
      <c r="J1345" s="20">
        <v>1</v>
      </c>
      <c r="K1345" s="20">
        <v>1.1499999999999999</v>
      </c>
      <c r="L1345" s="21" t="s">
        <v>28</v>
      </c>
      <c r="M1345" s="22">
        <v>0.47499999999999998</v>
      </c>
      <c r="N1345" s="22">
        <v>0</v>
      </c>
      <c r="O1345" s="22">
        <v>1324.54</v>
      </c>
      <c r="P1345" s="22">
        <f t="shared" si="210"/>
        <v>723.52997499999992</v>
      </c>
      <c r="Q1345" s="22">
        <v>0</v>
      </c>
      <c r="R1345" s="22">
        <f t="shared" si="211"/>
        <v>0</v>
      </c>
      <c r="S1345" s="22">
        <f t="shared" si="212"/>
        <v>723.52997499999992</v>
      </c>
      <c r="T1345" s="23">
        <v>0.55859868298040061</v>
      </c>
      <c r="U1345" s="24">
        <v>0.1</v>
      </c>
      <c r="V1345" s="25">
        <f t="shared" si="209"/>
        <v>1240.4621527450263</v>
      </c>
      <c r="W1345" s="26" t="s">
        <v>29</v>
      </c>
    </row>
    <row r="1346" spans="1:23" x14ac:dyDescent="0.25">
      <c r="A1346" s="12">
        <f t="shared" ca="1" si="200"/>
        <v>1342</v>
      </c>
      <c r="B1346" s="32" t="s">
        <v>2503</v>
      </c>
      <c r="C1346" s="32" t="s">
        <v>2712</v>
      </c>
      <c r="D1346" s="32"/>
      <c r="E1346" s="32"/>
      <c r="F1346" s="32"/>
      <c r="G1346" s="32"/>
      <c r="H1346" s="31" t="s">
        <v>2713</v>
      </c>
      <c r="I1346" s="32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27"/>
      <c r="U1346" s="16"/>
      <c r="V1346" s="13"/>
      <c r="W1346" s="13"/>
    </row>
    <row r="1347" spans="1:23" ht="89.25" x14ac:dyDescent="0.25">
      <c r="A1347" s="17">
        <f t="shared" ref="A1347:A1410" ca="1" si="213">CELL("строка",A1347)-4</f>
        <v>1343</v>
      </c>
      <c r="B1347" s="18" t="s">
        <v>2503</v>
      </c>
      <c r="C1347" s="18" t="s">
        <v>2714</v>
      </c>
      <c r="D1347" s="18"/>
      <c r="E1347" s="18"/>
      <c r="F1347" s="18"/>
      <c r="G1347" s="18"/>
      <c r="H1347" s="19" t="s">
        <v>2713</v>
      </c>
      <c r="I1347" s="18" t="s">
        <v>2679</v>
      </c>
      <c r="J1347" s="20">
        <v>1</v>
      </c>
      <c r="K1347" s="20">
        <v>1.1499999999999999</v>
      </c>
      <c r="L1347" s="21" t="s">
        <v>28</v>
      </c>
      <c r="M1347" s="22">
        <v>2.8499999999999996</v>
      </c>
      <c r="N1347" s="22">
        <v>0</v>
      </c>
      <c r="O1347" s="22">
        <v>1324.54</v>
      </c>
      <c r="P1347" s="22">
        <f t="shared" si="210"/>
        <v>4341.1798499999986</v>
      </c>
      <c r="Q1347" s="22">
        <v>0</v>
      </c>
      <c r="R1347" s="22">
        <f t="shared" si="211"/>
        <v>0</v>
      </c>
      <c r="S1347" s="22">
        <f t="shared" si="212"/>
        <v>4341.1798499999986</v>
      </c>
      <c r="T1347" s="23">
        <v>0.55859868298040061</v>
      </c>
      <c r="U1347" s="24">
        <v>0.1</v>
      </c>
      <c r="V1347" s="25">
        <f t="shared" ref="V1347:V1350" si="214">S1347+S1347*T1347+(S1347+S1347*T1347)*U1347</f>
        <v>7442.7729164701568</v>
      </c>
      <c r="W1347" s="26" t="s">
        <v>29</v>
      </c>
    </row>
    <row r="1348" spans="1:23" ht="89.25" x14ac:dyDescent="0.25">
      <c r="A1348" s="17">
        <f t="shared" ca="1" si="213"/>
        <v>1344</v>
      </c>
      <c r="B1348" s="18" t="s">
        <v>2503</v>
      </c>
      <c r="C1348" s="18" t="s">
        <v>2715</v>
      </c>
      <c r="D1348" s="18"/>
      <c r="E1348" s="18"/>
      <c r="F1348" s="18"/>
      <c r="G1348" s="18"/>
      <c r="H1348" s="19" t="s">
        <v>2716</v>
      </c>
      <c r="I1348" s="18" t="s">
        <v>2679</v>
      </c>
      <c r="J1348" s="20">
        <v>1</v>
      </c>
      <c r="K1348" s="20">
        <v>1.1499999999999999</v>
      </c>
      <c r="L1348" s="21" t="s">
        <v>28</v>
      </c>
      <c r="M1348" s="22">
        <v>1.4249999999999998</v>
      </c>
      <c r="N1348" s="22">
        <v>0</v>
      </c>
      <c r="O1348" s="22">
        <v>1324.54</v>
      </c>
      <c r="P1348" s="22">
        <f t="shared" si="210"/>
        <v>2170.5899249999993</v>
      </c>
      <c r="Q1348" s="22">
        <v>0</v>
      </c>
      <c r="R1348" s="22">
        <f t="shared" si="211"/>
        <v>0</v>
      </c>
      <c r="S1348" s="22">
        <f t="shared" si="212"/>
        <v>2170.5899249999993</v>
      </c>
      <c r="T1348" s="23">
        <v>0.55859868298040061</v>
      </c>
      <c r="U1348" s="24">
        <v>0.1</v>
      </c>
      <c r="V1348" s="25">
        <f t="shared" si="214"/>
        <v>3721.3864582350784</v>
      </c>
      <c r="W1348" s="26" t="s">
        <v>29</v>
      </c>
    </row>
    <row r="1349" spans="1:23" ht="89.25" x14ac:dyDescent="0.25">
      <c r="A1349" s="17">
        <f t="shared" ca="1" si="213"/>
        <v>1345</v>
      </c>
      <c r="B1349" s="18" t="s">
        <v>2503</v>
      </c>
      <c r="C1349" s="18" t="s">
        <v>2717</v>
      </c>
      <c r="D1349" s="18"/>
      <c r="E1349" s="18"/>
      <c r="F1349" s="18"/>
      <c r="G1349" s="18"/>
      <c r="H1349" s="19" t="s">
        <v>2718</v>
      </c>
      <c r="I1349" s="18" t="s">
        <v>2679</v>
      </c>
      <c r="J1349" s="20">
        <v>1</v>
      </c>
      <c r="K1349" s="20">
        <v>1.1499999999999999</v>
      </c>
      <c r="L1349" s="21" t="s">
        <v>28</v>
      </c>
      <c r="M1349" s="22">
        <v>0.71249999999999991</v>
      </c>
      <c r="N1349" s="22">
        <v>0</v>
      </c>
      <c r="O1349" s="22">
        <v>1324.54</v>
      </c>
      <c r="P1349" s="22">
        <f t="shared" si="210"/>
        <v>1085.2949624999997</v>
      </c>
      <c r="Q1349" s="22">
        <v>0</v>
      </c>
      <c r="R1349" s="22">
        <f t="shared" si="211"/>
        <v>0</v>
      </c>
      <c r="S1349" s="22">
        <f t="shared" si="212"/>
        <v>1085.2949624999997</v>
      </c>
      <c r="T1349" s="23">
        <v>0.55859868298040061</v>
      </c>
      <c r="U1349" s="24">
        <v>0.1</v>
      </c>
      <c r="V1349" s="25">
        <f t="shared" si="214"/>
        <v>1860.6932291175392</v>
      </c>
      <c r="W1349" s="26" t="s">
        <v>29</v>
      </c>
    </row>
    <row r="1350" spans="1:23" ht="89.25" x14ac:dyDescent="0.25">
      <c r="A1350" s="17">
        <f t="shared" ca="1" si="213"/>
        <v>1346</v>
      </c>
      <c r="B1350" s="18" t="s">
        <v>2503</v>
      </c>
      <c r="C1350" s="18" t="s">
        <v>2719</v>
      </c>
      <c r="D1350" s="18"/>
      <c r="E1350" s="18"/>
      <c r="F1350" s="18"/>
      <c r="G1350" s="18"/>
      <c r="H1350" s="19" t="s">
        <v>2720</v>
      </c>
      <c r="I1350" s="18" t="s">
        <v>2679</v>
      </c>
      <c r="J1350" s="20">
        <v>1</v>
      </c>
      <c r="K1350" s="20">
        <v>1.1499999999999999</v>
      </c>
      <c r="L1350" s="21" t="s">
        <v>28</v>
      </c>
      <c r="M1350" s="22">
        <v>0.71249999999999991</v>
      </c>
      <c r="N1350" s="22">
        <v>0</v>
      </c>
      <c r="O1350" s="22">
        <v>1324.54</v>
      </c>
      <c r="P1350" s="22">
        <f t="shared" si="210"/>
        <v>1085.2949624999997</v>
      </c>
      <c r="Q1350" s="22">
        <v>0</v>
      </c>
      <c r="R1350" s="22">
        <f t="shared" si="211"/>
        <v>0</v>
      </c>
      <c r="S1350" s="22">
        <f t="shared" si="212"/>
        <v>1085.2949624999997</v>
      </c>
      <c r="T1350" s="23">
        <v>0.55859868298040061</v>
      </c>
      <c r="U1350" s="24">
        <v>0.1</v>
      </c>
      <c r="V1350" s="25">
        <f t="shared" si="214"/>
        <v>1860.6932291175392</v>
      </c>
      <c r="W1350" s="26" t="s">
        <v>29</v>
      </c>
    </row>
    <row r="1351" spans="1:23" x14ac:dyDescent="0.25">
      <c r="A1351" s="12">
        <f t="shared" ca="1" si="213"/>
        <v>1347</v>
      </c>
      <c r="B1351" s="32" t="s">
        <v>2503</v>
      </c>
      <c r="C1351" s="32" t="s">
        <v>2721</v>
      </c>
      <c r="D1351" s="32"/>
      <c r="E1351" s="32"/>
      <c r="F1351" s="32"/>
      <c r="G1351" s="32"/>
      <c r="H1351" s="31" t="s">
        <v>2722</v>
      </c>
      <c r="I1351" s="32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27"/>
      <c r="U1351" s="16"/>
      <c r="V1351" s="13"/>
      <c r="W1351" s="13"/>
    </row>
    <row r="1352" spans="1:23" ht="89.25" x14ac:dyDescent="0.25">
      <c r="A1352" s="17">
        <f t="shared" ca="1" si="213"/>
        <v>1348</v>
      </c>
      <c r="B1352" s="18" t="s">
        <v>2503</v>
      </c>
      <c r="C1352" s="18" t="s">
        <v>2723</v>
      </c>
      <c r="D1352" s="18"/>
      <c r="E1352" s="18"/>
      <c r="F1352" s="18"/>
      <c r="G1352" s="18"/>
      <c r="H1352" s="19" t="s">
        <v>2722</v>
      </c>
      <c r="I1352" s="18" t="s">
        <v>2679</v>
      </c>
      <c r="J1352" s="20">
        <v>1</v>
      </c>
      <c r="K1352" s="20">
        <v>1.1499999999999999</v>
      </c>
      <c r="L1352" s="21" t="s">
        <v>28</v>
      </c>
      <c r="M1352" s="22">
        <v>2.8499999999999996</v>
      </c>
      <c r="N1352" s="22">
        <v>0</v>
      </c>
      <c r="O1352" s="22">
        <v>1324.54</v>
      </c>
      <c r="P1352" s="22">
        <f t="shared" si="210"/>
        <v>4341.1798499999986</v>
      </c>
      <c r="Q1352" s="22">
        <v>0</v>
      </c>
      <c r="R1352" s="22">
        <f t="shared" si="211"/>
        <v>0</v>
      </c>
      <c r="S1352" s="22">
        <f t="shared" si="212"/>
        <v>4341.1798499999986</v>
      </c>
      <c r="T1352" s="23">
        <v>0.55859868298040061</v>
      </c>
      <c r="U1352" s="24">
        <v>0.1</v>
      </c>
      <c r="V1352" s="25">
        <f t="shared" ref="V1352:V1355" si="215">S1352+S1352*T1352+(S1352+S1352*T1352)*U1352</f>
        <v>7442.7729164701568</v>
      </c>
      <c r="W1352" s="26" t="s">
        <v>29</v>
      </c>
    </row>
    <row r="1353" spans="1:23" ht="89.25" x14ac:dyDescent="0.25">
      <c r="A1353" s="17">
        <f t="shared" ca="1" si="213"/>
        <v>1349</v>
      </c>
      <c r="B1353" s="18" t="s">
        <v>2503</v>
      </c>
      <c r="C1353" s="18" t="s">
        <v>2724</v>
      </c>
      <c r="D1353" s="18"/>
      <c r="E1353" s="18"/>
      <c r="F1353" s="18"/>
      <c r="G1353" s="18"/>
      <c r="H1353" s="19" t="s">
        <v>2725</v>
      </c>
      <c r="I1353" s="18" t="s">
        <v>2679</v>
      </c>
      <c r="J1353" s="20">
        <v>1</v>
      </c>
      <c r="K1353" s="20">
        <v>1.1499999999999999</v>
      </c>
      <c r="L1353" s="21" t="s">
        <v>28</v>
      </c>
      <c r="M1353" s="22">
        <v>1.4249999999999998</v>
      </c>
      <c r="N1353" s="22">
        <v>0</v>
      </c>
      <c r="O1353" s="22">
        <v>1324.54</v>
      </c>
      <c r="P1353" s="22">
        <f t="shared" si="210"/>
        <v>2170.5899249999993</v>
      </c>
      <c r="Q1353" s="22">
        <v>0</v>
      </c>
      <c r="R1353" s="22">
        <f t="shared" si="211"/>
        <v>0</v>
      </c>
      <c r="S1353" s="22">
        <f t="shared" si="212"/>
        <v>2170.5899249999993</v>
      </c>
      <c r="T1353" s="23">
        <v>0.55859868298040061</v>
      </c>
      <c r="U1353" s="24">
        <v>0.1</v>
      </c>
      <c r="V1353" s="25">
        <f t="shared" si="215"/>
        <v>3721.3864582350784</v>
      </c>
      <c r="W1353" s="26" t="s">
        <v>29</v>
      </c>
    </row>
    <row r="1354" spans="1:23" ht="89.25" x14ac:dyDescent="0.25">
      <c r="A1354" s="17">
        <f t="shared" ca="1" si="213"/>
        <v>1350</v>
      </c>
      <c r="B1354" s="18" t="s">
        <v>2503</v>
      </c>
      <c r="C1354" s="18" t="s">
        <v>2726</v>
      </c>
      <c r="D1354" s="18"/>
      <c r="E1354" s="18"/>
      <c r="F1354" s="18"/>
      <c r="G1354" s="18"/>
      <c r="H1354" s="19" t="s">
        <v>2727</v>
      </c>
      <c r="I1354" s="18" t="s">
        <v>2679</v>
      </c>
      <c r="J1354" s="20">
        <v>1</v>
      </c>
      <c r="K1354" s="20">
        <v>1.1499999999999999</v>
      </c>
      <c r="L1354" s="21" t="s">
        <v>28</v>
      </c>
      <c r="M1354" s="22">
        <v>0.71249999999999991</v>
      </c>
      <c r="N1354" s="22">
        <v>0</v>
      </c>
      <c r="O1354" s="22">
        <v>1324.54</v>
      </c>
      <c r="P1354" s="22">
        <f t="shared" si="210"/>
        <v>1085.2949624999997</v>
      </c>
      <c r="Q1354" s="22">
        <v>0</v>
      </c>
      <c r="R1354" s="22">
        <f t="shared" si="211"/>
        <v>0</v>
      </c>
      <c r="S1354" s="22">
        <f t="shared" si="212"/>
        <v>1085.2949624999997</v>
      </c>
      <c r="T1354" s="23">
        <v>0.55859868298040061</v>
      </c>
      <c r="U1354" s="24">
        <v>0.1</v>
      </c>
      <c r="V1354" s="25">
        <f t="shared" si="215"/>
        <v>1860.6932291175392</v>
      </c>
      <c r="W1354" s="26" t="s">
        <v>29</v>
      </c>
    </row>
    <row r="1355" spans="1:23" ht="89.25" x14ac:dyDescent="0.25">
      <c r="A1355" s="17">
        <f t="shared" ca="1" si="213"/>
        <v>1351</v>
      </c>
      <c r="B1355" s="18" t="s">
        <v>2503</v>
      </c>
      <c r="C1355" s="18" t="s">
        <v>2728</v>
      </c>
      <c r="D1355" s="18"/>
      <c r="E1355" s="18"/>
      <c r="F1355" s="18"/>
      <c r="G1355" s="18"/>
      <c r="H1355" s="19" t="s">
        <v>2729</v>
      </c>
      <c r="I1355" s="18" t="s">
        <v>2679</v>
      </c>
      <c r="J1355" s="20">
        <v>1</v>
      </c>
      <c r="K1355" s="20">
        <v>1.1499999999999999</v>
      </c>
      <c r="L1355" s="21" t="s">
        <v>28</v>
      </c>
      <c r="M1355" s="22">
        <v>0.71249999999999991</v>
      </c>
      <c r="N1355" s="22">
        <v>0</v>
      </c>
      <c r="O1355" s="22">
        <v>1324.54</v>
      </c>
      <c r="P1355" s="22">
        <f t="shared" si="210"/>
        <v>1085.2949624999997</v>
      </c>
      <c r="Q1355" s="22">
        <v>0</v>
      </c>
      <c r="R1355" s="22">
        <f t="shared" si="211"/>
        <v>0</v>
      </c>
      <c r="S1355" s="22">
        <f t="shared" si="212"/>
        <v>1085.2949624999997</v>
      </c>
      <c r="T1355" s="23">
        <v>0.55859868298040061</v>
      </c>
      <c r="U1355" s="24">
        <v>0.1</v>
      </c>
      <c r="V1355" s="25">
        <f t="shared" si="215"/>
        <v>1860.6932291175392</v>
      </c>
      <c r="W1355" s="26" t="s">
        <v>29</v>
      </c>
    </row>
    <row r="1356" spans="1:23" x14ac:dyDescent="0.25">
      <c r="A1356" s="12">
        <f t="shared" ca="1" si="213"/>
        <v>1352</v>
      </c>
      <c r="B1356" s="32" t="s">
        <v>2503</v>
      </c>
      <c r="C1356" s="32" t="s">
        <v>2730</v>
      </c>
      <c r="D1356" s="32"/>
      <c r="E1356" s="32"/>
      <c r="F1356" s="32"/>
      <c r="G1356" s="32"/>
      <c r="H1356" s="31" t="s">
        <v>2731</v>
      </c>
      <c r="I1356" s="32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27"/>
      <c r="U1356" s="16"/>
      <c r="V1356" s="13"/>
      <c r="W1356" s="13"/>
    </row>
    <row r="1357" spans="1:23" ht="89.25" x14ac:dyDescent="0.25">
      <c r="A1357" s="17">
        <f t="shared" ca="1" si="213"/>
        <v>1353</v>
      </c>
      <c r="B1357" s="18" t="s">
        <v>2503</v>
      </c>
      <c r="C1357" s="18" t="s">
        <v>2732</v>
      </c>
      <c r="D1357" s="18"/>
      <c r="E1357" s="18"/>
      <c r="F1357" s="18"/>
      <c r="G1357" s="18"/>
      <c r="H1357" s="19" t="s">
        <v>2731</v>
      </c>
      <c r="I1357" s="18" t="s">
        <v>2707</v>
      </c>
      <c r="J1357" s="20">
        <v>1</v>
      </c>
      <c r="K1357" s="20">
        <v>1.1499999999999999</v>
      </c>
      <c r="L1357" s="21" t="s">
        <v>28</v>
      </c>
      <c r="M1357" s="22">
        <v>0.95</v>
      </c>
      <c r="N1357" s="22">
        <v>0</v>
      </c>
      <c r="O1357" s="22">
        <v>1324.54</v>
      </c>
      <c r="P1357" s="22">
        <f t="shared" si="210"/>
        <v>1447.0599499999998</v>
      </c>
      <c r="Q1357" s="22">
        <v>0</v>
      </c>
      <c r="R1357" s="22">
        <f t="shared" si="211"/>
        <v>0</v>
      </c>
      <c r="S1357" s="22">
        <f t="shared" si="212"/>
        <v>1447.0599499999998</v>
      </c>
      <c r="T1357" s="23">
        <v>0.55859868298040061</v>
      </c>
      <c r="U1357" s="24">
        <v>0.1</v>
      </c>
      <c r="V1357" s="25">
        <f t="shared" ref="V1357" si="216">S1357+S1357*T1357+(S1357+S1357*T1357)*U1357</f>
        <v>2480.9243054900526</v>
      </c>
      <c r="W1357" s="26" t="s">
        <v>29</v>
      </c>
    </row>
    <row r="1358" spans="1:23" x14ac:dyDescent="0.25">
      <c r="A1358" s="28">
        <f t="shared" ca="1" si="213"/>
        <v>1354</v>
      </c>
      <c r="B1358" s="9" t="s">
        <v>2503</v>
      </c>
      <c r="C1358" s="9" t="s">
        <v>2733</v>
      </c>
      <c r="D1358" s="9"/>
      <c r="E1358" s="9"/>
      <c r="F1358" s="9"/>
      <c r="G1358" s="9"/>
      <c r="H1358" s="10" t="s">
        <v>2734</v>
      </c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29"/>
      <c r="U1358" s="11"/>
      <c r="V1358" s="9"/>
      <c r="W1358" s="9"/>
    </row>
    <row r="1359" spans="1:23" x14ac:dyDescent="0.25">
      <c r="A1359" s="12">
        <f t="shared" ca="1" si="213"/>
        <v>1355</v>
      </c>
      <c r="B1359" s="32" t="s">
        <v>2503</v>
      </c>
      <c r="C1359" s="32" t="s">
        <v>2735</v>
      </c>
      <c r="D1359" s="32"/>
      <c r="E1359" s="32"/>
      <c r="F1359" s="32"/>
      <c r="G1359" s="32"/>
      <c r="H1359" s="31" t="s">
        <v>2736</v>
      </c>
      <c r="I1359" s="32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27"/>
      <c r="U1359" s="16"/>
      <c r="V1359" s="13"/>
      <c r="W1359" s="13"/>
    </row>
    <row r="1360" spans="1:23" ht="89.25" x14ac:dyDescent="0.25">
      <c r="A1360" s="17">
        <f t="shared" ca="1" si="213"/>
        <v>1356</v>
      </c>
      <c r="B1360" s="18" t="s">
        <v>2503</v>
      </c>
      <c r="C1360" s="18" t="s">
        <v>2737</v>
      </c>
      <c r="D1360" s="18"/>
      <c r="E1360" s="18"/>
      <c r="F1360" s="18"/>
      <c r="G1360" s="18"/>
      <c r="H1360" s="19" t="s">
        <v>2736</v>
      </c>
      <c r="I1360" s="18" t="s">
        <v>161</v>
      </c>
      <c r="J1360" s="20">
        <v>1</v>
      </c>
      <c r="K1360" s="20">
        <v>1.1499999999999999</v>
      </c>
      <c r="L1360" s="21" t="s">
        <v>28</v>
      </c>
      <c r="M1360" s="22">
        <v>28.5</v>
      </c>
      <c r="N1360" s="22">
        <v>0</v>
      </c>
      <c r="O1360" s="22">
        <v>1324.54</v>
      </c>
      <c r="P1360" s="22">
        <f t="shared" si="210"/>
        <v>43411.798499999997</v>
      </c>
      <c r="Q1360" s="22">
        <v>0</v>
      </c>
      <c r="R1360" s="22">
        <f t="shared" si="211"/>
        <v>0</v>
      </c>
      <c r="S1360" s="22">
        <f t="shared" si="212"/>
        <v>43411.798499999997</v>
      </c>
      <c r="T1360" s="23">
        <v>0.55859868298040061</v>
      </c>
      <c r="U1360" s="24">
        <v>0.1</v>
      </c>
      <c r="V1360" s="25">
        <f t="shared" ref="V1360" si="217">S1360+S1360*T1360+(S1360+S1360*T1360)*U1360</f>
        <v>74427.729164701581</v>
      </c>
      <c r="W1360" s="26" t="s">
        <v>29</v>
      </c>
    </row>
    <row r="1361" spans="1:23" x14ac:dyDescent="0.25">
      <c r="A1361" s="12">
        <f t="shared" ca="1" si="213"/>
        <v>1357</v>
      </c>
      <c r="B1361" s="32" t="s">
        <v>2503</v>
      </c>
      <c r="C1361" s="32" t="s">
        <v>2738</v>
      </c>
      <c r="D1361" s="32"/>
      <c r="E1361" s="32"/>
      <c r="F1361" s="32"/>
      <c r="G1361" s="32"/>
      <c r="H1361" s="31" t="s">
        <v>2739</v>
      </c>
      <c r="I1361" s="32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27"/>
      <c r="U1361" s="16"/>
      <c r="V1361" s="13"/>
      <c r="W1361" s="13"/>
    </row>
    <row r="1362" spans="1:23" ht="89.25" x14ac:dyDescent="0.25">
      <c r="A1362" s="17">
        <f t="shared" ca="1" si="213"/>
        <v>1358</v>
      </c>
      <c r="B1362" s="18" t="s">
        <v>2503</v>
      </c>
      <c r="C1362" s="18" t="s">
        <v>2740</v>
      </c>
      <c r="D1362" s="18"/>
      <c r="E1362" s="18"/>
      <c r="F1362" s="18"/>
      <c r="G1362" s="18"/>
      <c r="H1362" s="19" t="s">
        <v>2739</v>
      </c>
      <c r="I1362" s="18" t="s">
        <v>161</v>
      </c>
      <c r="J1362" s="20">
        <v>1</v>
      </c>
      <c r="K1362" s="20">
        <v>1.1499999999999999</v>
      </c>
      <c r="L1362" s="21" t="s">
        <v>28</v>
      </c>
      <c r="M1362" s="22">
        <v>2.8499999999999996</v>
      </c>
      <c r="N1362" s="22">
        <v>0</v>
      </c>
      <c r="O1362" s="22">
        <v>1324.54</v>
      </c>
      <c r="P1362" s="22">
        <f t="shared" si="210"/>
        <v>4341.1798499999986</v>
      </c>
      <c r="Q1362" s="22">
        <v>0</v>
      </c>
      <c r="R1362" s="22">
        <f t="shared" si="211"/>
        <v>0</v>
      </c>
      <c r="S1362" s="22">
        <f t="shared" si="212"/>
        <v>4341.1798499999986</v>
      </c>
      <c r="T1362" s="23">
        <v>0.55859868298040061</v>
      </c>
      <c r="U1362" s="24">
        <v>0.1</v>
      </c>
      <c r="V1362" s="25">
        <f t="shared" ref="V1362" si="218">S1362+S1362*T1362+(S1362+S1362*T1362)*U1362</f>
        <v>7442.7729164701568</v>
      </c>
      <c r="W1362" s="26" t="s">
        <v>29</v>
      </c>
    </row>
    <row r="1363" spans="1:23" x14ac:dyDescent="0.25">
      <c r="A1363" s="28">
        <f t="shared" ca="1" si="213"/>
        <v>1359</v>
      </c>
      <c r="B1363" s="9" t="s">
        <v>2503</v>
      </c>
      <c r="C1363" s="9" t="s">
        <v>2741</v>
      </c>
      <c r="D1363" s="9"/>
      <c r="E1363" s="9"/>
      <c r="F1363" s="9"/>
      <c r="G1363" s="9"/>
      <c r="H1363" s="10" t="s">
        <v>2742</v>
      </c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29"/>
      <c r="U1363" s="11"/>
      <c r="V1363" s="9"/>
      <c r="W1363" s="9"/>
    </row>
    <row r="1364" spans="1:23" x14ac:dyDescent="0.25">
      <c r="A1364" s="12">
        <f t="shared" ca="1" si="213"/>
        <v>1360</v>
      </c>
      <c r="B1364" s="32" t="s">
        <v>2503</v>
      </c>
      <c r="C1364" s="32" t="s">
        <v>2743</v>
      </c>
      <c r="D1364" s="32"/>
      <c r="E1364" s="32"/>
      <c r="F1364" s="32"/>
      <c r="G1364" s="32"/>
      <c r="H1364" s="31" t="s">
        <v>2744</v>
      </c>
      <c r="I1364" s="32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27"/>
      <c r="U1364" s="16"/>
      <c r="V1364" s="13"/>
      <c r="W1364" s="13"/>
    </row>
    <row r="1365" spans="1:23" ht="89.25" x14ac:dyDescent="0.25">
      <c r="A1365" s="17">
        <f t="shared" ca="1" si="213"/>
        <v>1361</v>
      </c>
      <c r="B1365" s="18" t="s">
        <v>2503</v>
      </c>
      <c r="C1365" s="18" t="s">
        <v>2745</v>
      </c>
      <c r="D1365" s="18"/>
      <c r="E1365" s="18"/>
      <c r="F1365" s="18"/>
      <c r="G1365" s="18"/>
      <c r="H1365" s="19" t="s">
        <v>2744</v>
      </c>
      <c r="I1365" s="18" t="s">
        <v>161</v>
      </c>
      <c r="J1365" s="20">
        <v>1</v>
      </c>
      <c r="K1365" s="20">
        <v>1.1499999999999999</v>
      </c>
      <c r="L1365" s="21" t="s">
        <v>28</v>
      </c>
      <c r="M1365" s="22">
        <v>28.5</v>
      </c>
      <c r="N1365" s="22">
        <v>0</v>
      </c>
      <c r="O1365" s="22">
        <v>1324.54</v>
      </c>
      <c r="P1365" s="22">
        <f t="shared" si="210"/>
        <v>43411.798499999997</v>
      </c>
      <c r="Q1365" s="22">
        <v>0</v>
      </c>
      <c r="R1365" s="22">
        <f t="shared" si="211"/>
        <v>0</v>
      </c>
      <c r="S1365" s="22">
        <f t="shared" si="212"/>
        <v>43411.798499999997</v>
      </c>
      <c r="T1365" s="23">
        <v>0.55859868298040061</v>
      </c>
      <c r="U1365" s="24">
        <v>0.1</v>
      </c>
      <c r="V1365" s="25">
        <f t="shared" ref="V1365" si="219">S1365+S1365*T1365+(S1365+S1365*T1365)*U1365</f>
        <v>74427.729164701581</v>
      </c>
      <c r="W1365" s="26" t="s">
        <v>29</v>
      </c>
    </row>
    <row r="1366" spans="1:23" x14ac:dyDescent="0.25">
      <c r="A1366" s="28">
        <f t="shared" ca="1" si="213"/>
        <v>1362</v>
      </c>
      <c r="B1366" s="9" t="s">
        <v>2503</v>
      </c>
      <c r="C1366" s="9" t="s">
        <v>2746</v>
      </c>
      <c r="D1366" s="9"/>
      <c r="E1366" s="9"/>
      <c r="F1366" s="9"/>
      <c r="G1366" s="9"/>
      <c r="H1366" s="10" t="s">
        <v>2747</v>
      </c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29"/>
      <c r="U1366" s="11"/>
      <c r="V1366" s="9"/>
      <c r="W1366" s="9"/>
    </row>
    <row r="1367" spans="1:23" x14ac:dyDescent="0.25">
      <c r="A1367" s="12">
        <f t="shared" ca="1" si="213"/>
        <v>1363</v>
      </c>
      <c r="B1367" s="32" t="s">
        <v>2503</v>
      </c>
      <c r="C1367" s="32" t="s">
        <v>2748</v>
      </c>
      <c r="D1367" s="32"/>
      <c r="E1367" s="32"/>
      <c r="F1367" s="32"/>
      <c r="G1367" s="32"/>
      <c r="H1367" s="31" t="s">
        <v>2749</v>
      </c>
      <c r="I1367" s="32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27"/>
      <c r="U1367" s="16"/>
      <c r="V1367" s="13"/>
      <c r="W1367" s="13"/>
    </row>
    <row r="1368" spans="1:23" ht="89.25" x14ac:dyDescent="0.25">
      <c r="A1368" s="17">
        <f t="shared" ca="1" si="213"/>
        <v>1364</v>
      </c>
      <c r="B1368" s="18" t="s">
        <v>2503</v>
      </c>
      <c r="C1368" s="18" t="s">
        <v>2750</v>
      </c>
      <c r="D1368" s="18"/>
      <c r="E1368" s="18"/>
      <c r="F1368" s="18"/>
      <c r="G1368" s="18"/>
      <c r="H1368" s="19" t="s">
        <v>2749</v>
      </c>
      <c r="I1368" s="18" t="s">
        <v>161</v>
      </c>
      <c r="J1368" s="20">
        <v>1</v>
      </c>
      <c r="K1368" s="20">
        <v>1.1499999999999999</v>
      </c>
      <c r="L1368" s="21" t="s">
        <v>28</v>
      </c>
      <c r="M1368" s="22">
        <v>3.8</v>
      </c>
      <c r="N1368" s="22">
        <v>0</v>
      </c>
      <c r="O1368" s="22">
        <v>1324.54</v>
      </c>
      <c r="P1368" s="22">
        <f t="shared" si="210"/>
        <v>5788.2397999999994</v>
      </c>
      <c r="Q1368" s="22">
        <v>0</v>
      </c>
      <c r="R1368" s="22">
        <f t="shared" si="211"/>
        <v>0</v>
      </c>
      <c r="S1368" s="22">
        <f t="shared" si="212"/>
        <v>5788.2397999999994</v>
      </c>
      <c r="T1368" s="23">
        <v>0.55859868298040061</v>
      </c>
      <c r="U1368" s="24">
        <v>0.1</v>
      </c>
      <c r="V1368" s="25">
        <f t="shared" ref="V1368" si="220">S1368+S1368*T1368+(S1368+S1368*T1368)*U1368</f>
        <v>9923.6972219602103</v>
      </c>
      <c r="W1368" s="26" t="s">
        <v>29</v>
      </c>
    </row>
    <row r="1369" spans="1:23" x14ac:dyDescent="0.25">
      <c r="A1369" s="12">
        <f t="shared" ca="1" si="213"/>
        <v>1365</v>
      </c>
      <c r="B1369" s="32" t="s">
        <v>2503</v>
      </c>
      <c r="C1369" s="32" t="s">
        <v>2751</v>
      </c>
      <c r="D1369" s="32"/>
      <c r="E1369" s="32"/>
      <c r="F1369" s="32"/>
      <c r="G1369" s="32"/>
      <c r="H1369" s="31" t="s">
        <v>2752</v>
      </c>
      <c r="I1369" s="32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27"/>
      <c r="U1369" s="16"/>
      <c r="V1369" s="13"/>
      <c r="W1369" s="13"/>
    </row>
    <row r="1370" spans="1:23" ht="89.25" x14ac:dyDescent="0.25">
      <c r="A1370" s="17">
        <f t="shared" ca="1" si="213"/>
        <v>1366</v>
      </c>
      <c r="B1370" s="18" t="s">
        <v>2503</v>
      </c>
      <c r="C1370" s="18" t="s">
        <v>2753</v>
      </c>
      <c r="D1370" s="18"/>
      <c r="E1370" s="18"/>
      <c r="F1370" s="18"/>
      <c r="G1370" s="18"/>
      <c r="H1370" s="19" t="s">
        <v>2752</v>
      </c>
      <c r="I1370" s="18" t="s">
        <v>161</v>
      </c>
      <c r="J1370" s="20">
        <v>1</v>
      </c>
      <c r="K1370" s="20">
        <v>1.1499999999999999</v>
      </c>
      <c r="L1370" s="21" t="s">
        <v>28</v>
      </c>
      <c r="M1370" s="22">
        <v>19</v>
      </c>
      <c r="N1370" s="22">
        <v>0</v>
      </c>
      <c r="O1370" s="22">
        <v>1324.54</v>
      </c>
      <c r="P1370" s="22">
        <f t="shared" si="210"/>
        <v>28941.198999999997</v>
      </c>
      <c r="Q1370" s="22">
        <v>0</v>
      </c>
      <c r="R1370" s="22">
        <f t="shared" si="211"/>
        <v>0</v>
      </c>
      <c r="S1370" s="22">
        <f t="shared" si="212"/>
        <v>28941.198999999997</v>
      </c>
      <c r="T1370" s="23">
        <v>0.55859868298040061</v>
      </c>
      <c r="U1370" s="24">
        <v>0.1</v>
      </c>
      <c r="V1370" s="25">
        <f t="shared" ref="V1370" si="221">S1370+S1370*T1370+(S1370+S1370*T1370)*U1370</f>
        <v>49618.486109801044</v>
      </c>
      <c r="W1370" s="26" t="s">
        <v>29</v>
      </c>
    </row>
    <row r="1371" spans="1:23" x14ac:dyDescent="0.25">
      <c r="A1371" s="12">
        <f t="shared" ca="1" si="213"/>
        <v>1367</v>
      </c>
      <c r="B1371" s="32" t="s">
        <v>2503</v>
      </c>
      <c r="C1371" s="32" t="s">
        <v>2754</v>
      </c>
      <c r="D1371" s="32"/>
      <c r="E1371" s="32"/>
      <c r="F1371" s="32"/>
      <c r="G1371" s="32"/>
      <c r="H1371" s="31" t="s">
        <v>2755</v>
      </c>
      <c r="I1371" s="32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27"/>
      <c r="U1371" s="16"/>
      <c r="V1371" s="13"/>
      <c r="W1371" s="13"/>
    </row>
    <row r="1372" spans="1:23" ht="89.25" x14ac:dyDescent="0.25">
      <c r="A1372" s="17">
        <f t="shared" ca="1" si="213"/>
        <v>1368</v>
      </c>
      <c r="B1372" s="18" t="s">
        <v>2503</v>
      </c>
      <c r="C1372" s="18" t="s">
        <v>2756</v>
      </c>
      <c r="D1372" s="18"/>
      <c r="E1372" s="18"/>
      <c r="F1372" s="18"/>
      <c r="G1372" s="18"/>
      <c r="H1372" s="19" t="s">
        <v>2755</v>
      </c>
      <c r="I1372" s="18" t="s">
        <v>161</v>
      </c>
      <c r="J1372" s="20">
        <v>1</v>
      </c>
      <c r="K1372" s="20">
        <v>1.1499999999999999</v>
      </c>
      <c r="L1372" s="21" t="s">
        <v>28</v>
      </c>
      <c r="M1372" s="22">
        <v>0.47499999999999998</v>
      </c>
      <c r="N1372" s="22">
        <v>0</v>
      </c>
      <c r="O1372" s="22">
        <v>1324.54</v>
      </c>
      <c r="P1372" s="22">
        <f t="shared" si="210"/>
        <v>723.52997499999992</v>
      </c>
      <c r="Q1372" s="22">
        <v>0</v>
      </c>
      <c r="R1372" s="22">
        <f t="shared" si="211"/>
        <v>0</v>
      </c>
      <c r="S1372" s="22">
        <f t="shared" si="212"/>
        <v>723.52997499999992</v>
      </c>
      <c r="T1372" s="23">
        <v>0.55859868298040061</v>
      </c>
      <c r="U1372" s="24">
        <v>0.1</v>
      </c>
      <c r="V1372" s="25">
        <f t="shared" ref="V1372" si="222">S1372+S1372*T1372+(S1372+S1372*T1372)*U1372</f>
        <v>1240.4621527450263</v>
      </c>
      <c r="W1372" s="26" t="s">
        <v>29</v>
      </c>
    </row>
    <row r="1373" spans="1:23" x14ac:dyDescent="0.25">
      <c r="A1373" s="12">
        <f t="shared" ca="1" si="213"/>
        <v>1369</v>
      </c>
      <c r="B1373" s="32" t="s">
        <v>2503</v>
      </c>
      <c r="C1373" s="32" t="s">
        <v>2757</v>
      </c>
      <c r="D1373" s="32"/>
      <c r="E1373" s="32"/>
      <c r="F1373" s="32"/>
      <c r="G1373" s="32"/>
      <c r="H1373" s="31" t="s">
        <v>2758</v>
      </c>
      <c r="I1373" s="32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27"/>
      <c r="U1373" s="16"/>
      <c r="V1373" s="13"/>
      <c r="W1373" s="13"/>
    </row>
    <row r="1374" spans="1:23" ht="89.25" x14ac:dyDescent="0.25">
      <c r="A1374" s="17">
        <f t="shared" ca="1" si="213"/>
        <v>1370</v>
      </c>
      <c r="B1374" s="18" t="s">
        <v>2503</v>
      </c>
      <c r="C1374" s="18" t="s">
        <v>2759</v>
      </c>
      <c r="D1374" s="18"/>
      <c r="E1374" s="18"/>
      <c r="F1374" s="18"/>
      <c r="G1374" s="18"/>
      <c r="H1374" s="19" t="s">
        <v>2758</v>
      </c>
      <c r="I1374" s="18" t="s">
        <v>161</v>
      </c>
      <c r="J1374" s="20">
        <v>1</v>
      </c>
      <c r="K1374" s="20">
        <v>1.1499999999999999</v>
      </c>
      <c r="L1374" s="21" t="s">
        <v>28</v>
      </c>
      <c r="M1374" s="22">
        <v>9.5</v>
      </c>
      <c r="N1374" s="22">
        <v>0</v>
      </c>
      <c r="O1374" s="22">
        <v>1324.54</v>
      </c>
      <c r="P1374" s="22">
        <f t="shared" si="210"/>
        <v>14470.599499999998</v>
      </c>
      <c r="Q1374" s="22">
        <v>0</v>
      </c>
      <c r="R1374" s="22">
        <f t="shared" si="211"/>
        <v>0</v>
      </c>
      <c r="S1374" s="22">
        <f t="shared" si="212"/>
        <v>14470.599499999998</v>
      </c>
      <c r="T1374" s="23">
        <v>0.55859868298040061</v>
      </c>
      <c r="U1374" s="24">
        <v>0.1</v>
      </c>
      <c r="V1374" s="25">
        <f t="shared" ref="V1374" si="223">S1374+S1374*T1374+(S1374+S1374*T1374)*U1374</f>
        <v>24809.243054900522</v>
      </c>
      <c r="W1374" s="26" t="s">
        <v>29</v>
      </c>
    </row>
    <row r="1375" spans="1:23" x14ac:dyDescent="0.25">
      <c r="A1375" s="12">
        <f t="shared" ca="1" si="213"/>
        <v>1371</v>
      </c>
      <c r="B1375" s="32" t="s">
        <v>2503</v>
      </c>
      <c r="C1375" s="32" t="s">
        <v>2760</v>
      </c>
      <c r="D1375" s="32"/>
      <c r="E1375" s="32"/>
      <c r="F1375" s="32"/>
      <c r="G1375" s="32"/>
      <c r="H1375" s="31" t="s">
        <v>2761</v>
      </c>
      <c r="I1375" s="32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27"/>
      <c r="U1375" s="16"/>
      <c r="V1375" s="13"/>
      <c r="W1375" s="13"/>
    </row>
    <row r="1376" spans="1:23" ht="89.25" x14ac:dyDescent="0.25">
      <c r="A1376" s="17">
        <f t="shared" ca="1" si="213"/>
        <v>1372</v>
      </c>
      <c r="B1376" s="18" t="s">
        <v>2503</v>
      </c>
      <c r="C1376" s="18" t="s">
        <v>2762</v>
      </c>
      <c r="D1376" s="18"/>
      <c r="E1376" s="18"/>
      <c r="F1376" s="18"/>
      <c r="G1376" s="18"/>
      <c r="H1376" s="19" t="s">
        <v>2761</v>
      </c>
      <c r="I1376" s="18" t="s">
        <v>161</v>
      </c>
      <c r="J1376" s="20">
        <v>1</v>
      </c>
      <c r="K1376" s="20">
        <v>1.1499999999999999</v>
      </c>
      <c r="L1376" s="21" t="s">
        <v>28</v>
      </c>
      <c r="M1376" s="22">
        <v>19</v>
      </c>
      <c r="N1376" s="22">
        <v>0</v>
      </c>
      <c r="O1376" s="22">
        <v>1324.54</v>
      </c>
      <c r="P1376" s="22">
        <f t="shared" si="210"/>
        <v>28941.198999999997</v>
      </c>
      <c r="Q1376" s="22">
        <v>0</v>
      </c>
      <c r="R1376" s="22">
        <f t="shared" si="211"/>
        <v>0</v>
      </c>
      <c r="S1376" s="22">
        <f t="shared" si="212"/>
        <v>28941.198999999997</v>
      </c>
      <c r="T1376" s="23">
        <v>0.55859868298040061</v>
      </c>
      <c r="U1376" s="24">
        <v>0.1</v>
      </c>
      <c r="V1376" s="25">
        <f t="shared" ref="V1376:V1377" si="224">S1376+S1376*T1376+(S1376+S1376*T1376)*U1376</f>
        <v>49618.486109801044</v>
      </c>
      <c r="W1376" s="26" t="s">
        <v>29</v>
      </c>
    </row>
    <row r="1377" spans="1:23" ht="89.25" x14ac:dyDescent="0.25">
      <c r="A1377" s="17">
        <f t="shared" ca="1" si="213"/>
        <v>1373</v>
      </c>
      <c r="B1377" s="18" t="s">
        <v>2503</v>
      </c>
      <c r="C1377" s="18" t="s">
        <v>2763</v>
      </c>
      <c r="D1377" s="18"/>
      <c r="E1377" s="18"/>
      <c r="F1377" s="18"/>
      <c r="G1377" s="18"/>
      <c r="H1377" s="19" t="s">
        <v>2764</v>
      </c>
      <c r="I1377" s="18" t="s">
        <v>161</v>
      </c>
      <c r="J1377" s="20">
        <v>1</v>
      </c>
      <c r="K1377" s="20">
        <v>1.1499999999999999</v>
      </c>
      <c r="L1377" s="21" t="s">
        <v>28</v>
      </c>
      <c r="M1377" s="22">
        <v>4.75</v>
      </c>
      <c r="N1377" s="22">
        <v>0</v>
      </c>
      <c r="O1377" s="22">
        <v>1324.54</v>
      </c>
      <c r="P1377" s="22">
        <f t="shared" si="210"/>
        <v>7235.2997499999992</v>
      </c>
      <c r="Q1377" s="22">
        <v>0</v>
      </c>
      <c r="R1377" s="22">
        <f t="shared" si="211"/>
        <v>0</v>
      </c>
      <c r="S1377" s="22">
        <f t="shared" si="212"/>
        <v>7235.2997499999992</v>
      </c>
      <c r="T1377" s="23">
        <v>0.55859868298040061</v>
      </c>
      <c r="U1377" s="24">
        <v>0.1</v>
      </c>
      <c r="V1377" s="25">
        <f t="shared" si="224"/>
        <v>12404.621527450261</v>
      </c>
      <c r="W1377" s="26" t="s">
        <v>29</v>
      </c>
    </row>
    <row r="1378" spans="1:23" x14ac:dyDescent="0.25">
      <c r="A1378" s="12">
        <f t="shared" ca="1" si="213"/>
        <v>1374</v>
      </c>
      <c r="B1378" s="32" t="s">
        <v>2503</v>
      </c>
      <c r="C1378" s="32" t="s">
        <v>2765</v>
      </c>
      <c r="D1378" s="32"/>
      <c r="E1378" s="32"/>
      <c r="F1378" s="32"/>
      <c r="G1378" s="32"/>
      <c r="H1378" s="31" t="s">
        <v>2766</v>
      </c>
      <c r="I1378" s="32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27"/>
      <c r="U1378" s="16"/>
      <c r="V1378" s="13"/>
      <c r="W1378" s="13"/>
    </row>
    <row r="1379" spans="1:23" ht="89.25" x14ac:dyDescent="0.25">
      <c r="A1379" s="17">
        <f t="shared" ca="1" si="213"/>
        <v>1375</v>
      </c>
      <c r="B1379" s="18" t="s">
        <v>2503</v>
      </c>
      <c r="C1379" s="18" t="s">
        <v>2767</v>
      </c>
      <c r="D1379" s="18"/>
      <c r="E1379" s="18"/>
      <c r="F1379" s="18"/>
      <c r="G1379" s="18"/>
      <c r="H1379" s="19" t="s">
        <v>2766</v>
      </c>
      <c r="I1379" s="18" t="s">
        <v>161</v>
      </c>
      <c r="J1379" s="20">
        <v>1</v>
      </c>
      <c r="K1379" s="20">
        <v>1.1499999999999999</v>
      </c>
      <c r="L1379" s="21" t="s">
        <v>28</v>
      </c>
      <c r="M1379" s="22">
        <v>19</v>
      </c>
      <c r="N1379" s="22">
        <v>0</v>
      </c>
      <c r="O1379" s="22">
        <v>1324.54</v>
      </c>
      <c r="P1379" s="22">
        <f t="shared" si="210"/>
        <v>28941.198999999997</v>
      </c>
      <c r="Q1379" s="22">
        <v>0</v>
      </c>
      <c r="R1379" s="22">
        <f t="shared" si="211"/>
        <v>0</v>
      </c>
      <c r="S1379" s="22">
        <f t="shared" si="212"/>
        <v>28941.198999999997</v>
      </c>
      <c r="T1379" s="23">
        <v>0.55859868298040061</v>
      </c>
      <c r="U1379" s="24">
        <v>0.1</v>
      </c>
      <c r="V1379" s="25">
        <f t="shared" ref="V1379:V1380" si="225">S1379+S1379*T1379+(S1379+S1379*T1379)*U1379</f>
        <v>49618.486109801044</v>
      </c>
      <c r="W1379" s="26" t="s">
        <v>29</v>
      </c>
    </row>
    <row r="1380" spans="1:23" ht="89.25" x14ac:dyDescent="0.25">
      <c r="A1380" s="17">
        <f t="shared" ca="1" si="213"/>
        <v>1376</v>
      </c>
      <c r="B1380" s="18" t="s">
        <v>2503</v>
      </c>
      <c r="C1380" s="18" t="s">
        <v>2768</v>
      </c>
      <c r="D1380" s="18"/>
      <c r="E1380" s="18"/>
      <c r="F1380" s="18"/>
      <c r="G1380" s="18"/>
      <c r="H1380" s="19" t="s">
        <v>2769</v>
      </c>
      <c r="I1380" s="18" t="s">
        <v>161</v>
      </c>
      <c r="J1380" s="20">
        <v>1</v>
      </c>
      <c r="K1380" s="20">
        <v>1.1499999999999999</v>
      </c>
      <c r="L1380" s="21" t="s">
        <v>28</v>
      </c>
      <c r="M1380" s="22">
        <v>4.75</v>
      </c>
      <c r="N1380" s="22">
        <v>0</v>
      </c>
      <c r="O1380" s="22">
        <v>1324.54</v>
      </c>
      <c r="P1380" s="22">
        <f t="shared" si="210"/>
        <v>7235.2997499999992</v>
      </c>
      <c r="Q1380" s="22">
        <v>0</v>
      </c>
      <c r="R1380" s="22">
        <f t="shared" si="211"/>
        <v>0</v>
      </c>
      <c r="S1380" s="22">
        <f t="shared" si="212"/>
        <v>7235.2997499999992</v>
      </c>
      <c r="T1380" s="23">
        <v>0.55859868298040061</v>
      </c>
      <c r="U1380" s="24">
        <v>0.1</v>
      </c>
      <c r="V1380" s="25">
        <f t="shared" si="225"/>
        <v>12404.621527450261</v>
      </c>
      <c r="W1380" s="26" t="s">
        <v>29</v>
      </c>
    </row>
    <row r="1381" spans="1:23" x14ac:dyDescent="0.25">
      <c r="A1381" s="12">
        <f t="shared" ca="1" si="213"/>
        <v>1377</v>
      </c>
      <c r="B1381" s="32" t="s">
        <v>2503</v>
      </c>
      <c r="C1381" s="32" t="s">
        <v>2770</v>
      </c>
      <c r="D1381" s="32"/>
      <c r="E1381" s="32"/>
      <c r="F1381" s="32"/>
      <c r="G1381" s="32"/>
      <c r="H1381" s="31" t="s">
        <v>2771</v>
      </c>
      <c r="I1381" s="32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27"/>
      <c r="U1381" s="16"/>
      <c r="V1381" s="13"/>
      <c r="W1381" s="13"/>
    </row>
    <row r="1382" spans="1:23" ht="89.25" x14ac:dyDescent="0.25">
      <c r="A1382" s="17">
        <f t="shared" ca="1" si="213"/>
        <v>1378</v>
      </c>
      <c r="B1382" s="18" t="s">
        <v>2503</v>
      </c>
      <c r="C1382" s="18" t="s">
        <v>2772</v>
      </c>
      <c r="D1382" s="18"/>
      <c r="E1382" s="18"/>
      <c r="F1382" s="18"/>
      <c r="G1382" s="18"/>
      <c r="H1382" s="19" t="s">
        <v>2771</v>
      </c>
      <c r="I1382" s="18" t="s">
        <v>161</v>
      </c>
      <c r="J1382" s="20">
        <v>1</v>
      </c>
      <c r="K1382" s="20">
        <v>1.1499999999999999</v>
      </c>
      <c r="L1382" s="21" t="s">
        <v>28</v>
      </c>
      <c r="M1382" s="22">
        <v>2.8499999999999996</v>
      </c>
      <c r="N1382" s="22">
        <v>0</v>
      </c>
      <c r="O1382" s="22">
        <v>1324.54</v>
      </c>
      <c r="P1382" s="22">
        <f t="shared" si="210"/>
        <v>4341.1798499999986</v>
      </c>
      <c r="Q1382" s="22">
        <v>0</v>
      </c>
      <c r="R1382" s="22">
        <f t="shared" si="211"/>
        <v>0</v>
      </c>
      <c r="S1382" s="22">
        <f t="shared" si="212"/>
        <v>4341.1798499999986</v>
      </c>
      <c r="T1382" s="23">
        <v>0.55859868298040061</v>
      </c>
      <c r="U1382" s="24">
        <v>0.1</v>
      </c>
      <c r="V1382" s="25">
        <f t="shared" ref="V1382" si="226">S1382+S1382*T1382+(S1382+S1382*T1382)*U1382</f>
        <v>7442.7729164701568</v>
      </c>
      <c r="W1382" s="26" t="s">
        <v>29</v>
      </c>
    </row>
    <row r="1383" spans="1:23" x14ac:dyDescent="0.25">
      <c r="A1383" s="28">
        <f t="shared" ca="1" si="213"/>
        <v>1379</v>
      </c>
      <c r="B1383" s="9" t="s">
        <v>2503</v>
      </c>
      <c r="C1383" s="9" t="s">
        <v>2773</v>
      </c>
      <c r="D1383" s="9"/>
      <c r="E1383" s="9"/>
      <c r="F1383" s="9"/>
      <c r="G1383" s="9"/>
      <c r="H1383" s="10" t="s">
        <v>2774</v>
      </c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29"/>
      <c r="U1383" s="11"/>
      <c r="V1383" s="9"/>
      <c r="W1383" s="9"/>
    </row>
    <row r="1384" spans="1:23" x14ac:dyDescent="0.25">
      <c r="A1384" s="12">
        <f t="shared" ca="1" si="213"/>
        <v>1380</v>
      </c>
      <c r="B1384" s="32" t="s">
        <v>2503</v>
      </c>
      <c r="C1384" s="32" t="s">
        <v>2775</v>
      </c>
      <c r="D1384" s="32"/>
      <c r="E1384" s="32"/>
      <c r="F1384" s="32"/>
      <c r="G1384" s="32"/>
      <c r="H1384" s="31" t="s">
        <v>2776</v>
      </c>
      <c r="I1384" s="32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27"/>
      <c r="U1384" s="16"/>
      <c r="V1384" s="13"/>
      <c r="W1384" s="13"/>
    </row>
    <row r="1385" spans="1:23" ht="89.25" x14ac:dyDescent="0.25">
      <c r="A1385" s="17">
        <f t="shared" ca="1" si="213"/>
        <v>1381</v>
      </c>
      <c r="B1385" s="18" t="s">
        <v>2503</v>
      </c>
      <c r="C1385" s="18" t="s">
        <v>2777</v>
      </c>
      <c r="D1385" s="18"/>
      <c r="E1385" s="18"/>
      <c r="F1385" s="18"/>
      <c r="G1385" s="18"/>
      <c r="H1385" s="19" t="s">
        <v>2776</v>
      </c>
      <c r="I1385" s="18" t="s">
        <v>161</v>
      </c>
      <c r="J1385" s="20">
        <v>1</v>
      </c>
      <c r="K1385" s="20">
        <v>1.1499999999999999</v>
      </c>
      <c r="L1385" s="21" t="s">
        <v>28</v>
      </c>
      <c r="M1385" s="22">
        <v>110.19999999999999</v>
      </c>
      <c r="N1385" s="22">
        <v>0</v>
      </c>
      <c r="O1385" s="22">
        <v>1324.54</v>
      </c>
      <c r="P1385" s="22">
        <f t="shared" si="210"/>
        <v>167858.95419999998</v>
      </c>
      <c r="Q1385" s="22">
        <v>0</v>
      </c>
      <c r="R1385" s="22">
        <f t="shared" si="211"/>
        <v>0</v>
      </c>
      <c r="S1385" s="22">
        <f t="shared" si="212"/>
        <v>167858.95419999998</v>
      </c>
      <c r="T1385" s="23">
        <v>0.55859868298040061</v>
      </c>
      <c r="U1385" s="24">
        <v>0.1</v>
      </c>
      <c r="V1385" s="25">
        <f t="shared" ref="V1385" si="227">S1385+S1385*T1385+(S1385+S1385*T1385)*U1385</f>
        <v>287787.21943684609</v>
      </c>
      <c r="W1385" s="26" t="s">
        <v>29</v>
      </c>
    </row>
    <row r="1386" spans="1:23" x14ac:dyDescent="0.25">
      <c r="A1386" s="12">
        <f t="shared" ca="1" si="213"/>
        <v>1382</v>
      </c>
      <c r="B1386" s="32" t="s">
        <v>2503</v>
      </c>
      <c r="C1386" s="32" t="s">
        <v>2778</v>
      </c>
      <c r="D1386" s="32"/>
      <c r="E1386" s="32"/>
      <c r="F1386" s="32"/>
      <c r="G1386" s="32"/>
      <c r="H1386" s="31" t="s">
        <v>2779</v>
      </c>
      <c r="I1386" s="32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27"/>
      <c r="U1386" s="16"/>
      <c r="V1386" s="13"/>
      <c r="W1386" s="13"/>
    </row>
    <row r="1387" spans="1:23" ht="89.25" x14ac:dyDescent="0.25">
      <c r="A1387" s="17">
        <f t="shared" ca="1" si="213"/>
        <v>1383</v>
      </c>
      <c r="B1387" s="18" t="s">
        <v>2503</v>
      </c>
      <c r="C1387" s="18" t="s">
        <v>2780</v>
      </c>
      <c r="D1387" s="18"/>
      <c r="E1387" s="18"/>
      <c r="F1387" s="18"/>
      <c r="G1387" s="18"/>
      <c r="H1387" s="19" t="s">
        <v>2779</v>
      </c>
      <c r="I1387" s="18" t="s">
        <v>161</v>
      </c>
      <c r="J1387" s="20">
        <v>1</v>
      </c>
      <c r="K1387" s="20">
        <v>1.1499999999999999</v>
      </c>
      <c r="L1387" s="21" t="s">
        <v>28</v>
      </c>
      <c r="M1387" s="22">
        <v>1.9</v>
      </c>
      <c r="N1387" s="22">
        <v>0</v>
      </c>
      <c r="O1387" s="22">
        <v>1324.54</v>
      </c>
      <c r="P1387" s="22">
        <f t="shared" si="210"/>
        <v>2894.1198999999997</v>
      </c>
      <c r="Q1387" s="22">
        <v>0</v>
      </c>
      <c r="R1387" s="22">
        <f t="shared" si="211"/>
        <v>0</v>
      </c>
      <c r="S1387" s="22">
        <f t="shared" si="212"/>
        <v>2894.1198999999997</v>
      </c>
      <c r="T1387" s="23">
        <v>0.55859868298040061</v>
      </c>
      <c r="U1387" s="24">
        <v>0.1</v>
      </c>
      <c r="V1387" s="25">
        <f t="shared" ref="V1387" si="228">S1387+S1387*T1387+(S1387+S1387*T1387)*U1387</f>
        <v>4961.8486109801051</v>
      </c>
      <c r="W1387" s="26" t="s">
        <v>29</v>
      </c>
    </row>
    <row r="1388" spans="1:23" x14ac:dyDescent="0.25">
      <c r="A1388" s="12">
        <f t="shared" ca="1" si="213"/>
        <v>1384</v>
      </c>
      <c r="B1388" s="32" t="s">
        <v>2503</v>
      </c>
      <c r="C1388" s="32" t="s">
        <v>2781</v>
      </c>
      <c r="D1388" s="32"/>
      <c r="E1388" s="32"/>
      <c r="F1388" s="32"/>
      <c r="G1388" s="32"/>
      <c r="H1388" s="31" t="s">
        <v>2782</v>
      </c>
      <c r="I1388" s="32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27"/>
      <c r="U1388" s="16"/>
      <c r="V1388" s="13"/>
      <c r="W1388" s="13"/>
    </row>
    <row r="1389" spans="1:23" ht="89.25" x14ac:dyDescent="0.25">
      <c r="A1389" s="17">
        <f t="shared" ca="1" si="213"/>
        <v>1385</v>
      </c>
      <c r="B1389" s="18" t="s">
        <v>2503</v>
      </c>
      <c r="C1389" s="18" t="s">
        <v>2783</v>
      </c>
      <c r="D1389" s="18"/>
      <c r="E1389" s="18"/>
      <c r="F1389" s="18"/>
      <c r="G1389" s="18"/>
      <c r="H1389" s="19" t="s">
        <v>2782</v>
      </c>
      <c r="I1389" s="18" t="s">
        <v>2527</v>
      </c>
      <c r="J1389" s="20">
        <v>1</v>
      </c>
      <c r="K1389" s="20">
        <v>1.1499999999999999</v>
      </c>
      <c r="L1389" s="21" t="s">
        <v>28</v>
      </c>
      <c r="M1389" s="22">
        <v>4.75</v>
      </c>
      <c r="N1389" s="22">
        <v>0</v>
      </c>
      <c r="O1389" s="22">
        <v>1324.54</v>
      </c>
      <c r="P1389" s="22">
        <f t="shared" si="210"/>
        <v>7235.2997499999992</v>
      </c>
      <c r="Q1389" s="22">
        <v>0</v>
      </c>
      <c r="R1389" s="22">
        <f t="shared" si="211"/>
        <v>0</v>
      </c>
      <c r="S1389" s="22">
        <f t="shared" si="212"/>
        <v>7235.2997499999992</v>
      </c>
      <c r="T1389" s="23">
        <v>0.55859868298040061</v>
      </c>
      <c r="U1389" s="24">
        <v>0.1</v>
      </c>
      <c r="V1389" s="25">
        <f t="shared" ref="V1389:V1391" si="229">S1389+S1389*T1389+(S1389+S1389*T1389)*U1389</f>
        <v>12404.621527450261</v>
      </c>
      <c r="W1389" s="26" t="s">
        <v>29</v>
      </c>
    </row>
    <row r="1390" spans="1:23" ht="89.25" x14ac:dyDescent="0.25">
      <c r="A1390" s="17">
        <f t="shared" ca="1" si="213"/>
        <v>1386</v>
      </c>
      <c r="B1390" s="18" t="s">
        <v>2503</v>
      </c>
      <c r="C1390" s="18" t="s">
        <v>2784</v>
      </c>
      <c r="D1390" s="18"/>
      <c r="E1390" s="18"/>
      <c r="F1390" s="18"/>
      <c r="G1390" s="18"/>
      <c r="H1390" s="19" t="s">
        <v>2785</v>
      </c>
      <c r="I1390" s="18" t="s">
        <v>2527</v>
      </c>
      <c r="J1390" s="20">
        <v>1</v>
      </c>
      <c r="K1390" s="20">
        <v>1.1499999999999999</v>
      </c>
      <c r="L1390" s="21" t="s">
        <v>28</v>
      </c>
      <c r="M1390" s="22">
        <v>2.375</v>
      </c>
      <c r="N1390" s="22">
        <v>0</v>
      </c>
      <c r="O1390" s="22">
        <v>1324.54</v>
      </c>
      <c r="P1390" s="22">
        <f t="shared" si="210"/>
        <v>3617.6498749999996</v>
      </c>
      <c r="Q1390" s="22">
        <v>0</v>
      </c>
      <c r="R1390" s="22">
        <f t="shared" si="211"/>
        <v>0</v>
      </c>
      <c r="S1390" s="22">
        <f t="shared" si="212"/>
        <v>3617.6498749999996</v>
      </c>
      <c r="T1390" s="23">
        <v>0.55859868298040061</v>
      </c>
      <c r="U1390" s="24">
        <v>0.1</v>
      </c>
      <c r="V1390" s="25">
        <f t="shared" si="229"/>
        <v>6202.3107637251305</v>
      </c>
      <c r="W1390" s="26" t="s">
        <v>29</v>
      </c>
    </row>
    <row r="1391" spans="1:23" ht="89.25" x14ac:dyDescent="0.25">
      <c r="A1391" s="17">
        <f t="shared" ca="1" si="213"/>
        <v>1387</v>
      </c>
      <c r="B1391" s="18" t="s">
        <v>2503</v>
      </c>
      <c r="C1391" s="18" t="s">
        <v>2786</v>
      </c>
      <c r="D1391" s="18"/>
      <c r="E1391" s="18"/>
      <c r="F1391" s="18"/>
      <c r="G1391" s="18"/>
      <c r="H1391" s="19" t="s">
        <v>2787</v>
      </c>
      <c r="I1391" s="18" t="s">
        <v>2527</v>
      </c>
      <c r="J1391" s="20">
        <v>1</v>
      </c>
      <c r="K1391" s="20">
        <v>1.1499999999999999</v>
      </c>
      <c r="L1391" s="21" t="s">
        <v>28</v>
      </c>
      <c r="M1391" s="22">
        <v>2.375</v>
      </c>
      <c r="N1391" s="22">
        <v>0</v>
      </c>
      <c r="O1391" s="22">
        <v>1324.54</v>
      </c>
      <c r="P1391" s="22">
        <f t="shared" si="210"/>
        <v>3617.6498749999996</v>
      </c>
      <c r="Q1391" s="22">
        <v>0</v>
      </c>
      <c r="R1391" s="22">
        <f t="shared" si="211"/>
        <v>0</v>
      </c>
      <c r="S1391" s="22">
        <f t="shared" si="212"/>
        <v>3617.6498749999996</v>
      </c>
      <c r="T1391" s="23">
        <v>0.55859868298040061</v>
      </c>
      <c r="U1391" s="24">
        <v>0.1</v>
      </c>
      <c r="V1391" s="25">
        <f t="shared" si="229"/>
        <v>6202.3107637251305</v>
      </c>
      <c r="W1391" s="26" t="s">
        <v>29</v>
      </c>
    </row>
    <row r="1392" spans="1:23" x14ac:dyDescent="0.25">
      <c r="A1392" s="28">
        <f t="shared" ca="1" si="213"/>
        <v>1388</v>
      </c>
      <c r="B1392" s="9" t="s">
        <v>2503</v>
      </c>
      <c r="C1392" s="9" t="s">
        <v>2788</v>
      </c>
      <c r="D1392" s="9"/>
      <c r="E1392" s="9"/>
      <c r="F1392" s="9"/>
      <c r="G1392" s="9"/>
      <c r="H1392" s="10" t="s">
        <v>2789</v>
      </c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29"/>
      <c r="U1392" s="11"/>
      <c r="V1392" s="9"/>
      <c r="W1392" s="9"/>
    </row>
    <row r="1393" spans="1:23" x14ac:dyDescent="0.25">
      <c r="A1393" s="12">
        <f t="shared" ca="1" si="213"/>
        <v>1389</v>
      </c>
      <c r="B1393" s="32" t="s">
        <v>2503</v>
      </c>
      <c r="C1393" s="32" t="s">
        <v>2790</v>
      </c>
      <c r="D1393" s="32"/>
      <c r="E1393" s="32"/>
      <c r="F1393" s="32"/>
      <c r="G1393" s="32"/>
      <c r="H1393" s="31" t="s">
        <v>2791</v>
      </c>
      <c r="I1393" s="32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27"/>
      <c r="U1393" s="16"/>
      <c r="V1393" s="13"/>
      <c r="W1393" s="13"/>
    </row>
    <row r="1394" spans="1:23" ht="89.25" x14ac:dyDescent="0.25">
      <c r="A1394" s="17">
        <f t="shared" ca="1" si="213"/>
        <v>1390</v>
      </c>
      <c r="B1394" s="18" t="s">
        <v>2503</v>
      </c>
      <c r="C1394" s="18" t="s">
        <v>2792</v>
      </c>
      <c r="D1394" s="18"/>
      <c r="E1394" s="18"/>
      <c r="F1394" s="18"/>
      <c r="G1394" s="18"/>
      <c r="H1394" s="19" t="s">
        <v>2791</v>
      </c>
      <c r="I1394" s="18" t="s">
        <v>161</v>
      </c>
      <c r="J1394" s="20">
        <v>1</v>
      </c>
      <c r="K1394" s="20">
        <v>1.1499999999999999</v>
      </c>
      <c r="L1394" s="21" t="s">
        <v>28</v>
      </c>
      <c r="M1394" s="22">
        <v>9.5</v>
      </c>
      <c r="N1394" s="22">
        <v>0</v>
      </c>
      <c r="O1394" s="22">
        <v>1324.54</v>
      </c>
      <c r="P1394" s="22">
        <f t="shared" si="210"/>
        <v>14470.599499999998</v>
      </c>
      <c r="Q1394" s="22">
        <v>0</v>
      </c>
      <c r="R1394" s="22">
        <f t="shared" si="211"/>
        <v>0</v>
      </c>
      <c r="S1394" s="22">
        <f t="shared" si="212"/>
        <v>14470.599499999998</v>
      </c>
      <c r="T1394" s="23">
        <v>0.55859868298040061</v>
      </c>
      <c r="U1394" s="24">
        <v>0.1</v>
      </c>
      <c r="V1394" s="25">
        <f t="shared" ref="V1394" si="230">S1394+S1394*T1394+(S1394+S1394*T1394)*U1394</f>
        <v>24809.243054900522</v>
      </c>
      <c r="W1394" s="26" t="s">
        <v>29</v>
      </c>
    </row>
    <row r="1395" spans="1:23" x14ac:dyDescent="0.25">
      <c r="A1395" s="12">
        <f t="shared" ca="1" si="213"/>
        <v>1391</v>
      </c>
      <c r="B1395" s="32" t="s">
        <v>2503</v>
      </c>
      <c r="C1395" s="32" t="s">
        <v>2793</v>
      </c>
      <c r="D1395" s="32"/>
      <c r="E1395" s="32"/>
      <c r="F1395" s="32"/>
      <c r="G1395" s="32"/>
      <c r="H1395" s="31" t="s">
        <v>2794</v>
      </c>
      <c r="I1395" s="32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27"/>
      <c r="U1395" s="16"/>
      <c r="V1395" s="13"/>
      <c r="W1395" s="13"/>
    </row>
    <row r="1396" spans="1:23" ht="89.25" x14ac:dyDescent="0.25">
      <c r="A1396" s="17">
        <f t="shared" ca="1" si="213"/>
        <v>1392</v>
      </c>
      <c r="B1396" s="18" t="s">
        <v>2503</v>
      </c>
      <c r="C1396" s="18" t="s">
        <v>2795</v>
      </c>
      <c r="D1396" s="18"/>
      <c r="E1396" s="18"/>
      <c r="F1396" s="18"/>
      <c r="G1396" s="18"/>
      <c r="H1396" s="19" t="s">
        <v>2794</v>
      </c>
      <c r="I1396" s="18" t="s">
        <v>161</v>
      </c>
      <c r="J1396" s="20">
        <v>1</v>
      </c>
      <c r="K1396" s="20">
        <v>1.1499999999999999</v>
      </c>
      <c r="L1396" s="21" t="s">
        <v>28</v>
      </c>
      <c r="M1396" s="22">
        <v>9.5</v>
      </c>
      <c r="N1396" s="22">
        <v>0</v>
      </c>
      <c r="O1396" s="22">
        <v>1324.54</v>
      </c>
      <c r="P1396" s="22">
        <f t="shared" si="210"/>
        <v>14470.599499999998</v>
      </c>
      <c r="Q1396" s="22">
        <v>0</v>
      </c>
      <c r="R1396" s="22">
        <f t="shared" si="211"/>
        <v>0</v>
      </c>
      <c r="S1396" s="22">
        <f t="shared" si="212"/>
        <v>14470.599499999998</v>
      </c>
      <c r="T1396" s="23">
        <v>0.55859868298040061</v>
      </c>
      <c r="U1396" s="24">
        <v>0.1</v>
      </c>
      <c r="V1396" s="25">
        <f t="shared" ref="V1396" si="231">S1396+S1396*T1396+(S1396+S1396*T1396)*U1396</f>
        <v>24809.243054900522</v>
      </c>
      <c r="W1396" s="26" t="s">
        <v>29</v>
      </c>
    </row>
    <row r="1397" spans="1:23" x14ac:dyDescent="0.25">
      <c r="A1397" s="28">
        <f t="shared" ca="1" si="213"/>
        <v>1393</v>
      </c>
      <c r="B1397" s="9" t="s">
        <v>2503</v>
      </c>
      <c r="C1397" s="9" t="s">
        <v>2796</v>
      </c>
      <c r="D1397" s="9"/>
      <c r="E1397" s="9"/>
      <c r="F1397" s="9"/>
      <c r="G1397" s="9"/>
      <c r="H1397" s="10" t="s">
        <v>2797</v>
      </c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29"/>
      <c r="U1397" s="11"/>
      <c r="V1397" s="9"/>
      <c r="W1397" s="9"/>
    </row>
    <row r="1398" spans="1:23" x14ac:dyDescent="0.25">
      <c r="A1398" s="12">
        <f t="shared" ca="1" si="213"/>
        <v>1394</v>
      </c>
      <c r="B1398" s="32" t="s">
        <v>2503</v>
      </c>
      <c r="C1398" s="32" t="s">
        <v>2798</v>
      </c>
      <c r="D1398" s="32"/>
      <c r="E1398" s="32"/>
      <c r="F1398" s="32"/>
      <c r="G1398" s="32"/>
      <c r="H1398" s="31" t="s">
        <v>2799</v>
      </c>
      <c r="I1398" s="32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27"/>
      <c r="U1398" s="16"/>
      <c r="V1398" s="13"/>
      <c r="W1398" s="13"/>
    </row>
    <row r="1399" spans="1:23" ht="89.25" x14ac:dyDescent="0.25">
      <c r="A1399" s="17">
        <f t="shared" ca="1" si="213"/>
        <v>1395</v>
      </c>
      <c r="B1399" s="18" t="s">
        <v>2503</v>
      </c>
      <c r="C1399" s="18" t="s">
        <v>2800</v>
      </c>
      <c r="D1399" s="18"/>
      <c r="E1399" s="18"/>
      <c r="F1399" s="18"/>
      <c r="G1399" s="18"/>
      <c r="H1399" s="19" t="s">
        <v>2799</v>
      </c>
      <c r="I1399" s="18" t="s">
        <v>161</v>
      </c>
      <c r="J1399" s="20">
        <v>1</v>
      </c>
      <c r="K1399" s="20">
        <v>1.1499999999999999</v>
      </c>
      <c r="L1399" s="21" t="s">
        <v>28</v>
      </c>
      <c r="M1399" s="22">
        <v>44.65</v>
      </c>
      <c r="N1399" s="22">
        <v>0</v>
      </c>
      <c r="O1399" s="22">
        <v>1324.54</v>
      </c>
      <c r="P1399" s="22">
        <f t="shared" si="210"/>
        <v>68011.817649999983</v>
      </c>
      <c r="Q1399" s="22">
        <v>0</v>
      </c>
      <c r="R1399" s="22">
        <f t="shared" si="211"/>
        <v>0</v>
      </c>
      <c r="S1399" s="22">
        <f t="shared" si="212"/>
        <v>68011.817649999983</v>
      </c>
      <c r="T1399" s="23">
        <v>0.55859868298040061</v>
      </c>
      <c r="U1399" s="24">
        <v>0.1</v>
      </c>
      <c r="V1399" s="25">
        <f t="shared" ref="V1399" si="232">S1399+S1399*T1399+(S1399+S1399*T1399)*U1399</f>
        <v>116603.44235803247</v>
      </c>
      <c r="W1399" s="26" t="s">
        <v>29</v>
      </c>
    </row>
    <row r="1400" spans="1:23" x14ac:dyDescent="0.25">
      <c r="A1400" s="12">
        <f t="shared" ca="1" si="213"/>
        <v>1396</v>
      </c>
      <c r="B1400" s="32" t="s">
        <v>2503</v>
      </c>
      <c r="C1400" s="32" t="s">
        <v>2801</v>
      </c>
      <c r="D1400" s="32"/>
      <c r="E1400" s="32"/>
      <c r="F1400" s="32"/>
      <c r="G1400" s="32"/>
      <c r="H1400" s="31" t="s">
        <v>2802</v>
      </c>
      <c r="I1400" s="32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27"/>
      <c r="U1400" s="16"/>
      <c r="V1400" s="13"/>
      <c r="W1400" s="13"/>
    </row>
    <row r="1401" spans="1:23" ht="89.25" x14ac:dyDescent="0.25">
      <c r="A1401" s="17">
        <f t="shared" ca="1" si="213"/>
        <v>1397</v>
      </c>
      <c r="B1401" s="18" t="s">
        <v>2503</v>
      </c>
      <c r="C1401" s="18" t="s">
        <v>2803</v>
      </c>
      <c r="D1401" s="18"/>
      <c r="E1401" s="18"/>
      <c r="F1401" s="18"/>
      <c r="G1401" s="18"/>
      <c r="H1401" s="19" t="s">
        <v>2802</v>
      </c>
      <c r="I1401" s="18" t="s">
        <v>161</v>
      </c>
      <c r="J1401" s="20">
        <v>1</v>
      </c>
      <c r="K1401" s="20">
        <v>1.1499999999999999</v>
      </c>
      <c r="L1401" s="21" t="s">
        <v>28</v>
      </c>
      <c r="M1401" s="22">
        <v>10.45</v>
      </c>
      <c r="N1401" s="22">
        <v>0</v>
      </c>
      <c r="O1401" s="22">
        <v>1324.54</v>
      </c>
      <c r="P1401" s="22">
        <f t="shared" si="210"/>
        <v>15917.659449999997</v>
      </c>
      <c r="Q1401" s="22">
        <v>0</v>
      </c>
      <c r="R1401" s="22">
        <f t="shared" si="211"/>
        <v>0</v>
      </c>
      <c r="S1401" s="22">
        <f t="shared" si="212"/>
        <v>15917.659449999997</v>
      </c>
      <c r="T1401" s="23">
        <v>0.55859868298040061</v>
      </c>
      <c r="U1401" s="24">
        <v>0.1</v>
      </c>
      <c r="V1401" s="25">
        <f t="shared" ref="V1401" si="233">S1401+S1401*T1401+(S1401+S1401*T1401)*U1401</f>
        <v>27290.167360390573</v>
      </c>
      <c r="W1401" s="26" t="s">
        <v>29</v>
      </c>
    </row>
    <row r="1402" spans="1:23" x14ac:dyDescent="0.25">
      <c r="A1402" s="12">
        <f t="shared" ca="1" si="213"/>
        <v>1398</v>
      </c>
      <c r="B1402" s="32" t="s">
        <v>2503</v>
      </c>
      <c r="C1402" s="32" t="s">
        <v>2804</v>
      </c>
      <c r="D1402" s="32"/>
      <c r="E1402" s="32"/>
      <c r="F1402" s="32"/>
      <c r="G1402" s="32"/>
      <c r="H1402" s="31" t="s">
        <v>2805</v>
      </c>
      <c r="I1402" s="32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27"/>
      <c r="U1402" s="16"/>
      <c r="V1402" s="13"/>
      <c r="W1402" s="13"/>
    </row>
    <row r="1403" spans="1:23" ht="89.25" x14ac:dyDescent="0.25">
      <c r="A1403" s="17">
        <f t="shared" ca="1" si="213"/>
        <v>1399</v>
      </c>
      <c r="B1403" s="18" t="s">
        <v>2503</v>
      </c>
      <c r="C1403" s="18" t="s">
        <v>2806</v>
      </c>
      <c r="D1403" s="18"/>
      <c r="E1403" s="18"/>
      <c r="F1403" s="18"/>
      <c r="G1403" s="18"/>
      <c r="H1403" s="19" t="s">
        <v>2805</v>
      </c>
      <c r="I1403" s="18" t="s">
        <v>161</v>
      </c>
      <c r="J1403" s="20">
        <v>1</v>
      </c>
      <c r="K1403" s="20">
        <v>1.1499999999999999</v>
      </c>
      <c r="L1403" s="21" t="s">
        <v>28</v>
      </c>
      <c r="M1403" s="22">
        <v>9.5</v>
      </c>
      <c r="N1403" s="22">
        <v>0</v>
      </c>
      <c r="O1403" s="22">
        <v>1324.54</v>
      </c>
      <c r="P1403" s="22">
        <f t="shared" ref="P1403:P1465" si="234">O1403*M1403*K1403</f>
        <v>14470.599499999998</v>
      </c>
      <c r="Q1403" s="22">
        <v>0</v>
      </c>
      <c r="R1403" s="22">
        <f t="shared" ref="R1403:R1465" si="235">N1403*Q1403*K1403</f>
        <v>0</v>
      </c>
      <c r="S1403" s="22">
        <f t="shared" ref="S1403:S1465" si="236">P1403+R1403</f>
        <v>14470.599499999998</v>
      </c>
      <c r="T1403" s="23">
        <v>0.55859868298040061</v>
      </c>
      <c r="U1403" s="24">
        <v>0.1</v>
      </c>
      <c r="V1403" s="25">
        <f t="shared" ref="V1403:V1404" si="237">S1403+S1403*T1403+(S1403+S1403*T1403)*U1403</f>
        <v>24809.243054900522</v>
      </c>
      <c r="W1403" s="26" t="s">
        <v>29</v>
      </c>
    </row>
    <row r="1404" spans="1:23" ht="89.25" x14ac:dyDescent="0.25">
      <c r="A1404" s="17">
        <f t="shared" ca="1" si="213"/>
        <v>1400</v>
      </c>
      <c r="B1404" s="18" t="s">
        <v>2503</v>
      </c>
      <c r="C1404" s="18" t="s">
        <v>2807</v>
      </c>
      <c r="D1404" s="18"/>
      <c r="E1404" s="18"/>
      <c r="F1404" s="18"/>
      <c r="G1404" s="18"/>
      <c r="H1404" s="19" t="s">
        <v>2808</v>
      </c>
      <c r="I1404" s="18" t="s">
        <v>161</v>
      </c>
      <c r="J1404" s="20">
        <v>1</v>
      </c>
      <c r="K1404" s="20">
        <v>1.1499999999999999</v>
      </c>
      <c r="L1404" s="21" t="s">
        <v>28</v>
      </c>
      <c r="M1404" s="22">
        <v>28.5</v>
      </c>
      <c r="N1404" s="22">
        <v>0</v>
      </c>
      <c r="O1404" s="22">
        <v>1324.54</v>
      </c>
      <c r="P1404" s="22">
        <f t="shared" si="234"/>
        <v>43411.798499999997</v>
      </c>
      <c r="Q1404" s="22">
        <v>0</v>
      </c>
      <c r="R1404" s="22">
        <f t="shared" si="235"/>
        <v>0</v>
      </c>
      <c r="S1404" s="22">
        <f t="shared" si="236"/>
        <v>43411.798499999997</v>
      </c>
      <c r="T1404" s="23">
        <v>0.55859868298040061</v>
      </c>
      <c r="U1404" s="24">
        <v>0.1</v>
      </c>
      <c r="V1404" s="25">
        <f t="shared" si="237"/>
        <v>74427.729164701581</v>
      </c>
      <c r="W1404" s="26" t="s">
        <v>29</v>
      </c>
    </row>
    <row r="1405" spans="1:23" x14ac:dyDescent="0.25">
      <c r="A1405" s="12">
        <f t="shared" ca="1" si="213"/>
        <v>1401</v>
      </c>
      <c r="B1405" s="32" t="s">
        <v>2503</v>
      </c>
      <c r="C1405" s="32" t="s">
        <v>2809</v>
      </c>
      <c r="D1405" s="32"/>
      <c r="E1405" s="32"/>
      <c r="F1405" s="32"/>
      <c r="G1405" s="32"/>
      <c r="H1405" s="31" t="s">
        <v>2810</v>
      </c>
      <c r="I1405" s="32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27"/>
      <c r="U1405" s="16"/>
      <c r="V1405" s="13"/>
      <c r="W1405" s="13"/>
    </row>
    <row r="1406" spans="1:23" ht="89.25" x14ac:dyDescent="0.25">
      <c r="A1406" s="17">
        <f t="shared" ca="1" si="213"/>
        <v>1402</v>
      </c>
      <c r="B1406" s="18" t="s">
        <v>2503</v>
      </c>
      <c r="C1406" s="18" t="s">
        <v>2811</v>
      </c>
      <c r="D1406" s="18"/>
      <c r="E1406" s="18"/>
      <c r="F1406" s="18"/>
      <c r="G1406" s="18"/>
      <c r="H1406" s="19" t="s">
        <v>2810</v>
      </c>
      <c r="I1406" s="18" t="s">
        <v>161</v>
      </c>
      <c r="J1406" s="20">
        <v>1</v>
      </c>
      <c r="K1406" s="20">
        <v>1.1499999999999999</v>
      </c>
      <c r="L1406" s="21" t="s">
        <v>28</v>
      </c>
      <c r="M1406" s="22">
        <v>9.5</v>
      </c>
      <c r="N1406" s="22">
        <v>0</v>
      </c>
      <c r="O1406" s="22">
        <v>1324.54</v>
      </c>
      <c r="P1406" s="22">
        <f t="shared" si="234"/>
        <v>14470.599499999998</v>
      </c>
      <c r="Q1406" s="22">
        <v>0</v>
      </c>
      <c r="R1406" s="22">
        <f t="shared" si="235"/>
        <v>0</v>
      </c>
      <c r="S1406" s="22">
        <f t="shared" si="236"/>
        <v>14470.599499999998</v>
      </c>
      <c r="T1406" s="23">
        <v>0.55859868298040061</v>
      </c>
      <c r="U1406" s="24">
        <v>0.1</v>
      </c>
      <c r="V1406" s="25">
        <f t="shared" ref="V1406" si="238">S1406+S1406*T1406+(S1406+S1406*T1406)*U1406</f>
        <v>24809.243054900522</v>
      </c>
      <c r="W1406" s="26" t="s">
        <v>29</v>
      </c>
    </row>
    <row r="1407" spans="1:23" x14ac:dyDescent="0.25">
      <c r="A1407" s="12">
        <f t="shared" ca="1" si="213"/>
        <v>1403</v>
      </c>
      <c r="B1407" s="32" t="s">
        <v>2503</v>
      </c>
      <c r="C1407" s="32" t="s">
        <v>2812</v>
      </c>
      <c r="D1407" s="32"/>
      <c r="E1407" s="32"/>
      <c r="F1407" s="32"/>
      <c r="G1407" s="32"/>
      <c r="H1407" s="31" t="s">
        <v>2813</v>
      </c>
      <c r="I1407" s="32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27"/>
      <c r="U1407" s="16"/>
      <c r="V1407" s="13"/>
      <c r="W1407" s="13"/>
    </row>
    <row r="1408" spans="1:23" ht="89.25" x14ac:dyDescent="0.25">
      <c r="A1408" s="17">
        <f t="shared" ca="1" si="213"/>
        <v>1404</v>
      </c>
      <c r="B1408" s="18" t="s">
        <v>2503</v>
      </c>
      <c r="C1408" s="18" t="s">
        <v>2814</v>
      </c>
      <c r="D1408" s="18"/>
      <c r="E1408" s="18"/>
      <c r="F1408" s="18"/>
      <c r="G1408" s="18"/>
      <c r="H1408" s="19" t="s">
        <v>2813</v>
      </c>
      <c r="I1408" s="18" t="s">
        <v>161</v>
      </c>
      <c r="J1408" s="20">
        <v>1</v>
      </c>
      <c r="K1408" s="20">
        <v>1.1499999999999999</v>
      </c>
      <c r="L1408" s="21" t="s">
        <v>28</v>
      </c>
      <c r="M1408" s="22">
        <v>28.5</v>
      </c>
      <c r="N1408" s="22">
        <v>0</v>
      </c>
      <c r="O1408" s="22">
        <v>1324.54</v>
      </c>
      <c r="P1408" s="22">
        <f t="shared" si="234"/>
        <v>43411.798499999997</v>
      </c>
      <c r="Q1408" s="22">
        <v>0</v>
      </c>
      <c r="R1408" s="22">
        <f t="shared" si="235"/>
        <v>0</v>
      </c>
      <c r="S1408" s="22">
        <f t="shared" si="236"/>
        <v>43411.798499999997</v>
      </c>
      <c r="T1408" s="23">
        <v>0.55859868298040061</v>
      </c>
      <c r="U1408" s="24">
        <v>0.1</v>
      </c>
      <c r="V1408" s="25">
        <f t="shared" ref="V1408" si="239">S1408+S1408*T1408+(S1408+S1408*T1408)*U1408</f>
        <v>74427.729164701581</v>
      </c>
      <c r="W1408" s="26" t="s">
        <v>29</v>
      </c>
    </row>
    <row r="1409" spans="1:23" x14ac:dyDescent="0.25">
      <c r="A1409" s="12">
        <f t="shared" ca="1" si="213"/>
        <v>1405</v>
      </c>
      <c r="B1409" s="32" t="s">
        <v>2503</v>
      </c>
      <c r="C1409" s="32" t="s">
        <v>2815</v>
      </c>
      <c r="D1409" s="32"/>
      <c r="E1409" s="32"/>
      <c r="F1409" s="32"/>
      <c r="G1409" s="32"/>
      <c r="H1409" s="31" t="s">
        <v>2816</v>
      </c>
      <c r="I1409" s="32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27"/>
      <c r="U1409" s="16"/>
      <c r="V1409" s="13"/>
      <c r="W1409" s="13"/>
    </row>
    <row r="1410" spans="1:23" ht="89.25" x14ac:dyDescent="0.25">
      <c r="A1410" s="17">
        <f t="shared" ca="1" si="213"/>
        <v>1406</v>
      </c>
      <c r="B1410" s="18" t="s">
        <v>2503</v>
      </c>
      <c r="C1410" s="18" t="s">
        <v>2817</v>
      </c>
      <c r="D1410" s="18"/>
      <c r="E1410" s="18"/>
      <c r="F1410" s="18"/>
      <c r="G1410" s="18"/>
      <c r="H1410" s="19" t="s">
        <v>2816</v>
      </c>
      <c r="I1410" s="18" t="s">
        <v>161</v>
      </c>
      <c r="J1410" s="20">
        <v>1</v>
      </c>
      <c r="K1410" s="20">
        <v>1.1499999999999999</v>
      </c>
      <c r="L1410" s="21" t="s">
        <v>28</v>
      </c>
      <c r="M1410" s="22">
        <v>9.5</v>
      </c>
      <c r="N1410" s="22">
        <v>0</v>
      </c>
      <c r="O1410" s="22">
        <v>1324.54</v>
      </c>
      <c r="P1410" s="22">
        <f t="shared" si="234"/>
        <v>14470.599499999998</v>
      </c>
      <c r="Q1410" s="22">
        <v>0</v>
      </c>
      <c r="R1410" s="22">
        <f t="shared" si="235"/>
        <v>0</v>
      </c>
      <c r="S1410" s="22">
        <f t="shared" si="236"/>
        <v>14470.599499999998</v>
      </c>
      <c r="T1410" s="23">
        <v>0.55859868298040061</v>
      </c>
      <c r="U1410" s="24">
        <v>0.1</v>
      </c>
      <c r="V1410" s="25">
        <f t="shared" ref="V1410" si="240">S1410+S1410*T1410+(S1410+S1410*T1410)*U1410</f>
        <v>24809.243054900522</v>
      </c>
      <c r="W1410" s="26" t="s">
        <v>29</v>
      </c>
    </row>
    <row r="1411" spans="1:23" x14ac:dyDescent="0.25">
      <c r="A1411" s="28">
        <f t="shared" ref="A1411:A1474" ca="1" si="241">CELL("строка",A1411)-4</f>
        <v>1407</v>
      </c>
      <c r="B1411" s="9" t="s">
        <v>2503</v>
      </c>
      <c r="C1411" s="9" t="s">
        <v>2818</v>
      </c>
      <c r="D1411" s="9"/>
      <c r="E1411" s="9"/>
      <c r="F1411" s="9"/>
      <c r="G1411" s="9"/>
      <c r="H1411" s="10" t="s">
        <v>2819</v>
      </c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29"/>
      <c r="U1411" s="11"/>
      <c r="V1411" s="9"/>
      <c r="W1411" s="9"/>
    </row>
    <row r="1412" spans="1:23" x14ac:dyDescent="0.25">
      <c r="A1412" s="12">
        <f t="shared" ca="1" si="241"/>
        <v>1408</v>
      </c>
      <c r="B1412" s="32" t="s">
        <v>2503</v>
      </c>
      <c r="C1412" s="32" t="s">
        <v>2820</v>
      </c>
      <c r="D1412" s="32"/>
      <c r="E1412" s="32"/>
      <c r="F1412" s="32"/>
      <c r="G1412" s="32"/>
      <c r="H1412" s="31" t="s">
        <v>2821</v>
      </c>
      <c r="I1412" s="32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27"/>
      <c r="U1412" s="16"/>
      <c r="V1412" s="13"/>
      <c r="W1412" s="13"/>
    </row>
    <row r="1413" spans="1:23" ht="89.25" x14ac:dyDescent="0.25">
      <c r="A1413" s="17">
        <f t="shared" ca="1" si="241"/>
        <v>1409</v>
      </c>
      <c r="B1413" s="18" t="s">
        <v>2503</v>
      </c>
      <c r="C1413" s="18" t="s">
        <v>2822</v>
      </c>
      <c r="D1413" s="18"/>
      <c r="E1413" s="18"/>
      <c r="F1413" s="18"/>
      <c r="G1413" s="18"/>
      <c r="H1413" s="19" t="s">
        <v>2821</v>
      </c>
      <c r="I1413" s="18" t="s">
        <v>2679</v>
      </c>
      <c r="J1413" s="20">
        <v>1</v>
      </c>
      <c r="K1413" s="20">
        <v>1.1499999999999999</v>
      </c>
      <c r="L1413" s="21" t="s">
        <v>28</v>
      </c>
      <c r="M1413" s="22">
        <v>1.9</v>
      </c>
      <c r="N1413" s="22">
        <v>0</v>
      </c>
      <c r="O1413" s="22">
        <v>1324.54</v>
      </c>
      <c r="P1413" s="22">
        <f t="shared" si="234"/>
        <v>2894.1198999999997</v>
      </c>
      <c r="Q1413" s="22">
        <v>0</v>
      </c>
      <c r="R1413" s="22">
        <f t="shared" si="235"/>
        <v>0</v>
      </c>
      <c r="S1413" s="22">
        <f t="shared" si="236"/>
        <v>2894.1198999999997</v>
      </c>
      <c r="T1413" s="23">
        <v>0.55859868298040061</v>
      </c>
      <c r="U1413" s="24">
        <v>0.1</v>
      </c>
      <c r="V1413" s="25">
        <f t="shared" ref="V1413" si="242">S1413+S1413*T1413+(S1413+S1413*T1413)*U1413</f>
        <v>4961.8486109801051</v>
      </c>
      <c r="W1413" s="26" t="s">
        <v>29</v>
      </c>
    </row>
    <row r="1414" spans="1:23" x14ac:dyDescent="0.25">
      <c r="A1414" s="12">
        <f t="shared" ca="1" si="241"/>
        <v>1410</v>
      </c>
      <c r="B1414" s="32" t="s">
        <v>2503</v>
      </c>
      <c r="C1414" s="32" t="s">
        <v>2823</v>
      </c>
      <c r="D1414" s="32"/>
      <c r="E1414" s="32"/>
      <c r="F1414" s="32"/>
      <c r="G1414" s="32"/>
      <c r="H1414" s="31" t="s">
        <v>2824</v>
      </c>
      <c r="I1414" s="32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27"/>
      <c r="U1414" s="16"/>
      <c r="V1414" s="13"/>
      <c r="W1414" s="13"/>
    </row>
    <row r="1415" spans="1:23" ht="89.25" x14ac:dyDescent="0.25">
      <c r="A1415" s="17">
        <f t="shared" ca="1" si="241"/>
        <v>1411</v>
      </c>
      <c r="B1415" s="18" t="s">
        <v>2503</v>
      </c>
      <c r="C1415" s="18" t="s">
        <v>2825</v>
      </c>
      <c r="D1415" s="18"/>
      <c r="E1415" s="18"/>
      <c r="F1415" s="18"/>
      <c r="G1415" s="18"/>
      <c r="H1415" s="19" t="s">
        <v>2824</v>
      </c>
      <c r="I1415" s="18" t="s">
        <v>2679</v>
      </c>
      <c r="J1415" s="20">
        <v>1</v>
      </c>
      <c r="K1415" s="20">
        <v>1.1499999999999999</v>
      </c>
      <c r="L1415" s="21" t="s">
        <v>28</v>
      </c>
      <c r="M1415" s="22">
        <v>1.9</v>
      </c>
      <c r="N1415" s="22">
        <v>0</v>
      </c>
      <c r="O1415" s="22">
        <v>1324.54</v>
      </c>
      <c r="P1415" s="22">
        <f t="shared" si="234"/>
        <v>2894.1198999999997</v>
      </c>
      <c r="Q1415" s="22">
        <v>0</v>
      </c>
      <c r="R1415" s="22">
        <f t="shared" si="235"/>
        <v>0</v>
      </c>
      <c r="S1415" s="22">
        <f t="shared" si="236"/>
        <v>2894.1198999999997</v>
      </c>
      <c r="T1415" s="23">
        <v>0.55859868298040061</v>
      </c>
      <c r="U1415" s="24">
        <v>0.1</v>
      </c>
      <c r="V1415" s="25">
        <f t="shared" ref="V1415" si="243">S1415+S1415*T1415+(S1415+S1415*T1415)*U1415</f>
        <v>4961.8486109801051</v>
      </c>
      <c r="W1415" s="26" t="s">
        <v>29</v>
      </c>
    </row>
    <row r="1416" spans="1:23" x14ac:dyDescent="0.25">
      <c r="A1416" s="12">
        <f t="shared" ca="1" si="241"/>
        <v>1412</v>
      </c>
      <c r="B1416" s="32" t="s">
        <v>2503</v>
      </c>
      <c r="C1416" s="32" t="s">
        <v>2826</v>
      </c>
      <c r="D1416" s="32"/>
      <c r="E1416" s="32"/>
      <c r="F1416" s="32"/>
      <c r="G1416" s="32"/>
      <c r="H1416" s="31" t="s">
        <v>2827</v>
      </c>
      <c r="I1416" s="32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27"/>
      <c r="U1416" s="16"/>
      <c r="V1416" s="13"/>
      <c r="W1416" s="13"/>
    </row>
    <row r="1417" spans="1:23" ht="89.25" x14ac:dyDescent="0.25">
      <c r="A1417" s="17">
        <f t="shared" ca="1" si="241"/>
        <v>1413</v>
      </c>
      <c r="B1417" s="18" t="s">
        <v>2503</v>
      </c>
      <c r="C1417" s="18" t="s">
        <v>2828</v>
      </c>
      <c r="D1417" s="18"/>
      <c r="E1417" s="18"/>
      <c r="F1417" s="18"/>
      <c r="G1417" s="18"/>
      <c r="H1417" s="19" t="s">
        <v>2827</v>
      </c>
      <c r="I1417" s="18" t="s">
        <v>2829</v>
      </c>
      <c r="J1417" s="20">
        <v>1</v>
      </c>
      <c r="K1417" s="20">
        <v>1.1499999999999999</v>
      </c>
      <c r="L1417" s="21" t="s">
        <v>28</v>
      </c>
      <c r="M1417" s="22">
        <v>0.95</v>
      </c>
      <c r="N1417" s="22">
        <v>0</v>
      </c>
      <c r="O1417" s="22">
        <v>1324.54</v>
      </c>
      <c r="P1417" s="22">
        <f t="shared" si="234"/>
        <v>1447.0599499999998</v>
      </c>
      <c r="Q1417" s="22">
        <v>0</v>
      </c>
      <c r="R1417" s="22">
        <f t="shared" si="235"/>
        <v>0</v>
      </c>
      <c r="S1417" s="22">
        <f t="shared" si="236"/>
        <v>1447.0599499999998</v>
      </c>
      <c r="T1417" s="23">
        <v>0.55859868298040061</v>
      </c>
      <c r="U1417" s="24">
        <v>0.1</v>
      </c>
      <c r="V1417" s="25">
        <f t="shared" ref="V1417" si="244">S1417+S1417*T1417+(S1417+S1417*T1417)*U1417</f>
        <v>2480.9243054900526</v>
      </c>
      <c r="W1417" s="26" t="s">
        <v>29</v>
      </c>
    </row>
    <row r="1418" spans="1:23" x14ac:dyDescent="0.25">
      <c r="A1418" s="12">
        <f t="shared" ca="1" si="241"/>
        <v>1414</v>
      </c>
      <c r="B1418" s="32" t="s">
        <v>2503</v>
      </c>
      <c r="C1418" s="32" t="s">
        <v>2830</v>
      </c>
      <c r="D1418" s="32"/>
      <c r="E1418" s="32"/>
      <c r="F1418" s="32"/>
      <c r="G1418" s="32"/>
      <c r="H1418" s="31" t="s">
        <v>2831</v>
      </c>
      <c r="I1418" s="32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27"/>
      <c r="U1418" s="16"/>
      <c r="V1418" s="13"/>
      <c r="W1418" s="13"/>
    </row>
    <row r="1419" spans="1:23" ht="89.25" x14ac:dyDescent="0.25">
      <c r="A1419" s="17">
        <f t="shared" ca="1" si="241"/>
        <v>1415</v>
      </c>
      <c r="B1419" s="18" t="s">
        <v>2503</v>
      </c>
      <c r="C1419" s="18" t="s">
        <v>2832</v>
      </c>
      <c r="D1419" s="18"/>
      <c r="E1419" s="18"/>
      <c r="F1419" s="18"/>
      <c r="G1419" s="18"/>
      <c r="H1419" s="19" t="s">
        <v>2831</v>
      </c>
      <c r="I1419" s="18" t="s">
        <v>2829</v>
      </c>
      <c r="J1419" s="20">
        <v>1</v>
      </c>
      <c r="K1419" s="20">
        <v>1.1499999999999999</v>
      </c>
      <c r="L1419" s="21" t="s">
        <v>28</v>
      </c>
      <c r="M1419" s="22">
        <v>0.95</v>
      </c>
      <c r="N1419" s="22">
        <v>0</v>
      </c>
      <c r="O1419" s="22">
        <v>1324.54</v>
      </c>
      <c r="P1419" s="22">
        <f t="shared" si="234"/>
        <v>1447.0599499999998</v>
      </c>
      <c r="Q1419" s="22">
        <v>0</v>
      </c>
      <c r="R1419" s="22">
        <f t="shared" si="235"/>
        <v>0</v>
      </c>
      <c r="S1419" s="22">
        <f t="shared" si="236"/>
        <v>1447.0599499999998</v>
      </c>
      <c r="T1419" s="23">
        <v>0.55859868298040061</v>
      </c>
      <c r="U1419" s="24">
        <v>0.1</v>
      </c>
      <c r="V1419" s="25">
        <f t="shared" ref="V1419" si="245">S1419+S1419*T1419+(S1419+S1419*T1419)*U1419</f>
        <v>2480.9243054900526</v>
      </c>
      <c r="W1419" s="26" t="s">
        <v>29</v>
      </c>
    </row>
    <row r="1420" spans="1:23" x14ac:dyDescent="0.25">
      <c r="A1420" s="12">
        <f t="shared" ca="1" si="241"/>
        <v>1416</v>
      </c>
      <c r="B1420" s="32" t="s">
        <v>2503</v>
      </c>
      <c r="C1420" s="32" t="s">
        <v>2833</v>
      </c>
      <c r="D1420" s="32"/>
      <c r="E1420" s="32"/>
      <c r="F1420" s="32"/>
      <c r="G1420" s="32"/>
      <c r="H1420" s="31" t="s">
        <v>2834</v>
      </c>
      <c r="I1420" s="32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27"/>
      <c r="U1420" s="16"/>
      <c r="V1420" s="13"/>
      <c r="W1420" s="13"/>
    </row>
    <row r="1421" spans="1:23" ht="89.25" x14ac:dyDescent="0.25">
      <c r="A1421" s="17">
        <f t="shared" ca="1" si="241"/>
        <v>1417</v>
      </c>
      <c r="B1421" s="18" t="s">
        <v>2503</v>
      </c>
      <c r="C1421" s="18" t="s">
        <v>2835</v>
      </c>
      <c r="D1421" s="18"/>
      <c r="E1421" s="18"/>
      <c r="F1421" s="18"/>
      <c r="G1421" s="18"/>
      <c r="H1421" s="19" t="s">
        <v>2834</v>
      </c>
      <c r="I1421" s="18" t="s">
        <v>2829</v>
      </c>
      <c r="J1421" s="20">
        <v>1</v>
      </c>
      <c r="K1421" s="20">
        <v>1.1499999999999999</v>
      </c>
      <c r="L1421" s="21" t="s">
        <v>28</v>
      </c>
      <c r="M1421" s="22">
        <v>1.9</v>
      </c>
      <c r="N1421" s="22">
        <v>0</v>
      </c>
      <c r="O1421" s="22">
        <v>1324.54</v>
      </c>
      <c r="P1421" s="22">
        <f t="shared" si="234"/>
        <v>2894.1198999999997</v>
      </c>
      <c r="Q1421" s="22">
        <v>0</v>
      </c>
      <c r="R1421" s="22">
        <f t="shared" si="235"/>
        <v>0</v>
      </c>
      <c r="S1421" s="22">
        <f t="shared" si="236"/>
        <v>2894.1198999999997</v>
      </c>
      <c r="T1421" s="23">
        <v>0.55859868298040061</v>
      </c>
      <c r="U1421" s="24">
        <v>0.1</v>
      </c>
      <c r="V1421" s="25">
        <f t="shared" ref="V1421" si="246">S1421+S1421*T1421+(S1421+S1421*T1421)*U1421</f>
        <v>4961.8486109801051</v>
      </c>
      <c r="W1421" s="26" t="s">
        <v>29</v>
      </c>
    </row>
    <row r="1422" spans="1:23" x14ac:dyDescent="0.25">
      <c r="A1422" s="12">
        <f t="shared" ca="1" si="241"/>
        <v>1418</v>
      </c>
      <c r="B1422" s="32" t="s">
        <v>2503</v>
      </c>
      <c r="C1422" s="32" t="s">
        <v>2836</v>
      </c>
      <c r="D1422" s="32"/>
      <c r="E1422" s="32"/>
      <c r="F1422" s="32"/>
      <c r="G1422" s="32"/>
      <c r="H1422" s="31" t="s">
        <v>2837</v>
      </c>
      <c r="I1422" s="32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27"/>
      <c r="U1422" s="16"/>
      <c r="V1422" s="13"/>
      <c r="W1422" s="13"/>
    </row>
    <row r="1423" spans="1:23" ht="89.25" x14ac:dyDescent="0.25">
      <c r="A1423" s="17">
        <f t="shared" ca="1" si="241"/>
        <v>1419</v>
      </c>
      <c r="B1423" s="18" t="s">
        <v>2503</v>
      </c>
      <c r="C1423" s="18" t="s">
        <v>2838</v>
      </c>
      <c r="D1423" s="18"/>
      <c r="E1423" s="18"/>
      <c r="F1423" s="18"/>
      <c r="G1423" s="18"/>
      <c r="H1423" s="19" t="s">
        <v>2837</v>
      </c>
      <c r="I1423" s="18" t="s">
        <v>1932</v>
      </c>
      <c r="J1423" s="20">
        <v>1</v>
      </c>
      <c r="K1423" s="20">
        <v>1.1499999999999999</v>
      </c>
      <c r="L1423" s="21" t="s">
        <v>28</v>
      </c>
      <c r="M1423" s="22">
        <v>0.47499999999999998</v>
      </c>
      <c r="N1423" s="22">
        <v>0</v>
      </c>
      <c r="O1423" s="22">
        <v>1324.54</v>
      </c>
      <c r="P1423" s="22">
        <f t="shared" si="234"/>
        <v>723.52997499999992</v>
      </c>
      <c r="Q1423" s="22">
        <v>0</v>
      </c>
      <c r="R1423" s="22">
        <f t="shared" si="235"/>
        <v>0</v>
      </c>
      <c r="S1423" s="22">
        <f t="shared" si="236"/>
        <v>723.52997499999992</v>
      </c>
      <c r="T1423" s="23">
        <v>0.55859868298040061</v>
      </c>
      <c r="U1423" s="24">
        <v>0.1</v>
      </c>
      <c r="V1423" s="25">
        <f t="shared" ref="V1423" si="247">S1423+S1423*T1423+(S1423+S1423*T1423)*U1423</f>
        <v>1240.4621527450263</v>
      </c>
      <c r="W1423" s="26" t="s">
        <v>29</v>
      </c>
    </row>
    <row r="1424" spans="1:23" x14ac:dyDescent="0.25">
      <c r="A1424" s="12">
        <f t="shared" ca="1" si="241"/>
        <v>1420</v>
      </c>
      <c r="B1424" s="32" t="s">
        <v>2503</v>
      </c>
      <c r="C1424" s="32" t="s">
        <v>2839</v>
      </c>
      <c r="D1424" s="32"/>
      <c r="E1424" s="32"/>
      <c r="F1424" s="32"/>
      <c r="G1424" s="32"/>
      <c r="H1424" s="31" t="s">
        <v>2840</v>
      </c>
      <c r="I1424" s="32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27"/>
      <c r="U1424" s="16"/>
      <c r="V1424" s="13"/>
      <c r="W1424" s="13"/>
    </row>
    <row r="1425" spans="1:23" ht="89.25" x14ac:dyDescent="0.25">
      <c r="A1425" s="17">
        <f t="shared" ca="1" si="241"/>
        <v>1421</v>
      </c>
      <c r="B1425" s="18" t="s">
        <v>2503</v>
      </c>
      <c r="C1425" s="18" t="s">
        <v>2841</v>
      </c>
      <c r="D1425" s="18"/>
      <c r="E1425" s="18"/>
      <c r="F1425" s="18"/>
      <c r="G1425" s="18"/>
      <c r="H1425" s="19" t="s">
        <v>2840</v>
      </c>
      <c r="I1425" s="18" t="s">
        <v>2829</v>
      </c>
      <c r="J1425" s="20">
        <v>1</v>
      </c>
      <c r="K1425" s="20">
        <v>1.1499999999999999</v>
      </c>
      <c r="L1425" s="21" t="s">
        <v>28</v>
      </c>
      <c r="M1425" s="22">
        <v>1.9</v>
      </c>
      <c r="N1425" s="22">
        <v>0</v>
      </c>
      <c r="O1425" s="22">
        <v>1324.54</v>
      </c>
      <c r="P1425" s="22">
        <f t="shared" si="234"/>
        <v>2894.1198999999997</v>
      </c>
      <c r="Q1425" s="22">
        <v>0</v>
      </c>
      <c r="R1425" s="22">
        <f t="shared" si="235"/>
        <v>0</v>
      </c>
      <c r="S1425" s="22">
        <f t="shared" si="236"/>
        <v>2894.1198999999997</v>
      </c>
      <c r="T1425" s="23">
        <v>0.55859868298040061</v>
      </c>
      <c r="U1425" s="24">
        <v>0.1</v>
      </c>
      <c r="V1425" s="25">
        <f t="shared" ref="V1425" si="248">S1425+S1425*T1425+(S1425+S1425*T1425)*U1425</f>
        <v>4961.8486109801051</v>
      </c>
      <c r="W1425" s="26" t="s">
        <v>29</v>
      </c>
    </row>
    <row r="1426" spans="1:23" x14ac:dyDescent="0.25">
      <c r="A1426" s="12">
        <f t="shared" ca="1" si="241"/>
        <v>1422</v>
      </c>
      <c r="B1426" s="32" t="s">
        <v>2503</v>
      </c>
      <c r="C1426" s="32" t="s">
        <v>2842</v>
      </c>
      <c r="D1426" s="32"/>
      <c r="E1426" s="32"/>
      <c r="F1426" s="32"/>
      <c r="G1426" s="32"/>
      <c r="H1426" s="31" t="s">
        <v>2843</v>
      </c>
      <c r="I1426" s="32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27"/>
      <c r="U1426" s="16"/>
      <c r="V1426" s="13"/>
      <c r="W1426" s="13"/>
    </row>
    <row r="1427" spans="1:23" ht="89.25" x14ac:dyDescent="0.25">
      <c r="A1427" s="17">
        <f t="shared" ca="1" si="241"/>
        <v>1423</v>
      </c>
      <c r="B1427" s="18" t="s">
        <v>2503</v>
      </c>
      <c r="C1427" s="18" t="s">
        <v>2844</v>
      </c>
      <c r="D1427" s="18"/>
      <c r="E1427" s="18"/>
      <c r="F1427" s="18"/>
      <c r="G1427" s="18"/>
      <c r="H1427" s="19" t="s">
        <v>2843</v>
      </c>
      <c r="I1427" s="18" t="s">
        <v>161</v>
      </c>
      <c r="J1427" s="20">
        <v>1</v>
      </c>
      <c r="K1427" s="20">
        <v>1.1499999999999999</v>
      </c>
      <c r="L1427" s="21" t="s">
        <v>28</v>
      </c>
      <c r="M1427" s="22">
        <v>2.8499999999999996</v>
      </c>
      <c r="N1427" s="22">
        <v>0</v>
      </c>
      <c r="O1427" s="22">
        <v>1324.54</v>
      </c>
      <c r="P1427" s="22">
        <f t="shared" si="234"/>
        <v>4341.1798499999986</v>
      </c>
      <c r="Q1427" s="22">
        <v>0</v>
      </c>
      <c r="R1427" s="22">
        <f t="shared" si="235"/>
        <v>0</v>
      </c>
      <c r="S1427" s="22">
        <f t="shared" si="236"/>
        <v>4341.1798499999986</v>
      </c>
      <c r="T1427" s="23">
        <v>0.55859868298040061</v>
      </c>
      <c r="U1427" s="24">
        <v>0.1</v>
      </c>
      <c r="V1427" s="25">
        <f t="shared" ref="V1427" si="249">S1427+S1427*T1427+(S1427+S1427*T1427)*U1427</f>
        <v>7442.7729164701568</v>
      </c>
      <c r="W1427" s="26" t="s">
        <v>29</v>
      </c>
    </row>
    <row r="1428" spans="1:23" x14ac:dyDescent="0.25">
      <c r="A1428" s="12">
        <f t="shared" ca="1" si="241"/>
        <v>1424</v>
      </c>
      <c r="B1428" s="32" t="s">
        <v>2503</v>
      </c>
      <c r="C1428" s="32" t="s">
        <v>2845</v>
      </c>
      <c r="D1428" s="32"/>
      <c r="E1428" s="32"/>
      <c r="F1428" s="32"/>
      <c r="G1428" s="32"/>
      <c r="H1428" s="31" t="s">
        <v>2846</v>
      </c>
      <c r="I1428" s="32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27"/>
      <c r="U1428" s="16"/>
      <c r="V1428" s="13"/>
      <c r="W1428" s="13"/>
    </row>
    <row r="1429" spans="1:23" ht="89.25" x14ac:dyDescent="0.25">
      <c r="A1429" s="17">
        <f t="shared" ca="1" si="241"/>
        <v>1425</v>
      </c>
      <c r="B1429" s="18" t="s">
        <v>2503</v>
      </c>
      <c r="C1429" s="18" t="s">
        <v>2847</v>
      </c>
      <c r="D1429" s="18"/>
      <c r="E1429" s="18"/>
      <c r="F1429" s="18"/>
      <c r="G1429" s="18"/>
      <c r="H1429" s="19" t="s">
        <v>2846</v>
      </c>
      <c r="I1429" s="18" t="s">
        <v>161</v>
      </c>
      <c r="J1429" s="20">
        <v>1</v>
      </c>
      <c r="K1429" s="20">
        <v>1.1499999999999999</v>
      </c>
      <c r="L1429" s="21" t="s">
        <v>28</v>
      </c>
      <c r="M1429" s="22">
        <v>2.8499999999999996</v>
      </c>
      <c r="N1429" s="22">
        <v>0</v>
      </c>
      <c r="O1429" s="22">
        <v>1324.54</v>
      </c>
      <c r="P1429" s="22">
        <f t="shared" si="234"/>
        <v>4341.1798499999986</v>
      </c>
      <c r="Q1429" s="22">
        <v>0</v>
      </c>
      <c r="R1429" s="22">
        <f t="shared" si="235"/>
        <v>0</v>
      </c>
      <c r="S1429" s="22">
        <f t="shared" si="236"/>
        <v>4341.1798499999986</v>
      </c>
      <c r="T1429" s="23">
        <v>0.55859868298040061</v>
      </c>
      <c r="U1429" s="24">
        <v>0.1</v>
      </c>
      <c r="V1429" s="25">
        <f t="shared" ref="V1429" si="250">S1429+S1429*T1429+(S1429+S1429*T1429)*U1429</f>
        <v>7442.7729164701568</v>
      </c>
      <c r="W1429" s="26" t="s">
        <v>29</v>
      </c>
    </row>
    <row r="1430" spans="1:23" x14ac:dyDescent="0.25">
      <c r="A1430" s="12">
        <f t="shared" ca="1" si="241"/>
        <v>1426</v>
      </c>
      <c r="B1430" s="32" t="s">
        <v>2503</v>
      </c>
      <c r="C1430" s="32" t="s">
        <v>2848</v>
      </c>
      <c r="D1430" s="32"/>
      <c r="E1430" s="32"/>
      <c r="F1430" s="32"/>
      <c r="G1430" s="32"/>
      <c r="H1430" s="31" t="s">
        <v>2849</v>
      </c>
      <c r="I1430" s="32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27"/>
      <c r="U1430" s="16"/>
      <c r="V1430" s="13"/>
      <c r="W1430" s="13"/>
    </row>
    <row r="1431" spans="1:23" ht="89.25" x14ac:dyDescent="0.25">
      <c r="A1431" s="17">
        <f t="shared" ca="1" si="241"/>
        <v>1427</v>
      </c>
      <c r="B1431" s="18" t="s">
        <v>2503</v>
      </c>
      <c r="C1431" s="18" t="s">
        <v>2850</v>
      </c>
      <c r="D1431" s="18"/>
      <c r="E1431" s="18"/>
      <c r="F1431" s="18"/>
      <c r="G1431" s="18"/>
      <c r="H1431" s="19" t="s">
        <v>2849</v>
      </c>
      <c r="I1431" s="18" t="s">
        <v>2550</v>
      </c>
      <c r="J1431" s="20">
        <v>1</v>
      </c>
      <c r="K1431" s="20">
        <v>1.1499999999999999</v>
      </c>
      <c r="L1431" s="21" t="s">
        <v>28</v>
      </c>
      <c r="M1431" s="22">
        <v>1.4249999999999998</v>
      </c>
      <c r="N1431" s="22">
        <v>0</v>
      </c>
      <c r="O1431" s="22">
        <v>1324.54</v>
      </c>
      <c r="P1431" s="22">
        <f t="shared" si="234"/>
        <v>2170.5899249999993</v>
      </c>
      <c r="Q1431" s="22">
        <v>0</v>
      </c>
      <c r="R1431" s="22">
        <f t="shared" si="235"/>
        <v>0</v>
      </c>
      <c r="S1431" s="22">
        <f t="shared" si="236"/>
        <v>2170.5899249999993</v>
      </c>
      <c r="T1431" s="23">
        <v>0.55859868298040061</v>
      </c>
      <c r="U1431" s="24">
        <v>0.1</v>
      </c>
      <c r="V1431" s="25">
        <f t="shared" ref="V1431" si="251">S1431+S1431*T1431+(S1431+S1431*T1431)*U1431</f>
        <v>3721.3864582350784</v>
      </c>
      <c r="W1431" s="26" t="s">
        <v>29</v>
      </c>
    </row>
    <row r="1432" spans="1:23" x14ac:dyDescent="0.25">
      <c r="A1432" s="12">
        <f t="shared" ca="1" si="241"/>
        <v>1428</v>
      </c>
      <c r="B1432" s="32" t="s">
        <v>2503</v>
      </c>
      <c r="C1432" s="32" t="s">
        <v>2851</v>
      </c>
      <c r="D1432" s="32"/>
      <c r="E1432" s="32"/>
      <c r="F1432" s="32"/>
      <c r="G1432" s="32"/>
      <c r="H1432" s="31" t="s">
        <v>2852</v>
      </c>
      <c r="I1432" s="32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27"/>
      <c r="U1432" s="16"/>
      <c r="V1432" s="13"/>
      <c r="W1432" s="13"/>
    </row>
    <row r="1433" spans="1:23" ht="89.25" x14ac:dyDescent="0.25">
      <c r="A1433" s="17">
        <f t="shared" ca="1" si="241"/>
        <v>1429</v>
      </c>
      <c r="B1433" s="18" t="s">
        <v>2503</v>
      </c>
      <c r="C1433" s="18" t="s">
        <v>2853</v>
      </c>
      <c r="D1433" s="18"/>
      <c r="E1433" s="18"/>
      <c r="F1433" s="18"/>
      <c r="G1433" s="18"/>
      <c r="H1433" s="19" t="s">
        <v>2852</v>
      </c>
      <c r="I1433" s="18" t="s">
        <v>161</v>
      </c>
      <c r="J1433" s="20">
        <v>1</v>
      </c>
      <c r="K1433" s="20">
        <v>1.1499999999999999</v>
      </c>
      <c r="L1433" s="21" t="s">
        <v>28</v>
      </c>
      <c r="M1433" s="22">
        <v>1.9</v>
      </c>
      <c r="N1433" s="22">
        <v>0</v>
      </c>
      <c r="O1433" s="22">
        <v>1324.54</v>
      </c>
      <c r="P1433" s="22">
        <f t="shared" si="234"/>
        <v>2894.1198999999997</v>
      </c>
      <c r="Q1433" s="22">
        <v>0</v>
      </c>
      <c r="R1433" s="22">
        <f t="shared" si="235"/>
        <v>0</v>
      </c>
      <c r="S1433" s="22">
        <f t="shared" si="236"/>
        <v>2894.1198999999997</v>
      </c>
      <c r="T1433" s="23">
        <v>0.55859868298040061</v>
      </c>
      <c r="U1433" s="24">
        <v>0.1</v>
      </c>
      <c r="V1433" s="25">
        <f t="shared" ref="V1433" si="252">S1433+S1433*T1433+(S1433+S1433*T1433)*U1433</f>
        <v>4961.8486109801051</v>
      </c>
      <c r="W1433" s="26" t="s">
        <v>29</v>
      </c>
    </row>
    <row r="1434" spans="1:23" x14ac:dyDescent="0.25">
      <c r="A1434" s="5">
        <f t="shared" ca="1" si="241"/>
        <v>1430</v>
      </c>
      <c r="B1434" s="6" t="s">
        <v>2854</v>
      </c>
      <c r="C1434" s="6" t="s">
        <v>2854</v>
      </c>
      <c r="D1434" s="6"/>
      <c r="E1434" s="6"/>
      <c r="F1434" s="6"/>
      <c r="G1434" s="6"/>
      <c r="H1434" s="7" t="s">
        <v>2855</v>
      </c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30"/>
      <c r="U1434" s="8"/>
      <c r="V1434" s="6"/>
      <c r="W1434" s="6"/>
    </row>
    <row r="1435" spans="1:23" x14ac:dyDescent="0.25">
      <c r="A1435" s="28">
        <f t="shared" ca="1" si="241"/>
        <v>1431</v>
      </c>
      <c r="B1435" s="9" t="s">
        <v>2854</v>
      </c>
      <c r="C1435" s="9" t="s">
        <v>2856</v>
      </c>
      <c r="D1435" s="9"/>
      <c r="E1435" s="9"/>
      <c r="F1435" s="9"/>
      <c r="G1435" s="9"/>
      <c r="H1435" s="10" t="s">
        <v>2857</v>
      </c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29"/>
      <c r="U1435" s="11"/>
      <c r="V1435" s="9"/>
      <c r="W1435" s="9"/>
    </row>
    <row r="1436" spans="1:23" x14ac:dyDescent="0.25">
      <c r="A1436" s="12">
        <f t="shared" ca="1" si="241"/>
        <v>1432</v>
      </c>
      <c r="B1436" s="32" t="s">
        <v>2854</v>
      </c>
      <c r="C1436" s="32" t="s">
        <v>2858</v>
      </c>
      <c r="D1436" s="32"/>
      <c r="E1436" s="32"/>
      <c r="F1436" s="32"/>
      <c r="G1436" s="32"/>
      <c r="H1436" s="31" t="s">
        <v>2508</v>
      </c>
      <c r="I1436" s="32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27"/>
      <c r="U1436" s="16"/>
      <c r="V1436" s="13"/>
      <c r="W1436" s="13"/>
    </row>
    <row r="1437" spans="1:23" ht="89.25" x14ac:dyDescent="0.25">
      <c r="A1437" s="17">
        <f t="shared" ca="1" si="241"/>
        <v>1433</v>
      </c>
      <c r="B1437" s="18" t="s">
        <v>2854</v>
      </c>
      <c r="C1437" s="18" t="s">
        <v>2859</v>
      </c>
      <c r="D1437" s="18"/>
      <c r="E1437" s="18"/>
      <c r="F1437" s="18"/>
      <c r="G1437" s="18"/>
      <c r="H1437" s="19" t="s">
        <v>2860</v>
      </c>
      <c r="I1437" s="18" t="s">
        <v>161</v>
      </c>
      <c r="J1437" s="20">
        <v>1</v>
      </c>
      <c r="K1437" s="20">
        <v>1.1499999999999999</v>
      </c>
      <c r="L1437" s="21" t="s">
        <v>28</v>
      </c>
      <c r="M1437" s="22">
        <v>15.541999999999998</v>
      </c>
      <c r="N1437" s="22">
        <v>0</v>
      </c>
      <c r="O1437" s="22">
        <v>1324.54</v>
      </c>
      <c r="P1437" s="22">
        <f t="shared" si="234"/>
        <v>23673.900781999993</v>
      </c>
      <c r="Q1437" s="22">
        <v>0</v>
      </c>
      <c r="R1437" s="22">
        <f t="shared" si="235"/>
        <v>0</v>
      </c>
      <c r="S1437" s="22">
        <f t="shared" si="236"/>
        <v>23673.900781999993</v>
      </c>
      <c r="T1437" s="23">
        <v>0.55859868298040061</v>
      </c>
      <c r="U1437" s="24">
        <v>0.1</v>
      </c>
      <c r="V1437" s="25">
        <f t="shared" ref="V1437:V1440" si="253">S1437+S1437*T1437+(S1437+S1437*T1437)*U1437</f>
        <v>40587.921637817257</v>
      </c>
      <c r="W1437" s="26" t="s">
        <v>29</v>
      </c>
    </row>
    <row r="1438" spans="1:23" ht="89.25" x14ac:dyDescent="0.25">
      <c r="A1438" s="17">
        <f t="shared" ca="1" si="241"/>
        <v>1434</v>
      </c>
      <c r="B1438" s="18" t="s">
        <v>2854</v>
      </c>
      <c r="C1438" s="18" t="s">
        <v>2861</v>
      </c>
      <c r="D1438" s="18"/>
      <c r="E1438" s="18"/>
      <c r="F1438" s="18"/>
      <c r="G1438" s="18"/>
      <c r="H1438" s="19" t="s">
        <v>2862</v>
      </c>
      <c r="I1438" s="18" t="s">
        <v>161</v>
      </c>
      <c r="J1438" s="20">
        <v>1</v>
      </c>
      <c r="K1438" s="20">
        <v>1.1499999999999999</v>
      </c>
      <c r="L1438" s="21" t="s">
        <v>28</v>
      </c>
      <c r="M1438" s="22">
        <v>19.256499999999999</v>
      </c>
      <c r="N1438" s="22">
        <v>0</v>
      </c>
      <c r="O1438" s="22">
        <v>1324.54</v>
      </c>
      <c r="P1438" s="22">
        <f t="shared" si="234"/>
        <v>29331.905186499996</v>
      </c>
      <c r="Q1438" s="22">
        <v>0</v>
      </c>
      <c r="R1438" s="22">
        <f t="shared" si="235"/>
        <v>0</v>
      </c>
      <c r="S1438" s="22">
        <f t="shared" si="236"/>
        <v>29331.905186499996</v>
      </c>
      <c r="T1438" s="23">
        <v>0.55859868298040061</v>
      </c>
      <c r="U1438" s="24">
        <v>0.1</v>
      </c>
      <c r="V1438" s="25">
        <f t="shared" si="253"/>
        <v>50288.335672283363</v>
      </c>
      <c r="W1438" s="26" t="s">
        <v>29</v>
      </c>
    </row>
    <row r="1439" spans="1:23" ht="89.25" x14ac:dyDescent="0.25">
      <c r="A1439" s="17">
        <f t="shared" ca="1" si="241"/>
        <v>1435</v>
      </c>
      <c r="B1439" s="18" t="s">
        <v>2854</v>
      </c>
      <c r="C1439" s="18" t="s">
        <v>2863</v>
      </c>
      <c r="D1439" s="18"/>
      <c r="E1439" s="18"/>
      <c r="F1439" s="18"/>
      <c r="G1439" s="18"/>
      <c r="H1439" s="19" t="s">
        <v>2864</v>
      </c>
      <c r="I1439" s="18" t="s">
        <v>161</v>
      </c>
      <c r="J1439" s="20">
        <v>1</v>
      </c>
      <c r="K1439" s="20">
        <v>1.1499999999999999</v>
      </c>
      <c r="L1439" s="21" t="s">
        <v>28</v>
      </c>
      <c r="M1439" s="22">
        <v>15.342499999999998</v>
      </c>
      <c r="N1439" s="22">
        <v>0</v>
      </c>
      <c r="O1439" s="22">
        <v>1324.54</v>
      </c>
      <c r="P1439" s="22">
        <f t="shared" si="234"/>
        <v>23370.018192499992</v>
      </c>
      <c r="Q1439" s="22">
        <v>0</v>
      </c>
      <c r="R1439" s="22">
        <f t="shared" si="235"/>
        <v>0</v>
      </c>
      <c r="S1439" s="22">
        <f t="shared" si="236"/>
        <v>23370.018192499992</v>
      </c>
      <c r="T1439" s="23">
        <v>0.55859868298040061</v>
      </c>
      <c r="U1439" s="24">
        <v>0.1</v>
      </c>
      <c r="V1439" s="25">
        <f t="shared" si="253"/>
        <v>40066.92753366434</v>
      </c>
      <c r="W1439" s="26" t="s">
        <v>29</v>
      </c>
    </row>
    <row r="1440" spans="1:23" ht="89.25" x14ac:dyDescent="0.25">
      <c r="A1440" s="17">
        <f t="shared" ca="1" si="241"/>
        <v>1436</v>
      </c>
      <c r="B1440" s="18" t="s">
        <v>2854</v>
      </c>
      <c r="C1440" s="18" t="s">
        <v>2865</v>
      </c>
      <c r="D1440" s="18"/>
      <c r="E1440" s="18"/>
      <c r="F1440" s="18"/>
      <c r="G1440" s="18"/>
      <c r="H1440" s="19" t="s">
        <v>2866</v>
      </c>
      <c r="I1440" s="18" t="s">
        <v>161</v>
      </c>
      <c r="J1440" s="20">
        <v>1</v>
      </c>
      <c r="K1440" s="20">
        <v>1.1499999999999999</v>
      </c>
      <c r="L1440" s="21" t="s">
        <v>28</v>
      </c>
      <c r="M1440" s="22">
        <v>18.002499999999998</v>
      </c>
      <c r="N1440" s="22">
        <v>0</v>
      </c>
      <c r="O1440" s="22">
        <v>1324.54</v>
      </c>
      <c r="P1440" s="22">
        <f t="shared" si="234"/>
        <v>27421.786052499996</v>
      </c>
      <c r="Q1440" s="22">
        <v>0</v>
      </c>
      <c r="R1440" s="22">
        <f t="shared" si="235"/>
        <v>0</v>
      </c>
      <c r="S1440" s="22">
        <f t="shared" si="236"/>
        <v>27421.786052499996</v>
      </c>
      <c r="T1440" s="23">
        <v>0.55859868298040061</v>
      </c>
      <c r="U1440" s="24">
        <v>0.1</v>
      </c>
      <c r="V1440" s="25">
        <f t="shared" si="253"/>
        <v>47013.515589036491</v>
      </c>
      <c r="W1440" s="26" t="s">
        <v>29</v>
      </c>
    </row>
    <row r="1441" spans="1:23" x14ac:dyDescent="0.25">
      <c r="A1441" s="12">
        <f t="shared" ca="1" si="241"/>
        <v>1437</v>
      </c>
      <c r="B1441" s="32" t="s">
        <v>2854</v>
      </c>
      <c r="C1441" s="32" t="s">
        <v>2867</v>
      </c>
      <c r="D1441" s="32"/>
      <c r="E1441" s="32"/>
      <c r="F1441" s="32"/>
      <c r="G1441" s="32"/>
      <c r="H1441" s="31" t="s">
        <v>2518</v>
      </c>
      <c r="I1441" s="32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27"/>
      <c r="U1441" s="16"/>
      <c r="V1441" s="13"/>
      <c r="W1441" s="13"/>
    </row>
    <row r="1442" spans="1:23" ht="89.25" x14ac:dyDescent="0.25">
      <c r="A1442" s="17">
        <f t="shared" ca="1" si="241"/>
        <v>1438</v>
      </c>
      <c r="B1442" s="18" t="s">
        <v>2854</v>
      </c>
      <c r="C1442" s="18" t="s">
        <v>2868</v>
      </c>
      <c r="D1442" s="18"/>
      <c r="E1442" s="18"/>
      <c r="F1442" s="18"/>
      <c r="G1442" s="18"/>
      <c r="H1442" s="19" t="s">
        <v>2869</v>
      </c>
      <c r="I1442" s="18" t="s">
        <v>161</v>
      </c>
      <c r="J1442" s="20">
        <v>1</v>
      </c>
      <c r="K1442" s="20">
        <v>1.1499999999999999</v>
      </c>
      <c r="L1442" s="21" t="s">
        <v>28</v>
      </c>
      <c r="M1442" s="22">
        <v>11.7325</v>
      </c>
      <c r="N1442" s="22">
        <v>0</v>
      </c>
      <c r="O1442" s="22">
        <v>1324.54</v>
      </c>
      <c r="P1442" s="22">
        <f t="shared" si="234"/>
        <v>17871.190382499997</v>
      </c>
      <c r="Q1442" s="22">
        <v>0</v>
      </c>
      <c r="R1442" s="22">
        <f t="shared" si="235"/>
        <v>0</v>
      </c>
      <c r="S1442" s="22">
        <f t="shared" si="236"/>
        <v>17871.190382499997</v>
      </c>
      <c r="T1442" s="23">
        <v>0.55859868298040061</v>
      </c>
      <c r="U1442" s="24">
        <v>0.1</v>
      </c>
      <c r="V1442" s="25">
        <f t="shared" ref="V1442:V1443" si="254">S1442+S1442*T1442+(S1442+S1442*T1442)*U1442</f>
        <v>30639.41517280215</v>
      </c>
      <c r="W1442" s="26" t="s">
        <v>29</v>
      </c>
    </row>
    <row r="1443" spans="1:23" ht="89.25" x14ac:dyDescent="0.25">
      <c r="A1443" s="17">
        <f t="shared" ca="1" si="241"/>
        <v>1439</v>
      </c>
      <c r="B1443" s="18" t="s">
        <v>2854</v>
      </c>
      <c r="C1443" s="18" t="s">
        <v>2870</v>
      </c>
      <c r="D1443" s="18"/>
      <c r="E1443" s="18"/>
      <c r="F1443" s="18"/>
      <c r="G1443" s="18"/>
      <c r="H1443" s="19" t="s">
        <v>2871</v>
      </c>
      <c r="I1443" s="18" t="s">
        <v>161</v>
      </c>
      <c r="J1443" s="20">
        <v>1</v>
      </c>
      <c r="K1443" s="20">
        <v>1.1499999999999999</v>
      </c>
      <c r="L1443" s="21" t="s">
        <v>28</v>
      </c>
      <c r="M1443" s="22">
        <v>6.4409999999999998</v>
      </c>
      <c r="N1443" s="22">
        <v>0</v>
      </c>
      <c r="O1443" s="22">
        <v>1324.54</v>
      </c>
      <c r="P1443" s="22">
        <f t="shared" si="234"/>
        <v>9811.0664609999985</v>
      </c>
      <c r="Q1443" s="22">
        <v>0</v>
      </c>
      <c r="R1443" s="22">
        <f t="shared" si="235"/>
        <v>0</v>
      </c>
      <c r="S1443" s="22">
        <f t="shared" si="236"/>
        <v>9811.0664609999985</v>
      </c>
      <c r="T1443" s="23">
        <v>0.55859868298040061</v>
      </c>
      <c r="U1443" s="24">
        <v>0.1</v>
      </c>
      <c r="V1443" s="25">
        <f t="shared" si="254"/>
        <v>16820.666791222553</v>
      </c>
      <c r="W1443" s="26" t="s">
        <v>29</v>
      </c>
    </row>
    <row r="1444" spans="1:23" x14ac:dyDescent="0.25">
      <c r="A1444" s="12">
        <f t="shared" ca="1" si="241"/>
        <v>1440</v>
      </c>
      <c r="B1444" s="32" t="s">
        <v>2854</v>
      </c>
      <c r="C1444" s="32" t="s">
        <v>2872</v>
      </c>
      <c r="D1444" s="32"/>
      <c r="E1444" s="32"/>
      <c r="F1444" s="32"/>
      <c r="G1444" s="32"/>
      <c r="H1444" s="31" t="s">
        <v>2531</v>
      </c>
      <c r="I1444" s="32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27"/>
      <c r="U1444" s="16"/>
      <c r="V1444" s="13"/>
      <c r="W1444" s="13"/>
    </row>
    <row r="1445" spans="1:23" ht="89.25" x14ac:dyDescent="0.25">
      <c r="A1445" s="17">
        <f t="shared" ca="1" si="241"/>
        <v>1441</v>
      </c>
      <c r="B1445" s="18" t="s">
        <v>2854</v>
      </c>
      <c r="C1445" s="18" t="s">
        <v>2873</v>
      </c>
      <c r="D1445" s="18"/>
      <c r="E1445" s="18"/>
      <c r="F1445" s="18"/>
      <c r="G1445" s="18"/>
      <c r="H1445" s="19" t="s">
        <v>2874</v>
      </c>
      <c r="I1445" s="18" t="s">
        <v>161</v>
      </c>
      <c r="J1445" s="20">
        <v>1</v>
      </c>
      <c r="K1445" s="20">
        <v>1.1499999999999999</v>
      </c>
      <c r="L1445" s="21" t="s">
        <v>28</v>
      </c>
      <c r="M1445" s="22">
        <v>61.797499999999992</v>
      </c>
      <c r="N1445" s="22">
        <v>0</v>
      </c>
      <c r="O1445" s="22">
        <v>1324.54</v>
      </c>
      <c r="P1445" s="22">
        <f t="shared" si="234"/>
        <v>94131.249747499969</v>
      </c>
      <c r="Q1445" s="22">
        <v>0</v>
      </c>
      <c r="R1445" s="22">
        <f t="shared" si="235"/>
        <v>0</v>
      </c>
      <c r="S1445" s="22">
        <f t="shared" si="236"/>
        <v>94131.249747499969</v>
      </c>
      <c r="T1445" s="23">
        <v>0.55859868298040061</v>
      </c>
      <c r="U1445" s="24">
        <v>0.1</v>
      </c>
      <c r="V1445" s="25">
        <f t="shared" ref="V1445:V1451" si="255">S1445+S1445*T1445+(S1445+S1445*T1445)*U1445</f>
        <v>161384.12607212787</v>
      </c>
      <c r="W1445" s="26" t="s">
        <v>29</v>
      </c>
    </row>
    <row r="1446" spans="1:23" ht="89.25" x14ac:dyDescent="0.25">
      <c r="A1446" s="17">
        <f t="shared" ca="1" si="241"/>
        <v>1442</v>
      </c>
      <c r="B1446" s="18" t="s">
        <v>2854</v>
      </c>
      <c r="C1446" s="18" t="s">
        <v>2875</v>
      </c>
      <c r="D1446" s="18"/>
      <c r="E1446" s="18"/>
      <c r="F1446" s="18"/>
      <c r="G1446" s="18"/>
      <c r="H1446" s="19" t="s">
        <v>2876</v>
      </c>
      <c r="I1446" s="18" t="s">
        <v>161</v>
      </c>
      <c r="J1446" s="20">
        <v>1</v>
      </c>
      <c r="K1446" s="20">
        <v>1.1499999999999999</v>
      </c>
      <c r="L1446" s="21" t="s">
        <v>28</v>
      </c>
      <c r="M1446" s="22">
        <v>45.723500000000001</v>
      </c>
      <c r="N1446" s="22">
        <v>0</v>
      </c>
      <c r="O1446" s="22">
        <v>1324.54</v>
      </c>
      <c r="P1446" s="22">
        <f t="shared" si="234"/>
        <v>69646.995393499994</v>
      </c>
      <c r="Q1446" s="22">
        <v>0</v>
      </c>
      <c r="R1446" s="22">
        <f t="shared" si="235"/>
        <v>0</v>
      </c>
      <c r="S1446" s="22">
        <f t="shared" si="236"/>
        <v>69646.995393499994</v>
      </c>
      <c r="T1446" s="23">
        <v>0.55859868298040061</v>
      </c>
      <c r="U1446" s="24">
        <v>0.1</v>
      </c>
      <c r="V1446" s="25">
        <f t="shared" si="255"/>
        <v>119406.88682323624</v>
      </c>
      <c r="W1446" s="26" t="s">
        <v>29</v>
      </c>
    </row>
    <row r="1447" spans="1:23" ht="89.25" x14ac:dyDescent="0.25">
      <c r="A1447" s="17">
        <f t="shared" ca="1" si="241"/>
        <v>1443</v>
      </c>
      <c r="B1447" s="18" t="s">
        <v>2854</v>
      </c>
      <c r="C1447" s="18" t="s">
        <v>2877</v>
      </c>
      <c r="D1447" s="18"/>
      <c r="E1447" s="18"/>
      <c r="F1447" s="18"/>
      <c r="G1447" s="18"/>
      <c r="H1447" s="19" t="s">
        <v>2878</v>
      </c>
      <c r="I1447" s="18" t="s">
        <v>161</v>
      </c>
      <c r="J1447" s="20">
        <v>1</v>
      </c>
      <c r="K1447" s="20">
        <v>1.1499999999999999</v>
      </c>
      <c r="L1447" s="21" t="s">
        <v>28</v>
      </c>
      <c r="M1447" s="22">
        <v>32.908000000000001</v>
      </c>
      <c r="N1447" s="22">
        <v>0</v>
      </c>
      <c r="O1447" s="22">
        <v>1324.54</v>
      </c>
      <c r="P1447" s="22">
        <f t="shared" si="234"/>
        <v>50126.156667999996</v>
      </c>
      <c r="Q1447" s="22">
        <v>0</v>
      </c>
      <c r="R1447" s="22">
        <f t="shared" si="235"/>
        <v>0</v>
      </c>
      <c r="S1447" s="22">
        <f t="shared" si="236"/>
        <v>50126.156667999996</v>
      </c>
      <c r="T1447" s="23">
        <v>0.55859868298040061</v>
      </c>
      <c r="U1447" s="24">
        <v>0.1</v>
      </c>
      <c r="V1447" s="25">
        <f t="shared" si="255"/>
        <v>85939.217942175426</v>
      </c>
      <c r="W1447" s="26" t="s">
        <v>29</v>
      </c>
    </row>
    <row r="1448" spans="1:23" ht="89.25" x14ac:dyDescent="0.25">
      <c r="A1448" s="17">
        <f t="shared" ca="1" si="241"/>
        <v>1444</v>
      </c>
      <c r="B1448" s="18" t="s">
        <v>2854</v>
      </c>
      <c r="C1448" s="18" t="s">
        <v>2879</v>
      </c>
      <c r="D1448" s="18"/>
      <c r="E1448" s="18"/>
      <c r="F1448" s="18"/>
      <c r="G1448" s="18"/>
      <c r="H1448" s="19" t="s">
        <v>2880</v>
      </c>
      <c r="I1448" s="18" t="s">
        <v>161</v>
      </c>
      <c r="J1448" s="20">
        <v>1</v>
      </c>
      <c r="K1448" s="20">
        <v>1.1499999999999999</v>
      </c>
      <c r="L1448" s="21" t="s">
        <v>28</v>
      </c>
      <c r="M1448" s="22">
        <v>29.1935</v>
      </c>
      <c r="N1448" s="22">
        <v>0</v>
      </c>
      <c r="O1448" s="22">
        <v>1324.54</v>
      </c>
      <c r="P1448" s="22">
        <f t="shared" si="234"/>
        <v>44468.152263499993</v>
      </c>
      <c r="Q1448" s="22">
        <v>0</v>
      </c>
      <c r="R1448" s="22">
        <f t="shared" si="235"/>
        <v>0</v>
      </c>
      <c r="S1448" s="22">
        <f t="shared" si="236"/>
        <v>44468.152263499993</v>
      </c>
      <c r="T1448" s="23">
        <v>0.55859868298040061</v>
      </c>
      <c r="U1448" s="24">
        <v>0.1</v>
      </c>
      <c r="V1448" s="25">
        <f t="shared" si="255"/>
        <v>76238.803907709313</v>
      </c>
      <c r="W1448" s="26" t="s">
        <v>29</v>
      </c>
    </row>
    <row r="1449" spans="1:23" ht="89.25" x14ac:dyDescent="0.25">
      <c r="A1449" s="17">
        <f t="shared" ca="1" si="241"/>
        <v>1445</v>
      </c>
      <c r="B1449" s="18" t="s">
        <v>2854</v>
      </c>
      <c r="C1449" s="18" t="s">
        <v>2881</v>
      </c>
      <c r="D1449" s="18"/>
      <c r="E1449" s="18"/>
      <c r="F1449" s="18"/>
      <c r="G1449" s="18"/>
      <c r="H1449" s="19" t="s">
        <v>2882</v>
      </c>
      <c r="I1449" s="18" t="s">
        <v>161</v>
      </c>
      <c r="J1449" s="20">
        <v>1</v>
      </c>
      <c r="K1449" s="20">
        <v>1.1499999999999999</v>
      </c>
      <c r="L1449" s="21" t="s">
        <v>28</v>
      </c>
      <c r="M1449" s="22">
        <v>32.176499999999997</v>
      </c>
      <c r="N1449" s="22">
        <v>0</v>
      </c>
      <c r="O1449" s="22">
        <v>1324.54</v>
      </c>
      <c r="P1449" s="22">
        <f t="shared" si="234"/>
        <v>49011.920506499991</v>
      </c>
      <c r="Q1449" s="22">
        <v>0</v>
      </c>
      <c r="R1449" s="22">
        <f t="shared" si="235"/>
        <v>0</v>
      </c>
      <c r="S1449" s="22">
        <f t="shared" si="236"/>
        <v>49011.920506499991</v>
      </c>
      <c r="T1449" s="23">
        <v>0.55859868298040061</v>
      </c>
      <c r="U1449" s="24">
        <v>0.1</v>
      </c>
      <c r="V1449" s="25">
        <f t="shared" si="255"/>
        <v>84028.906226948078</v>
      </c>
      <c r="W1449" s="26" t="s">
        <v>29</v>
      </c>
    </row>
    <row r="1450" spans="1:23" ht="89.25" x14ac:dyDescent="0.25">
      <c r="A1450" s="17">
        <f t="shared" ca="1" si="241"/>
        <v>1446</v>
      </c>
      <c r="B1450" s="18" t="s">
        <v>2854</v>
      </c>
      <c r="C1450" s="18" t="s">
        <v>2883</v>
      </c>
      <c r="D1450" s="18"/>
      <c r="E1450" s="18"/>
      <c r="F1450" s="18"/>
      <c r="G1450" s="18"/>
      <c r="H1450" s="19" t="s">
        <v>2884</v>
      </c>
      <c r="I1450" s="18" t="s">
        <v>161</v>
      </c>
      <c r="J1450" s="20">
        <v>1</v>
      </c>
      <c r="K1450" s="20">
        <v>1.1499999999999999</v>
      </c>
      <c r="L1450" s="21" t="s">
        <v>28</v>
      </c>
      <c r="M1450" s="22">
        <v>32.5565</v>
      </c>
      <c r="N1450" s="22">
        <v>0</v>
      </c>
      <c r="O1450" s="22">
        <v>1324.54</v>
      </c>
      <c r="P1450" s="22">
        <f t="shared" si="234"/>
        <v>49590.744486499992</v>
      </c>
      <c r="Q1450" s="22">
        <v>0</v>
      </c>
      <c r="R1450" s="22">
        <f t="shared" si="235"/>
        <v>0</v>
      </c>
      <c r="S1450" s="22">
        <f t="shared" si="236"/>
        <v>49590.744486499992</v>
      </c>
      <c r="T1450" s="23">
        <v>0.55859868298040061</v>
      </c>
      <c r="U1450" s="24">
        <v>0.1</v>
      </c>
      <c r="V1450" s="25">
        <f t="shared" si="255"/>
        <v>85021.275949144096</v>
      </c>
      <c r="W1450" s="26" t="s">
        <v>29</v>
      </c>
    </row>
    <row r="1451" spans="1:23" ht="89.25" x14ac:dyDescent="0.25">
      <c r="A1451" s="17">
        <f t="shared" ca="1" si="241"/>
        <v>1447</v>
      </c>
      <c r="B1451" s="18" t="s">
        <v>2854</v>
      </c>
      <c r="C1451" s="18" t="s">
        <v>2885</v>
      </c>
      <c r="D1451" s="18"/>
      <c r="E1451" s="18"/>
      <c r="F1451" s="18"/>
      <c r="G1451" s="18"/>
      <c r="H1451" s="19" t="s">
        <v>2886</v>
      </c>
      <c r="I1451" s="18" t="s">
        <v>161</v>
      </c>
      <c r="J1451" s="20">
        <v>1</v>
      </c>
      <c r="K1451" s="20">
        <v>1.1499999999999999</v>
      </c>
      <c r="L1451" s="21" t="s">
        <v>28</v>
      </c>
      <c r="M1451" s="22">
        <v>14.3355</v>
      </c>
      <c r="N1451" s="22">
        <v>0</v>
      </c>
      <c r="O1451" s="22">
        <v>1324.54</v>
      </c>
      <c r="P1451" s="22">
        <f t="shared" si="234"/>
        <v>21836.134645499998</v>
      </c>
      <c r="Q1451" s="22">
        <v>0</v>
      </c>
      <c r="R1451" s="22">
        <f t="shared" si="235"/>
        <v>0</v>
      </c>
      <c r="S1451" s="22">
        <f t="shared" si="236"/>
        <v>21836.134645499998</v>
      </c>
      <c r="T1451" s="23">
        <v>0.55859868298040061</v>
      </c>
      <c r="U1451" s="24">
        <v>0.1</v>
      </c>
      <c r="V1451" s="25">
        <f t="shared" si="255"/>
        <v>37437.147769844894</v>
      </c>
      <c r="W1451" s="26" t="s">
        <v>29</v>
      </c>
    </row>
    <row r="1452" spans="1:23" x14ac:dyDescent="0.25">
      <c r="A1452" s="12">
        <f t="shared" ca="1" si="241"/>
        <v>1448</v>
      </c>
      <c r="B1452" s="32" t="s">
        <v>2854</v>
      </c>
      <c r="C1452" s="32" t="s">
        <v>2887</v>
      </c>
      <c r="D1452" s="32"/>
      <c r="E1452" s="32"/>
      <c r="F1452" s="32"/>
      <c r="G1452" s="32"/>
      <c r="H1452" s="31" t="s">
        <v>2547</v>
      </c>
      <c r="I1452" s="32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27"/>
      <c r="U1452" s="16"/>
      <c r="V1452" s="13"/>
      <c r="W1452" s="13"/>
    </row>
    <row r="1453" spans="1:23" ht="89.25" x14ac:dyDescent="0.25">
      <c r="A1453" s="17">
        <f t="shared" ca="1" si="241"/>
        <v>1449</v>
      </c>
      <c r="B1453" s="18" t="s">
        <v>2854</v>
      </c>
      <c r="C1453" s="18" t="s">
        <v>2888</v>
      </c>
      <c r="D1453" s="18"/>
      <c r="E1453" s="18"/>
      <c r="F1453" s="18"/>
      <c r="G1453" s="18"/>
      <c r="H1453" s="19" t="s">
        <v>2889</v>
      </c>
      <c r="I1453" s="18" t="s">
        <v>2550</v>
      </c>
      <c r="J1453" s="20">
        <v>1</v>
      </c>
      <c r="K1453" s="20">
        <v>1.1499999999999999</v>
      </c>
      <c r="L1453" s="21" t="s">
        <v>28</v>
      </c>
      <c r="M1453" s="22">
        <v>33.478000000000002</v>
      </c>
      <c r="N1453" s="22">
        <v>0</v>
      </c>
      <c r="O1453" s="22">
        <v>1324.54</v>
      </c>
      <c r="P1453" s="22">
        <f t="shared" si="234"/>
        <v>50994.392637999998</v>
      </c>
      <c r="Q1453" s="22">
        <v>0</v>
      </c>
      <c r="R1453" s="22">
        <f t="shared" si="235"/>
        <v>0</v>
      </c>
      <c r="S1453" s="22">
        <f t="shared" si="236"/>
        <v>50994.392637999998</v>
      </c>
      <c r="T1453" s="23">
        <v>0.55859868298040061</v>
      </c>
      <c r="U1453" s="24">
        <v>0.1</v>
      </c>
      <c r="V1453" s="25">
        <f t="shared" ref="V1453:V1455" si="256">S1453+S1453*T1453+(S1453+S1453*T1453)*U1453</f>
        <v>87427.772525469452</v>
      </c>
      <c r="W1453" s="26" t="s">
        <v>29</v>
      </c>
    </row>
    <row r="1454" spans="1:23" ht="89.25" x14ac:dyDescent="0.25">
      <c r="A1454" s="17">
        <f t="shared" ca="1" si="241"/>
        <v>1450</v>
      </c>
      <c r="B1454" s="18" t="s">
        <v>2854</v>
      </c>
      <c r="C1454" s="18" t="s">
        <v>2890</v>
      </c>
      <c r="D1454" s="18"/>
      <c r="E1454" s="18"/>
      <c r="F1454" s="18"/>
      <c r="G1454" s="18"/>
      <c r="H1454" s="19" t="s">
        <v>2891</v>
      </c>
      <c r="I1454" s="18" t="s">
        <v>2550</v>
      </c>
      <c r="J1454" s="20">
        <v>1</v>
      </c>
      <c r="K1454" s="20">
        <v>1.1499999999999999</v>
      </c>
      <c r="L1454" s="21" t="s">
        <v>28</v>
      </c>
      <c r="M1454" s="22">
        <v>48.164999999999999</v>
      </c>
      <c r="N1454" s="22">
        <v>0</v>
      </c>
      <c r="O1454" s="22">
        <v>1324.54</v>
      </c>
      <c r="P1454" s="22">
        <f t="shared" si="234"/>
        <v>73365.939464999989</v>
      </c>
      <c r="Q1454" s="22">
        <v>0</v>
      </c>
      <c r="R1454" s="22">
        <f t="shared" si="235"/>
        <v>0</v>
      </c>
      <c r="S1454" s="22">
        <f t="shared" si="236"/>
        <v>73365.939464999989</v>
      </c>
      <c r="T1454" s="23">
        <v>0.55859868298040061</v>
      </c>
      <c r="U1454" s="24">
        <v>0.1</v>
      </c>
      <c r="V1454" s="25">
        <f t="shared" si="256"/>
        <v>125782.86228834566</v>
      </c>
      <c r="W1454" s="26" t="s">
        <v>29</v>
      </c>
    </row>
    <row r="1455" spans="1:23" ht="89.25" x14ac:dyDescent="0.25">
      <c r="A1455" s="17">
        <f t="shared" ca="1" si="241"/>
        <v>1451</v>
      </c>
      <c r="B1455" s="18" t="s">
        <v>2854</v>
      </c>
      <c r="C1455" s="18" t="s">
        <v>2892</v>
      </c>
      <c r="D1455" s="18"/>
      <c r="E1455" s="18"/>
      <c r="F1455" s="18"/>
      <c r="G1455" s="18"/>
      <c r="H1455" s="19" t="s">
        <v>2893</v>
      </c>
      <c r="I1455" s="18" t="s">
        <v>2550</v>
      </c>
      <c r="J1455" s="20">
        <v>1</v>
      </c>
      <c r="K1455" s="20">
        <v>1.1499999999999999</v>
      </c>
      <c r="L1455" s="21" t="s">
        <v>28</v>
      </c>
      <c r="M1455" s="22">
        <v>66.480999999999995</v>
      </c>
      <c r="N1455" s="22">
        <v>0</v>
      </c>
      <c r="O1455" s="22">
        <v>1324.54</v>
      </c>
      <c r="P1455" s="22">
        <f t="shared" si="234"/>
        <v>101265.25530099998</v>
      </c>
      <c r="Q1455" s="22">
        <v>0</v>
      </c>
      <c r="R1455" s="22">
        <f t="shared" si="235"/>
        <v>0</v>
      </c>
      <c r="S1455" s="22">
        <f t="shared" si="236"/>
        <v>101265.25530099998</v>
      </c>
      <c r="T1455" s="23">
        <v>0.55859868298040061</v>
      </c>
      <c r="U1455" s="24">
        <v>0.1</v>
      </c>
      <c r="V1455" s="25">
        <f t="shared" si="256"/>
        <v>173615.08289819388</v>
      </c>
      <c r="W1455" s="26" t="s">
        <v>29</v>
      </c>
    </row>
    <row r="1456" spans="1:23" x14ac:dyDescent="0.25">
      <c r="A1456" s="12">
        <f t="shared" ca="1" si="241"/>
        <v>1452</v>
      </c>
      <c r="B1456" s="32" t="s">
        <v>2854</v>
      </c>
      <c r="C1456" s="32" t="s">
        <v>2894</v>
      </c>
      <c r="D1456" s="32"/>
      <c r="E1456" s="32"/>
      <c r="F1456" s="32"/>
      <c r="G1456" s="32"/>
      <c r="H1456" s="31" t="s">
        <v>2895</v>
      </c>
      <c r="I1456" s="32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27"/>
      <c r="U1456" s="16"/>
      <c r="V1456" s="13"/>
      <c r="W1456" s="13"/>
    </row>
    <row r="1457" spans="1:23" ht="89.25" x14ac:dyDescent="0.25">
      <c r="A1457" s="17">
        <f t="shared" ca="1" si="241"/>
        <v>1453</v>
      </c>
      <c r="B1457" s="18" t="s">
        <v>2854</v>
      </c>
      <c r="C1457" s="18" t="s">
        <v>2896</v>
      </c>
      <c r="D1457" s="18"/>
      <c r="E1457" s="18"/>
      <c r="F1457" s="18"/>
      <c r="G1457" s="18"/>
      <c r="H1457" s="19" t="s">
        <v>2897</v>
      </c>
      <c r="I1457" s="18" t="s">
        <v>161</v>
      </c>
      <c r="J1457" s="20">
        <v>1</v>
      </c>
      <c r="K1457" s="20">
        <v>1.1499999999999999</v>
      </c>
      <c r="L1457" s="21" t="s">
        <v>28</v>
      </c>
      <c r="M1457" s="22">
        <v>16.416</v>
      </c>
      <c r="N1457" s="22">
        <v>0</v>
      </c>
      <c r="O1457" s="22">
        <v>1324.54</v>
      </c>
      <c r="P1457" s="22">
        <f t="shared" si="234"/>
        <v>25005.195935999996</v>
      </c>
      <c r="Q1457" s="22">
        <v>0</v>
      </c>
      <c r="R1457" s="22">
        <f t="shared" si="235"/>
        <v>0</v>
      </c>
      <c r="S1457" s="22">
        <f t="shared" si="236"/>
        <v>25005.195935999996</v>
      </c>
      <c r="T1457" s="23">
        <v>0.55859868298040061</v>
      </c>
      <c r="U1457" s="24">
        <v>0.1</v>
      </c>
      <c r="V1457" s="25">
        <f t="shared" ref="V1457:V1458" si="257">S1457+S1457*T1457+(S1457+S1457*T1457)*U1457</f>
        <v>42870.371998868104</v>
      </c>
      <c r="W1457" s="26" t="s">
        <v>29</v>
      </c>
    </row>
    <row r="1458" spans="1:23" ht="89.25" x14ac:dyDescent="0.25">
      <c r="A1458" s="17">
        <f t="shared" ca="1" si="241"/>
        <v>1454</v>
      </c>
      <c r="B1458" s="18" t="s">
        <v>2854</v>
      </c>
      <c r="C1458" s="18" t="s">
        <v>2898</v>
      </c>
      <c r="D1458" s="18"/>
      <c r="E1458" s="18"/>
      <c r="F1458" s="18"/>
      <c r="G1458" s="18"/>
      <c r="H1458" s="19" t="s">
        <v>2899</v>
      </c>
      <c r="I1458" s="18" t="s">
        <v>161</v>
      </c>
      <c r="J1458" s="20">
        <v>1</v>
      </c>
      <c r="K1458" s="20">
        <v>1.1499999999999999</v>
      </c>
      <c r="L1458" s="21" t="s">
        <v>28</v>
      </c>
      <c r="M1458" s="22">
        <v>26.077499999999997</v>
      </c>
      <c r="N1458" s="22">
        <v>0</v>
      </c>
      <c r="O1458" s="22">
        <v>1324.54</v>
      </c>
      <c r="P1458" s="22">
        <f t="shared" si="234"/>
        <v>39721.795627499989</v>
      </c>
      <c r="Q1458" s="22">
        <v>0</v>
      </c>
      <c r="R1458" s="22">
        <f t="shared" si="235"/>
        <v>0</v>
      </c>
      <c r="S1458" s="22">
        <f t="shared" si="236"/>
        <v>39721.795627499989</v>
      </c>
      <c r="T1458" s="23">
        <v>0.55859868298040061</v>
      </c>
      <c r="U1458" s="24">
        <v>0.1</v>
      </c>
      <c r="V1458" s="25">
        <f t="shared" si="257"/>
        <v>68101.372185701941</v>
      </c>
      <c r="W1458" s="26" t="s">
        <v>29</v>
      </c>
    </row>
    <row r="1459" spans="1:23" x14ac:dyDescent="0.25">
      <c r="A1459" s="12">
        <f t="shared" ca="1" si="241"/>
        <v>1455</v>
      </c>
      <c r="B1459" s="32" t="s">
        <v>2854</v>
      </c>
      <c r="C1459" s="32" t="s">
        <v>2900</v>
      </c>
      <c r="D1459" s="32"/>
      <c r="E1459" s="32"/>
      <c r="F1459" s="32"/>
      <c r="G1459" s="32"/>
      <c r="H1459" s="31" t="s">
        <v>2562</v>
      </c>
      <c r="I1459" s="32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27"/>
      <c r="U1459" s="16"/>
      <c r="V1459" s="13"/>
      <c r="W1459" s="13"/>
    </row>
    <row r="1460" spans="1:23" ht="89.25" x14ac:dyDescent="0.25">
      <c r="A1460" s="17">
        <f t="shared" ca="1" si="241"/>
        <v>1456</v>
      </c>
      <c r="B1460" s="18" t="s">
        <v>2854</v>
      </c>
      <c r="C1460" s="18" t="s">
        <v>2901</v>
      </c>
      <c r="D1460" s="18"/>
      <c r="E1460" s="18"/>
      <c r="F1460" s="18"/>
      <c r="G1460" s="18"/>
      <c r="H1460" s="19" t="s">
        <v>2902</v>
      </c>
      <c r="I1460" s="18" t="s">
        <v>2550</v>
      </c>
      <c r="J1460" s="20">
        <v>1</v>
      </c>
      <c r="K1460" s="20">
        <v>1.1499999999999999</v>
      </c>
      <c r="L1460" s="21" t="s">
        <v>28</v>
      </c>
      <c r="M1460" s="22">
        <v>51.3</v>
      </c>
      <c r="N1460" s="22">
        <v>0</v>
      </c>
      <c r="O1460" s="22">
        <v>1324.54</v>
      </c>
      <c r="P1460" s="22">
        <f t="shared" si="234"/>
        <v>78141.237299999979</v>
      </c>
      <c r="Q1460" s="22">
        <v>0</v>
      </c>
      <c r="R1460" s="22">
        <f t="shared" si="235"/>
        <v>0</v>
      </c>
      <c r="S1460" s="22">
        <f t="shared" si="236"/>
        <v>78141.237299999979</v>
      </c>
      <c r="T1460" s="23">
        <v>0.55859868298040061</v>
      </c>
      <c r="U1460" s="24">
        <v>0.1</v>
      </c>
      <c r="V1460" s="25">
        <f t="shared" ref="V1460" si="258">S1460+S1460*T1460+(S1460+S1460*T1460)*U1460</f>
        <v>133969.91249646281</v>
      </c>
      <c r="W1460" s="26" t="s">
        <v>29</v>
      </c>
    </row>
    <row r="1461" spans="1:23" x14ac:dyDescent="0.25">
      <c r="A1461" s="12">
        <f t="shared" ca="1" si="241"/>
        <v>1457</v>
      </c>
      <c r="B1461" s="32" t="s">
        <v>2854</v>
      </c>
      <c r="C1461" s="32" t="s">
        <v>2903</v>
      </c>
      <c r="D1461" s="32"/>
      <c r="E1461" s="32"/>
      <c r="F1461" s="32"/>
      <c r="G1461" s="32"/>
      <c r="H1461" s="31" t="s">
        <v>2566</v>
      </c>
      <c r="I1461" s="32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27"/>
      <c r="U1461" s="16"/>
      <c r="V1461" s="13"/>
      <c r="W1461" s="13"/>
    </row>
    <row r="1462" spans="1:23" ht="89.25" x14ac:dyDescent="0.25">
      <c r="A1462" s="17">
        <f t="shared" ca="1" si="241"/>
        <v>1458</v>
      </c>
      <c r="B1462" s="18" t="s">
        <v>2854</v>
      </c>
      <c r="C1462" s="18" t="s">
        <v>2904</v>
      </c>
      <c r="D1462" s="18"/>
      <c r="E1462" s="18"/>
      <c r="F1462" s="18"/>
      <c r="G1462" s="18"/>
      <c r="H1462" s="19" t="s">
        <v>2905</v>
      </c>
      <c r="I1462" s="18" t="s">
        <v>2550</v>
      </c>
      <c r="J1462" s="20">
        <v>1</v>
      </c>
      <c r="K1462" s="20">
        <v>1.1499999999999999</v>
      </c>
      <c r="L1462" s="21" t="s">
        <v>28</v>
      </c>
      <c r="M1462" s="22">
        <v>30.133999999999997</v>
      </c>
      <c r="N1462" s="22">
        <v>0</v>
      </c>
      <c r="O1462" s="22">
        <v>1324.54</v>
      </c>
      <c r="P1462" s="22">
        <f t="shared" si="234"/>
        <v>45900.741613999991</v>
      </c>
      <c r="Q1462" s="22">
        <v>0</v>
      </c>
      <c r="R1462" s="22">
        <f t="shared" si="235"/>
        <v>0</v>
      </c>
      <c r="S1462" s="22">
        <f t="shared" si="236"/>
        <v>45900.741613999991</v>
      </c>
      <c r="T1462" s="23">
        <v>0.55859868298040061</v>
      </c>
      <c r="U1462" s="24">
        <v>0.1</v>
      </c>
      <c r="V1462" s="25">
        <f t="shared" ref="V1462" si="259">S1462+S1462*T1462+(S1462+S1462*T1462)*U1462</f>
        <v>78694.91897014447</v>
      </c>
      <c r="W1462" s="26" t="s">
        <v>29</v>
      </c>
    </row>
    <row r="1463" spans="1:23" x14ac:dyDescent="0.25">
      <c r="A1463" s="12">
        <f t="shared" ca="1" si="241"/>
        <v>1459</v>
      </c>
      <c r="B1463" s="32" t="s">
        <v>2854</v>
      </c>
      <c r="C1463" s="32" t="s">
        <v>2906</v>
      </c>
      <c r="D1463" s="32"/>
      <c r="E1463" s="32"/>
      <c r="F1463" s="32"/>
      <c r="G1463" s="32"/>
      <c r="H1463" s="31" t="s">
        <v>2907</v>
      </c>
      <c r="I1463" s="32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27"/>
      <c r="U1463" s="16"/>
      <c r="V1463" s="13"/>
      <c r="W1463" s="13"/>
    </row>
    <row r="1464" spans="1:23" ht="89.25" x14ac:dyDescent="0.25">
      <c r="A1464" s="17">
        <f t="shared" ca="1" si="241"/>
        <v>1460</v>
      </c>
      <c r="B1464" s="18" t="s">
        <v>2854</v>
      </c>
      <c r="C1464" s="18" t="s">
        <v>2908</v>
      </c>
      <c r="D1464" s="18"/>
      <c r="E1464" s="18"/>
      <c r="F1464" s="18"/>
      <c r="G1464" s="18"/>
      <c r="H1464" s="19" t="s">
        <v>2909</v>
      </c>
      <c r="I1464" s="18" t="s">
        <v>161</v>
      </c>
      <c r="J1464" s="20">
        <v>1</v>
      </c>
      <c r="K1464" s="20">
        <v>1.1499999999999999</v>
      </c>
      <c r="L1464" s="21" t="s">
        <v>28</v>
      </c>
      <c r="M1464" s="22">
        <v>65.340999999999994</v>
      </c>
      <c r="N1464" s="22">
        <v>0</v>
      </c>
      <c r="O1464" s="22">
        <v>1324.54</v>
      </c>
      <c r="P1464" s="22">
        <f t="shared" si="234"/>
        <v>99528.78336099998</v>
      </c>
      <c r="Q1464" s="22">
        <v>0</v>
      </c>
      <c r="R1464" s="22">
        <f t="shared" si="235"/>
        <v>0</v>
      </c>
      <c r="S1464" s="22">
        <f t="shared" si="236"/>
        <v>99528.78336099998</v>
      </c>
      <c r="T1464" s="23">
        <v>0.55859868298040061</v>
      </c>
      <c r="U1464" s="24">
        <v>0.1</v>
      </c>
      <c r="V1464" s="25">
        <f t="shared" ref="V1464:V1465" si="260">S1464+S1464*T1464+(S1464+S1464*T1464)*U1464</f>
        <v>170637.9737316058</v>
      </c>
      <c r="W1464" s="26" t="s">
        <v>29</v>
      </c>
    </row>
    <row r="1465" spans="1:23" ht="89.25" x14ac:dyDescent="0.25">
      <c r="A1465" s="17">
        <f t="shared" ca="1" si="241"/>
        <v>1461</v>
      </c>
      <c r="B1465" s="18" t="s">
        <v>2854</v>
      </c>
      <c r="C1465" s="18" t="s">
        <v>2910</v>
      </c>
      <c r="D1465" s="18"/>
      <c r="E1465" s="18"/>
      <c r="F1465" s="18"/>
      <c r="G1465" s="18"/>
      <c r="H1465" s="19" t="s">
        <v>2911</v>
      </c>
      <c r="I1465" s="18" t="s">
        <v>161</v>
      </c>
      <c r="J1465" s="20">
        <v>1</v>
      </c>
      <c r="K1465" s="20">
        <v>1.1499999999999999</v>
      </c>
      <c r="L1465" s="21" t="s">
        <v>28</v>
      </c>
      <c r="M1465" s="22">
        <v>19.645999999999997</v>
      </c>
      <c r="N1465" s="22">
        <v>0</v>
      </c>
      <c r="O1465" s="22">
        <v>1324.54</v>
      </c>
      <c r="P1465" s="22">
        <f t="shared" si="234"/>
        <v>29925.199765999994</v>
      </c>
      <c r="Q1465" s="22">
        <v>0</v>
      </c>
      <c r="R1465" s="22">
        <f t="shared" si="235"/>
        <v>0</v>
      </c>
      <c r="S1465" s="22">
        <f t="shared" si="236"/>
        <v>29925.199765999994</v>
      </c>
      <c r="T1465" s="23">
        <v>0.55859868298040061</v>
      </c>
      <c r="U1465" s="24">
        <v>0.1</v>
      </c>
      <c r="V1465" s="25">
        <f t="shared" si="260"/>
        <v>51305.514637534281</v>
      </c>
      <c r="W1465" s="26" t="s">
        <v>29</v>
      </c>
    </row>
    <row r="1466" spans="1:23" x14ac:dyDescent="0.25">
      <c r="A1466" s="12">
        <f t="shared" ca="1" si="241"/>
        <v>1462</v>
      </c>
      <c r="B1466" s="32" t="s">
        <v>2854</v>
      </c>
      <c r="C1466" s="32" t="s">
        <v>2912</v>
      </c>
      <c r="D1466" s="32"/>
      <c r="E1466" s="32"/>
      <c r="F1466" s="32"/>
      <c r="G1466" s="32"/>
      <c r="H1466" s="31" t="s">
        <v>2913</v>
      </c>
      <c r="I1466" s="32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27"/>
      <c r="U1466" s="16"/>
      <c r="V1466" s="13"/>
      <c r="W1466" s="13"/>
    </row>
    <row r="1467" spans="1:23" ht="89.25" x14ac:dyDescent="0.25">
      <c r="A1467" s="17">
        <f t="shared" ca="1" si="241"/>
        <v>1463</v>
      </c>
      <c r="B1467" s="18" t="s">
        <v>2854</v>
      </c>
      <c r="C1467" s="18" t="s">
        <v>2914</v>
      </c>
      <c r="D1467" s="18"/>
      <c r="E1467" s="18"/>
      <c r="F1467" s="18"/>
      <c r="G1467" s="18"/>
      <c r="H1467" s="19" t="s">
        <v>2915</v>
      </c>
      <c r="I1467" s="18" t="s">
        <v>161</v>
      </c>
      <c r="J1467" s="20">
        <v>1</v>
      </c>
      <c r="K1467" s="20">
        <v>1.1499999999999999</v>
      </c>
      <c r="L1467" s="21" t="s">
        <v>28</v>
      </c>
      <c r="M1467" s="22">
        <v>50.216999999999999</v>
      </c>
      <c r="N1467" s="22">
        <v>0</v>
      </c>
      <c r="O1467" s="22">
        <v>1324.54</v>
      </c>
      <c r="P1467" s="22">
        <f t="shared" ref="P1467:P1528" si="261">O1467*M1467*K1467</f>
        <v>76491.588956999985</v>
      </c>
      <c r="Q1467" s="22">
        <v>0</v>
      </c>
      <c r="R1467" s="22">
        <f t="shared" ref="R1467:R1528" si="262">N1467*Q1467*K1467</f>
        <v>0</v>
      </c>
      <c r="S1467" s="22">
        <f t="shared" ref="S1467:S1528" si="263">P1467+R1467</f>
        <v>76491.588956999985</v>
      </c>
      <c r="T1467" s="23">
        <v>0.55859868298040061</v>
      </c>
      <c r="U1467" s="24">
        <v>0.1</v>
      </c>
      <c r="V1467" s="25">
        <f t="shared" ref="V1467:V1477" si="264">S1467+S1467*T1467+(S1467+S1467*T1467)*U1467</f>
        <v>131141.65878820416</v>
      </c>
      <c r="W1467" s="26" t="s">
        <v>29</v>
      </c>
    </row>
    <row r="1468" spans="1:23" ht="89.25" x14ac:dyDescent="0.25">
      <c r="A1468" s="17">
        <f t="shared" ca="1" si="241"/>
        <v>1464</v>
      </c>
      <c r="B1468" s="18" t="s">
        <v>2854</v>
      </c>
      <c r="C1468" s="18" t="s">
        <v>2916</v>
      </c>
      <c r="D1468" s="18"/>
      <c r="E1468" s="18"/>
      <c r="F1468" s="18"/>
      <c r="G1468" s="18"/>
      <c r="H1468" s="19" t="s">
        <v>2917</v>
      </c>
      <c r="I1468" s="18" t="s">
        <v>161</v>
      </c>
      <c r="J1468" s="20">
        <v>1</v>
      </c>
      <c r="K1468" s="20">
        <v>1.1499999999999999</v>
      </c>
      <c r="L1468" s="21" t="s">
        <v>28</v>
      </c>
      <c r="M1468" s="22">
        <v>66.063000000000002</v>
      </c>
      <c r="N1468" s="22">
        <v>0</v>
      </c>
      <c r="O1468" s="22">
        <v>1324.54</v>
      </c>
      <c r="P1468" s="22">
        <f t="shared" si="261"/>
        <v>100628.54892299999</v>
      </c>
      <c r="Q1468" s="22">
        <v>0</v>
      </c>
      <c r="R1468" s="22">
        <f t="shared" si="262"/>
        <v>0</v>
      </c>
      <c r="S1468" s="22">
        <f t="shared" si="263"/>
        <v>100628.54892299999</v>
      </c>
      <c r="T1468" s="23">
        <v>0.55859868298040061</v>
      </c>
      <c r="U1468" s="24">
        <v>0.1</v>
      </c>
      <c r="V1468" s="25">
        <f t="shared" si="264"/>
        <v>172523.47620377826</v>
      </c>
      <c r="W1468" s="26" t="s">
        <v>29</v>
      </c>
    </row>
    <row r="1469" spans="1:23" ht="89.25" x14ac:dyDescent="0.25">
      <c r="A1469" s="17">
        <f t="shared" ca="1" si="241"/>
        <v>1465</v>
      </c>
      <c r="B1469" s="18" t="s">
        <v>2854</v>
      </c>
      <c r="C1469" s="18" t="s">
        <v>2918</v>
      </c>
      <c r="D1469" s="18"/>
      <c r="E1469" s="18"/>
      <c r="F1469" s="18"/>
      <c r="G1469" s="18"/>
      <c r="H1469" s="19" t="s">
        <v>2919</v>
      </c>
      <c r="I1469" s="18" t="s">
        <v>161</v>
      </c>
      <c r="J1469" s="20">
        <v>1</v>
      </c>
      <c r="K1469" s="20">
        <v>1.1499999999999999</v>
      </c>
      <c r="L1469" s="21" t="s">
        <v>28</v>
      </c>
      <c r="M1469" s="22">
        <v>89.908000000000001</v>
      </c>
      <c r="N1469" s="22">
        <v>0</v>
      </c>
      <c r="O1469" s="22">
        <v>1324.54</v>
      </c>
      <c r="P1469" s="22">
        <f t="shared" si="261"/>
        <v>136949.75366799999</v>
      </c>
      <c r="Q1469" s="22">
        <v>0</v>
      </c>
      <c r="R1469" s="22">
        <f t="shared" si="262"/>
        <v>0</v>
      </c>
      <c r="S1469" s="22">
        <f t="shared" si="263"/>
        <v>136949.75366799999</v>
      </c>
      <c r="T1469" s="23">
        <v>0.55859868298040061</v>
      </c>
      <c r="U1469" s="24">
        <v>0.1</v>
      </c>
      <c r="V1469" s="25">
        <f t="shared" si="264"/>
        <v>234794.67627157859</v>
      </c>
      <c r="W1469" s="26" t="s">
        <v>29</v>
      </c>
    </row>
    <row r="1470" spans="1:23" ht="89.25" x14ac:dyDescent="0.25">
      <c r="A1470" s="17">
        <f t="shared" ca="1" si="241"/>
        <v>1466</v>
      </c>
      <c r="B1470" s="18" t="s">
        <v>2854</v>
      </c>
      <c r="C1470" s="18" t="s">
        <v>2920</v>
      </c>
      <c r="D1470" s="18"/>
      <c r="E1470" s="18"/>
      <c r="F1470" s="18"/>
      <c r="G1470" s="18"/>
      <c r="H1470" s="19" t="s">
        <v>2921</v>
      </c>
      <c r="I1470" s="18" t="s">
        <v>161</v>
      </c>
      <c r="J1470" s="20">
        <v>1</v>
      </c>
      <c r="K1470" s="20">
        <v>1.1499999999999999</v>
      </c>
      <c r="L1470" s="21" t="s">
        <v>28</v>
      </c>
      <c r="M1470" s="22">
        <v>38.988</v>
      </c>
      <c r="N1470" s="22">
        <v>0</v>
      </c>
      <c r="O1470" s="22">
        <v>1324.54</v>
      </c>
      <c r="P1470" s="22">
        <f t="shared" si="261"/>
        <v>59387.340347999991</v>
      </c>
      <c r="Q1470" s="22">
        <v>0</v>
      </c>
      <c r="R1470" s="22">
        <f t="shared" si="262"/>
        <v>0</v>
      </c>
      <c r="S1470" s="22">
        <f t="shared" si="263"/>
        <v>59387.340347999991</v>
      </c>
      <c r="T1470" s="23">
        <v>0.55859868298040061</v>
      </c>
      <c r="U1470" s="24">
        <v>0.1</v>
      </c>
      <c r="V1470" s="25">
        <f t="shared" si="264"/>
        <v>101817.13349731175</v>
      </c>
      <c r="W1470" s="26" t="s">
        <v>29</v>
      </c>
    </row>
    <row r="1471" spans="1:23" ht="89.25" x14ac:dyDescent="0.25">
      <c r="A1471" s="17">
        <f t="shared" ca="1" si="241"/>
        <v>1467</v>
      </c>
      <c r="B1471" s="18" t="s">
        <v>2854</v>
      </c>
      <c r="C1471" s="18" t="s">
        <v>2922</v>
      </c>
      <c r="D1471" s="18"/>
      <c r="E1471" s="18"/>
      <c r="F1471" s="18"/>
      <c r="G1471" s="18"/>
      <c r="H1471" s="19" t="s">
        <v>2923</v>
      </c>
      <c r="I1471" s="18" t="s">
        <v>161</v>
      </c>
      <c r="J1471" s="20">
        <v>1</v>
      </c>
      <c r="K1471" s="20">
        <v>1.1499999999999999</v>
      </c>
      <c r="L1471" s="21" t="s">
        <v>28</v>
      </c>
      <c r="M1471" s="22">
        <v>64.48599999999999</v>
      </c>
      <c r="N1471" s="22">
        <v>0</v>
      </c>
      <c r="O1471" s="22">
        <v>1324.54</v>
      </c>
      <c r="P1471" s="22">
        <f t="shared" si="261"/>
        <v>98226.429405999967</v>
      </c>
      <c r="Q1471" s="22">
        <v>0</v>
      </c>
      <c r="R1471" s="22">
        <f t="shared" si="262"/>
        <v>0</v>
      </c>
      <c r="S1471" s="22">
        <f t="shared" si="263"/>
        <v>98226.429405999967</v>
      </c>
      <c r="T1471" s="23">
        <v>0.55859868298040061</v>
      </c>
      <c r="U1471" s="24">
        <v>0.1</v>
      </c>
      <c r="V1471" s="25">
        <f t="shared" si="264"/>
        <v>168405.14185666473</v>
      </c>
      <c r="W1471" s="26" t="s">
        <v>29</v>
      </c>
    </row>
    <row r="1472" spans="1:23" ht="89.25" x14ac:dyDescent="0.25">
      <c r="A1472" s="17">
        <f t="shared" ca="1" si="241"/>
        <v>1468</v>
      </c>
      <c r="B1472" s="18" t="s">
        <v>2854</v>
      </c>
      <c r="C1472" s="18" t="s">
        <v>2924</v>
      </c>
      <c r="D1472" s="18"/>
      <c r="E1472" s="18"/>
      <c r="F1472" s="18"/>
      <c r="G1472" s="18"/>
      <c r="H1472" s="19" t="s">
        <v>2925</v>
      </c>
      <c r="I1472" s="18" t="s">
        <v>161</v>
      </c>
      <c r="J1472" s="20">
        <v>1</v>
      </c>
      <c r="K1472" s="20">
        <v>1.1499999999999999</v>
      </c>
      <c r="L1472" s="21" t="s">
        <v>28</v>
      </c>
      <c r="M1472" s="22">
        <v>81.861499999999992</v>
      </c>
      <c r="N1472" s="22">
        <v>0</v>
      </c>
      <c r="O1472" s="22">
        <v>1324.54</v>
      </c>
      <c r="P1472" s="22">
        <f t="shared" si="261"/>
        <v>124693.15589149998</v>
      </c>
      <c r="Q1472" s="22">
        <v>0</v>
      </c>
      <c r="R1472" s="22">
        <f t="shared" si="262"/>
        <v>0</v>
      </c>
      <c r="S1472" s="22">
        <f t="shared" si="263"/>
        <v>124693.15589149998</v>
      </c>
      <c r="T1472" s="23">
        <v>0.55859868298040061</v>
      </c>
      <c r="U1472" s="24">
        <v>0.1</v>
      </c>
      <c r="V1472" s="25">
        <f t="shared" si="264"/>
        <v>213781.24740407782</v>
      </c>
      <c r="W1472" s="26" t="s">
        <v>29</v>
      </c>
    </row>
    <row r="1473" spans="1:23" ht="89.25" x14ac:dyDescent="0.25">
      <c r="A1473" s="17">
        <f t="shared" ca="1" si="241"/>
        <v>1469</v>
      </c>
      <c r="B1473" s="18" t="s">
        <v>2854</v>
      </c>
      <c r="C1473" s="18" t="s">
        <v>2926</v>
      </c>
      <c r="D1473" s="18"/>
      <c r="E1473" s="18"/>
      <c r="F1473" s="18"/>
      <c r="G1473" s="18"/>
      <c r="H1473" s="19" t="s">
        <v>2927</v>
      </c>
      <c r="I1473" s="18" t="s">
        <v>161</v>
      </c>
      <c r="J1473" s="20">
        <v>1</v>
      </c>
      <c r="K1473" s="20">
        <v>1.1499999999999999</v>
      </c>
      <c r="L1473" s="21" t="s">
        <v>28</v>
      </c>
      <c r="M1473" s="22">
        <v>19.797999999999998</v>
      </c>
      <c r="N1473" s="22">
        <v>0</v>
      </c>
      <c r="O1473" s="22">
        <v>1324.54</v>
      </c>
      <c r="P1473" s="22">
        <f t="shared" si="261"/>
        <v>30156.729357999993</v>
      </c>
      <c r="Q1473" s="22">
        <v>0</v>
      </c>
      <c r="R1473" s="22">
        <f t="shared" si="262"/>
        <v>0</v>
      </c>
      <c r="S1473" s="22">
        <f t="shared" si="263"/>
        <v>30156.729357999993</v>
      </c>
      <c r="T1473" s="23">
        <v>0.55859868298040061</v>
      </c>
      <c r="U1473" s="24">
        <v>0.1</v>
      </c>
      <c r="V1473" s="25">
        <f t="shared" si="264"/>
        <v>51702.462526412688</v>
      </c>
      <c r="W1473" s="26" t="s">
        <v>29</v>
      </c>
    </row>
    <row r="1474" spans="1:23" ht="89.25" x14ac:dyDescent="0.25">
      <c r="A1474" s="17">
        <f t="shared" ca="1" si="241"/>
        <v>1470</v>
      </c>
      <c r="B1474" s="18" t="s">
        <v>2854</v>
      </c>
      <c r="C1474" s="18" t="s">
        <v>2928</v>
      </c>
      <c r="D1474" s="18"/>
      <c r="E1474" s="18"/>
      <c r="F1474" s="18"/>
      <c r="G1474" s="18"/>
      <c r="H1474" s="19" t="s">
        <v>2929</v>
      </c>
      <c r="I1474" s="18" t="s">
        <v>161</v>
      </c>
      <c r="J1474" s="20">
        <v>1</v>
      </c>
      <c r="K1474" s="20">
        <v>1.1499999999999999</v>
      </c>
      <c r="L1474" s="21" t="s">
        <v>28</v>
      </c>
      <c r="M1474" s="22">
        <v>37.363499999999995</v>
      </c>
      <c r="N1474" s="22">
        <v>0</v>
      </c>
      <c r="O1474" s="22">
        <v>1324.54</v>
      </c>
      <c r="P1474" s="22">
        <f t="shared" si="261"/>
        <v>56912.867833499986</v>
      </c>
      <c r="Q1474" s="22">
        <v>0</v>
      </c>
      <c r="R1474" s="22">
        <f t="shared" si="262"/>
        <v>0</v>
      </c>
      <c r="S1474" s="22">
        <f t="shared" si="263"/>
        <v>56912.867833499986</v>
      </c>
      <c r="T1474" s="23">
        <v>0.55859868298040061</v>
      </c>
      <c r="U1474" s="24">
        <v>0.1</v>
      </c>
      <c r="V1474" s="25">
        <f t="shared" si="264"/>
        <v>97574.752934923745</v>
      </c>
      <c r="W1474" s="26" t="s">
        <v>29</v>
      </c>
    </row>
    <row r="1475" spans="1:23" ht="89.25" x14ac:dyDescent="0.25">
      <c r="A1475" s="17">
        <f t="shared" ref="A1475:A1538" ca="1" si="265">CELL("строка",A1475)-4</f>
        <v>1471</v>
      </c>
      <c r="B1475" s="18" t="s">
        <v>2854</v>
      </c>
      <c r="C1475" s="18" t="s">
        <v>2930</v>
      </c>
      <c r="D1475" s="18"/>
      <c r="E1475" s="18"/>
      <c r="F1475" s="18"/>
      <c r="G1475" s="18"/>
      <c r="H1475" s="19" t="s">
        <v>2931</v>
      </c>
      <c r="I1475" s="18" t="s">
        <v>161</v>
      </c>
      <c r="J1475" s="20">
        <v>1</v>
      </c>
      <c r="K1475" s="20">
        <v>1.1499999999999999</v>
      </c>
      <c r="L1475" s="21" t="s">
        <v>28</v>
      </c>
      <c r="M1475" s="22">
        <v>17.745999999999999</v>
      </c>
      <c r="N1475" s="22">
        <v>0</v>
      </c>
      <c r="O1475" s="22">
        <v>1324.54</v>
      </c>
      <c r="P1475" s="22">
        <f t="shared" si="261"/>
        <v>27031.079865999993</v>
      </c>
      <c r="Q1475" s="22">
        <v>0</v>
      </c>
      <c r="R1475" s="22">
        <f t="shared" si="262"/>
        <v>0</v>
      </c>
      <c r="S1475" s="22">
        <f t="shared" si="263"/>
        <v>27031.079865999993</v>
      </c>
      <c r="T1475" s="23">
        <v>0.55859868298040061</v>
      </c>
      <c r="U1475" s="24">
        <v>0.1</v>
      </c>
      <c r="V1475" s="25">
        <f t="shared" si="264"/>
        <v>46343.666026554172</v>
      </c>
      <c r="W1475" s="26" t="s">
        <v>29</v>
      </c>
    </row>
    <row r="1476" spans="1:23" ht="89.25" x14ac:dyDescent="0.25">
      <c r="A1476" s="17">
        <f t="shared" ca="1" si="265"/>
        <v>1472</v>
      </c>
      <c r="B1476" s="18" t="s">
        <v>2854</v>
      </c>
      <c r="C1476" s="18" t="s">
        <v>2932</v>
      </c>
      <c r="D1476" s="18"/>
      <c r="E1476" s="18"/>
      <c r="F1476" s="18"/>
      <c r="G1476" s="18"/>
      <c r="H1476" s="19" t="s">
        <v>2933</v>
      </c>
      <c r="I1476" s="18" t="s">
        <v>161</v>
      </c>
      <c r="J1476" s="20">
        <v>1</v>
      </c>
      <c r="K1476" s="20">
        <v>1.1499999999999999</v>
      </c>
      <c r="L1476" s="21" t="s">
        <v>28</v>
      </c>
      <c r="M1476" s="22">
        <v>41.381999999999998</v>
      </c>
      <c r="N1476" s="22">
        <v>0</v>
      </c>
      <c r="O1476" s="22">
        <v>1324.54</v>
      </c>
      <c r="P1476" s="22">
        <f t="shared" si="261"/>
        <v>63033.931421999987</v>
      </c>
      <c r="Q1476" s="22">
        <v>0</v>
      </c>
      <c r="R1476" s="22">
        <f t="shared" si="262"/>
        <v>0</v>
      </c>
      <c r="S1476" s="22">
        <f t="shared" si="263"/>
        <v>63033.931421999987</v>
      </c>
      <c r="T1476" s="23">
        <v>0.55859868298040061</v>
      </c>
      <c r="U1476" s="24">
        <v>0.1</v>
      </c>
      <c r="V1476" s="25">
        <f t="shared" si="264"/>
        <v>108069.06274714667</v>
      </c>
      <c r="W1476" s="26" t="s">
        <v>29</v>
      </c>
    </row>
    <row r="1477" spans="1:23" ht="89.25" x14ac:dyDescent="0.25">
      <c r="A1477" s="17">
        <f t="shared" ca="1" si="265"/>
        <v>1473</v>
      </c>
      <c r="B1477" s="18" t="s">
        <v>2854</v>
      </c>
      <c r="C1477" s="18" t="s">
        <v>2934</v>
      </c>
      <c r="D1477" s="18"/>
      <c r="E1477" s="18"/>
      <c r="F1477" s="18"/>
      <c r="G1477" s="18"/>
      <c r="H1477" s="19" t="s">
        <v>2935</v>
      </c>
      <c r="I1477" s="18" t="s">
        <v>161</v>
      </c>
      <c r="J1477" s="20">
        <v>1</v>
      </c>
      <c r="K1477" s="20">
        <v>1.1499999999999999</v>
      </c>
      <c r="L1477" s="21" t="s">
        <v>28</v>
      </c>
      <c r="M1477" s="22">
        <v>1.8239999999999998</v>
      </c>
      <c r="N1477" s="22">
        <v>0</v>
      </c>
      <c r="O1477" s="22">
        <v>1324.54</v>
      </c>
      <c r="P1477" s="22">
        <f t="shared" si="261"/>
        <v>2778.3551039999998</v>
      </c>
      <c r="Q1477" s="22">
        <v>0</v>
      </c>
      <c r="R1477" s="22">
        <f t="shared" si="262"/>
        <v>0</v>
      </c>
      <c r="S1477" s="22">
        <f t="shared" si="263"/>
        <v>2778.3551039999998</v>
      </c>
      <c r="T1477" s="23">
        <v>0.55859868298040061</v>
      </c>
      <c r="U1477" s="24">
        <v>0.1</v>
      </c>
      <c r="V1477" s="25">
        <f t="shared" si="264"/>
        <v>4763.3746665409017</v>
      </c>
      <c r="W1477" s="26" t="s">
        <v>29</v>
      </c>
    </row>
    <row r="1478" spans="1:23" x14ac:dyDescent="0.25">
      <c r="A1478" s="12">
        <f t="shared" ca="1" si="265"/>
        <v>1474</v>
      </c>
      <c r="B1478" s="32" t="s">
        <v>2854</v>
      </c>
      <c r="C1478" s="32" t="s">
        <v>2936</v>
      </c>
      <c r="D1478" s="32"/>
      <c r="E1478" s="32"/>
      <c r="F1478" s="32"/>
      <c r="G1478" s="32"/>
      <c r="H1478" s="31" t="s">
        <v>2420</v>
      </c>
      <c r="I1478" s="32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27"/>
      <c r="U1478" s="16"/>
      <c r="V1478" s="13"/>
      <c r="W1478" s="13"/>
    </row>
    <row r="1479" spans="1:23" ht="89.25" x14ac:dyDescent="0.25">
      <c r="A1479" s="17">
        <f t="shared" ca="1" si="265"/>
        <v>1475</v>
      </c>
      <c r="B1479" s="18" t="s">
        <v>2854</v>
      </c>
      <c r="C1479" s="18" t="s">
        <v>2937</v>
      </c>
      <c r="D1479" s="18"/>
      <c r="E1479" s="18"/>
      <c r="F1479" s="18"/>
      <c r="G1479" s="18"/>
      <c r="H1479" s="19" t="s">
        <v>2938</v>
      </c>
      <c r="I1479" s="18" t="s">
        <v>161</v>
      </c>
      <c r="J1479" s="20">
        <v>1</v>
      </c>
      <c r="K1479" s="20">
        <v>1.1499999999999999</v>
      </c>
      <c r="L1479" s="21" t="s">
        <v>28</v>
      </c>
      <c r="M1479" s="22">
        <v>22.448499999999999</v>
      </c>
      <c r="N1479" s="22">
        <v>0</v>
      </c>
      <c r="O1479" s="22">
        <v>1324.54</v>
      </c>
      <c r="P1479" s="22">
        <f t="shared" si="261"/>
        <v>34194.026618499993</v>
      </c>
      <c r="Q1479" s="22">
        <v>0</v>
      </c>
      <c r="R1479" s="22">
        <f t="shared" si="262"/>
        <v>0</v>
      </c>
      <c r="S1479" s="22">
        <f t="shared" si="263"/>
        <v>34194.026618499993</v>
      </c>
      <c r="T1479" s="23">
        <v>0.55859868298040061</v>
      </c>
      <c r="U1479" s="24">
        <v>0.1</v>
      </c>
      <c r="V1479" s="25">
        <f t="shared" ref="V1479:V1485" si="266">S1479+S1479*T1479+(S1479+S1479*T1479)*U1479</f>
        <v>58624.241338729938</v>
      </c>
      <c r="W1479" s="26" t="s">
        <v>29</v>
      </c>
    </row>
    <row r="1480" spans="1:23" ht="89.25" x14ac:dyDescent="0.25">
      <c r="A1480" s="17">
        <f t="shared" ca="1" si="265"/>
        <v>1476</v>
      </c>
      <c r="B1480" s="18" t="s">
        <v>2854</v>
      </c>
      <c r="C1480" s="18" t="s">
        <v>2939</v>
      </c>
      <c r="D1480" s="18"/>
      <c r="E1480" s="18"/>
      <c r="F1480" s="18"/>
      <c r="G1480" s="18"/>
      <c r="H1480" s="19" t="s">
        <v>2940</v>
      </c>
      <c r="I1480" s="18" t="s">
        <v>161</v>
      </c>
      <c r="J1480" s="20">
        <v>1</v>
      </c>
      <c r="K1480" s="20">
        <v>1.1499999999999999</v>
      </c>
      <c r="L1480" s="21" t="s">
        <v>28</v>
      </c>
      <c r="M1480" s="22">
        <v>48.972499999999997</v>
      </c>
      <c r="N1480" s="22">
        <v>0</v>
      </c>
      <c r="O1480" s="22">
        <v>1324.54</v>
      </c>
      <c r="P1480" s="22">
        <f t="shared" si="261"/>
        <v>74595.940422499989</v>
      </c>
      <c r="Q1480" s="22">
        <v>0</v>
      </c>
      <c r="R1480" s="22">
        <f t="shared" si="262"/>
        <v>0</v>
      </c>
      <c r="S1480" s="22">
        <f t="shared" si="263"/>
        <v>74595.940422499989</v>
      </c>
      <c r="T1480" s="23">
        <v>0.55859868298040061</v>
      </c>
      <c r="U1480" s="24">
        <v>0.1</v>
      </c>
      <c r="V1480" s="25">
        <f t="shared" si="266"/>
        <v>127891.64794801221</v>
      </c>
      <c r="W1480" s="26" t="s">
        <v>29</v>
      </c>
    </row>
    <row r="1481" spans="1:23" ht="89.25" x14ac:dyDescent="0.25">
      <c r="A1481" s="17">
        <f t="shared" ca="1" si="265"/>
        <v>1477</v>
      </c>
      <c r="B1481" s="18" t="s">
        <v>2854</v>
      </c>
      <c r="C1481" s="18" t="s">
        <v>2941</v>
      </c>
      <c r="D1481" s="18"/>
      <c r="E1481" s="18"/>
      <c r="F1481" s="18"/>
      <c r="G1481" s="18"/>
      <c r="H1481" s="19" t="s">
        <v>2942</v>
      </c>
      <c r="I1481" s="18" t="s">
        <v>161</v>
      </c>
      <c r="J1481" s="20">
        <v>1</v>
      </c>
      <c r="K1481" s="20">
        <v>1.1499999999999999</v>
      </c>
      <c r="L1481" s="21" t="s">
        <v>28</v>
      </c>
      <c r="M1481" s="22">
        <v>74.869500000000002</v>
      </c>
      <c r="N1481" s="22">
        <v>0</v>
      </c>
      <c r="O1481" s="22">
        <v>1324.54</v>
      </c>
      <c r="P1481" s="22">
        <f t="shared" si="261"/>
        <v>114042.7946595</v>
      </c>
      <c r="Q1481" s="22">
        <v>0</v>
      </c>
      <c r="R1481" s="22">
        <f t="shared" si="262"/>
        <v>0</v>
      </c>
      <c r="S1481" s="22">
        <f t="shared" si="263"/>
        <v>114042.7946595</v>
      </c>
      <c r="T1481" s="23">
        <v>0.55859868298040061</v>
      </c>
      <c r="U1481" s="24">
        <v>0.1</v>
      </c>
      <c r="V1481" s="25">
        <f t="shared" si="266"/>
        <v>195521.64451567107</v>
      </c>
      <c r="W1481" s="26" t="s">
        <v>29</v>
      </c>
    </row>
    <row r="1482" spans="1:23" ht="89.25" x14ac:dyDescent="0.25">
      <c r="A1482" s="17">
        <f t="shared" ca="1" si="265"/>
        <v>1478</v>
      </c>
      <c r="B1482" s="18" t="s">
        <v>2854</v>
      </c>
      <c r="C1482" s="18" t="s">
        <v>2943</v>
      </c>
      <c r="D1482" s="18"/>
      <c r="E1482" s="18"/>
      <c r="F1482" s="18"/>
      <c r="G1482" s="18"/>
      <c r="H1482" s="19" t="s">
        <v>2944</v>
      </c>
      <c r="I1482" s="18" t="s">
        <v>161</v>
      </c>
      <c r="J1482" s="20">
        <v>1</v>
      </c>
      <c r="K1482" s="20">
        <v>1.1499999999999999</v>
      </c>
      <c r="L1482" s="21" t="s">
        <v>28</v>
      </c>
      <c r="M1482" s="22">
        <v>32.898499999999999</v>
      </c>
      <c r="N1482" s="22">
        <v>0</v>
      </c>
      <c r="O1482" s="22">
        <v>1324.54</v>
      </c>
      <c r="P1482" s="22">
        <f t="shared" si="261"/>
        <v>50111.686068499999</v>
      </c>
      <c r="Q1482" s="22">
        <v>0</v>
      </c>
      <c r="R1482" s="22">
        <f t="shared" si="262"/>
        <v>0</v>
      </c>
      <c r="S1482" s="22">
        <f t="shared" si="263"/>
        <v>50111.686068499999</v>
      </c>
      <c r="T1482" s="23">
        <v>0.55859868298040061</v>
      </c>
      <c r="U1482" s="24">
        <v>0.1</v>
      </c>
      <c r="V1482" s="25">
        <f t="shared" si="266"/>
        <v>85914.408699120526</v>
      </c>
      <c r="W1482" s="26" t="s">
        <v>29</v>
      </c>
    </row>
    <row r="1483" spans="1:23" ht="89.25" x14ac:dyDescent="0.25">
      <c r="A1483" s="17">
        <f t="shared" ca="1" si="265"/>
        <v>1479</v>
      </c>
      <c r="B1483" s="18" t="s">
        <v>2854</v>
      </c>
      <c r="C1483" s="18" t="s">
        <v>2945</v>
      </c>
      <c r="D1483" s="18"/>
      <c r="E1483" s="18"/>
      <c r="F1483" s="18"/>
      <c r="G1483" s="18"/>
      <c r="H1483" s="19" t="s">
        <v>2946</v>
      </c>
      <c r="I1483" s="18" t="s">
        <v>161</v>
      </c>
      <c r="J1483" s="20">
        <v>1</v>
      </c>
      <c r="K1483" s="20">
        <v>1.1499999999999999</v>
      </c>
      <c r="L1483" s="21" t="s">
        <v>28</v>
      </c>
      <c r="M1483" s="22">
        <v>58.786000000000001</v>
      </c>
      <c r="N1483" s="22">
        <v>0</v>
      </c>
      <c r="O1483" s="22">
        <v>1324.54</v>
      </c>
      <c r="P1483" s="22">
        <f t="shared" si="261"/>
        <v>89544.069705999995</v>
      </c>
      <c r="Q1483" s="22">
        <v>0</v>
      </c>
      <c r="R1483" s="22">
        <f t="shared" si="262"/>
        <v>0</v>
      </c>
      <c r="S1483" s="22">
        <f t="shared" si="263"/>
        <v>89544.069705999995</v>
      </c>
      <c r="T1483" s="23">
        <v>0.55859868298040061</v>
      </c>
      <c r="U1483" s="24">
        <v>0.1</v>
      </c>
      <c r="V1483" s="25">
        <f t="shared" si="266"/>
        <v>153519.59602372447</v>
      </c>
      <c r="W1483" s="26" t="s">
        <v>29</v>
      </c>
    </row>
    <row r="1484" spans="1:23" ht="89.25" x14ac:dyDescent="0.25">
      <c r="A1484" s="17">
        <f t="shared" ca="1" si="265"/>
        <v>1480</v>
      </c>
      <c r="B1484" s="18" t="s">
        <v>2854</v>
      </c>
      <c r="C1484" s="18" t="s">
        <v>2947</v>
      </c>
      <c r="D1484" s="18"/>
      <c r="E1484" s="18"/>
      <c r="F1484" s="18"/>
      <c r="G1484" s="18"/>
      <c r="H1484" s="19" t="s">
        <v>2948</v>
      </c>
      <c r="I1484" s="18" t="s">
        <v>161</v>
      </c>
      <c r="J1484" s="20">
        <v>1</v>
      </c>
      <c r="K1484" s="20">
        <v>1.1499999999999999</v>
      </c>
      <c r="L1484" s="21" t="s">
        <v>28</v>
      </c>
      <c r="M1484" s="22">
        <v>84.692499999999995</v>
      </c>
      <c r="N1484" s="22">
        <v>0</v>
      </c>
      <c r="O1484" s="22">
        <v>1324.54</v>
      </c>
      <c r="P1484" s="22">
        <f t="shared" si="261"/>
        <v>129005.39454249998</v>
      </c>
      <c r="Q1484" s="22">
        <v>0</v>
      </c>
      <c r="R1484" s="22">
        <f t="shared" si="262"/>
        <v>0</v>
      </c>
      <c r="S1484" s="22">
        <f t="shared" si="263"/>
        <v>129005.39454249998</v>
      </c>
      <c r="T1484" s="23">
        <v>0.55859868298040061</v>
      </c>
      <c r="U1484" s="24">
        <v>0.1</v>
      </c>
      <c r="V1484" s="25">
        <f t="shared" si="266"/>
        <v>221174.40183443818</v>
      </c>
      <c r="W1484" s="26" t="s">
        <v>29</v>
      </c>
    </row>
    <row r="1485" spans="1:23" ht="89.25" x14ac:dyDescent="0.25">
      <c r="A1485" s="17">
        <f t="shared" ca="1" si="265"/>
        <v>1481</v>
      </c>
      <c r="B1485" s="18" t="s">
        <v>2854</v>
      </c>
      <c r="C1485" s="18" t="s">
        <v>2949</v>
      </c>
      <c r="D1485" s="18"/>
      <c r="E1485" s="18"/>
      <c r="F1485" s="18"/>
      <c r="G1485" s="18"/>
      <c r="H1485" s="19" t="s">
        <v>2950</v>
      </c>
      <c r="I1485" s="18" t="s">
        <v>2527</v>
      </c>
      <c r="J1485" s="20">
        <v>1</v>
      </c>
      <c r="K1485" s="20">
        <v>1.1499999999999999</v>
      </c>
      <c r="L1485" s="21" t="s">
        <v>28</v>
      </c>
      <c r="M1485" s="22">
        <v>1.1969999999999998</v>
      </c>
      <c r="N1485" s="22">
        <v>0</v>
      </c>
      <c r="O1485" s="22">
        <v>1324.54</v>
      </c>
      <c r="P1485" s="22">
        <f t="shared" si="261"/>
        <v>1823.2955369999995</v>
      </c>
      <c r="Q1485" s="22">
        <v>0</v>
      </c>
      <c r="R1485" s="22">
        <f t="shared" si="262"/>
        <v>0</v>
      </c>
      <c r="S1485" s="22">
        <f t="shared" si="263"/>
        <v>1823.2955369999995</v>
      </c>
      <c r="T1485" s="23">
        <v>0.55859868298040061</v>
      </c>
      <c r="U1485" s="24">
        <v>0.1</v>
      </c>
      <c r="V1485" s="25">
        <f t="shared" si="266"/>
        <v>3125.9646249174657</v>
      </c>
      <c r="W1485" s="26" t="s">
        <v>29</v>
      </c>
    </row>
    <row r="1486" spans="1:23" x14ac:dyDescent="0.25">
      <c r="A1486" s="12">
        <f t="shared" ca="1" si="265"/>
        <v>1482</v>
      </c>
      <c r="B1486" s="32" t="s">
        <v>2854</v>
      </c>
      <c r="C1486" s="32" t="s">
        <v>2951</v>
      </c>
      <c r="D1486" s="32"/>
      <c r="E1486" s="32"/>
      <c r="F1486" s="32"/>
      <c r="G1486" s="32"/>
      <c r="H1486" s="31" t="s">
        <v>2615</v>
      </c>
      <c r="I1486" s="32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27"/>
      <c r="U1486" s="16"/>
      <c r="V1486" s="13"/>
      <c r="W1486" s="13"/>
    </row>
    <row r="1487" spans="1:23" ht="89.25" x14ac:dyDescent="0.25">
      <c r="A1487" s="17">
        <f t="shared" ca="1" si="265"/>
        <v>1483</v>
      </c>
      <c r="B1487" s="18" t="s">
        <v>2854</v>
      </c>
      <c r="C1487" s="18" t="s">
        <v>2952</v>
      </c>
      <c r="D1487" s="18"/>
      <c r="E1487" s="18"/>
      <c r="F1487" s="18"/>
      <c r="G1487" s="18"/>
      <c r="H1487" s="19" t="s">
        <v>2953</v>
      </c>
      <c r="I1487" s="18" t="s">
        <v>2550</v>
      </c>
      <c r="J1487" s="20">
        <v>1</v>
      </c>
      <c r="K1487" s="20">
        <v>1.1499999999999999</v>
      </c>
      <c r="L1487" s="21" t="s">
        <v>28</v>
      </c>
      <c r="M1487" s="22">
        <v>22.704999999999998</v>
      </c>
      <c r="N1487" s="22">
        <v>0</v>
      </c>
      <c r="O1487" s="22">
        <v>1324.54</v>
      </c>
      <c r="P1487" s="22">
        <f t="shared" si="261"/>
        <v>34584.732804999992</v>
      </c>
      <c r="Q1487" s="22">
        <v>0</v>
      </c>
      <c r="R1487" s="22">
        <f t="shared" si="262"/>
        <v>0</v>
      </c>
      <c r="S1487" s="22">
        <f t="shared" si="263"/>
        <v>34584.732804999992</v>
      </c>
      <c r="T1487" s="23">
        <v>0.55859868298040061</v>
      </c>
      <c r="U1487" s="24">
        <v>0.1</v>
      </c>
      <c r="V1487" s="25">
        <f t="shared" ref="V1487:V1494" si="267">S1487+S1487*T1487+(S1487+S1487*T1487)*U1487</f>
        <v>59294.09090121225</v>
      </c>
      <c r="W1487" s="26" t="s">
        <v>29</v>
      </c>
    </row>
    <row r="1488" spans="1:23" ht="89.25" x14ac:dyDescent="0.25">
      <c r="A1488" s="17">
        <f t="shared" ca="1" si="265"/>
        <v>1484</v>
      </c>
      <c r="B1488" s="18" t="s">
        <v>2854</v>
      </c>
      <c r="C1488" s="18" t="s">
        <v>2954</v>
      </c>
      <c r="D1488" s="18"/>
      <c r="E1488" s="18"/>
      <c r="F1488" s="18"/>
      <c r="G1488" s="18"/>
      <c r="H1488" s="19" t="s">
        <v>2955</v>
      </c>
      <c r="I1488" s="18" t="s">
        <v>2550</v>
      </c>
      <c r="J1488" s="20">
        <v>1</v>
      </c>
      <c r="K1488" s="20">
        <v>1.1499999999999999</v>
      </c>
      <c r="L1488" s="21" t="s">
        <v>28</v>
      </c>
      <c r="M1488" s="22">
        <v>23.816499999999998</v>
      </c>
      <c r="N1488" s="22">
        <v>0</v>
      </c>
      <c r="O1488" s="22">
        <v>1324.54</v>
      </c>
      <c r="P1488" s="22">
        <f t="shared" si="261"/>
        <v>36277.792946499998</v>
      </c>
      <c r="Q1488" s="22">
        <v>0</v>
      </c>
      <c r="R1488" s="22">
        <f t="shared" si="262"/>
        <v>0</v>
      </c>
      <c r="S1488" s="22">
        <f t="shared" si="263"/>
        <v>36277.792946499998</v>
      </c>
      <c r="T1488" s="23">
        <v>0.55859868298040061</v>
      </c>
      <c r="U1488" s="24">
        <v>0.1</v>
      </c>
      <c r="V1488" s="25">
        <f t="shared" si="267"/>
        <v>62196.772338635616</v>
      </c>
      <c r="W1488" s="26" t="s">
        <v>29</v>
      </c>
    </row>
    <row r="1489" spans="1:23" ht="89.25" x14ac:dyDescent="0.25">
      <c r="A1489" s="17">
        <f t="shared" ca="1" si="265"/>
        <v>1485</v>
      </c>
      <c r="B1489" s="18" t="s">
        <v>2854</v>
      </c>
      <c r="C1489" s="18" t="s">
        <v>2956</v>
      </c>
      <c r="D1489" s="18"/>
      <c r="E1489" s="18"/>
      <c r="F1489" s="18"/>
      <c r="G1489" s="18"/>
      <c r="H1489" s="19" t="s">
        <v>2957</v>
      </c>
      <c r="I1489" s="18" t="s">
        <v>2550</v>
      </c>
      <c r="J1489" s="20">
        <v>1</v>
      </c>
      <c r="K1489" s="20">
        <v>1.1499999999999999</v>
      </c>
      <c r="L1489" s="21" t="s">
        <v>28</v>
      </c>
      <c r="M1489" s="22">
        <v>57.1995</v>
      </c>
      <c r="N1489" s="22">
        <v>0</v>
      </c>
      <c r="O1489" s="22">
        <v>1324.54</v>
      </c>
      <c r="P1489" s="22">
        <f t="shared" si="261"/>
        <v>87127.479589499984</v>
      </c>
      <c r="Q1489" s="22">
        <v>0</v>
      </c>
      <c r="R1489" s="22">
        <f t="shared" si="262"/>
        <v>0</v>
      </c>
      <c r="S1489" s="22">
        <f t="shared" si="263"/>
        <v>87127.479589499984</v>
      </c>
      <c r="T1489" s="23">
        <v>0.55859868298040061</v>
      </c>
      <c r="U1489" s="24">
        <v>0.1</v>
      </c>
      <c r="V1489" s="25">
        <f t="shared" si="267"/>
        <v>149376.45243355606</v>
      </c>
      <c r="W1489" s="26" t="s">
        <v>29</v>
      </c>
    </row>
    <row r="1490" spans="1:23" ht="89.25" x14ac:dyDescent="0.25">
      <c r="A1490" s="17">
        <f t="shared" ca="1" si="265"/>
        <v>1486</v>
      </c>
      <c r="B1490" s="18" t="s">
        <v>2854</v>
      </c>
      <c r="C1490" s="18" t="s">
        <v>2958</v>
      </c>
      <c r="D1490" s="18"/>
      <c r="E1490" s="18"/>
      <c r="F1490" s="18"/>
      <c r="G1490" s="18"/>
      <c r="H1490" s="19" t="s">
        <v>2959</v>
      </c>
      <c r="I1490" s="18" t="s">
        <v>161</v>
      </c>
      <c r="J1490" s="20">
        <v>1</v>
      </c>
      <c r="K1490" s="20">
        <v>1.1499999999999999</v>
      </c>
      <c r="L1490" s="21" t="s">
        <v>28</v>
      </c>
      <c r="M1490" s="22">
        <v>1.2255</v>
      </c>
      <c r="N1490" s="22">
        <v>0</v>
      </c>
      <c r="O1490" s="22">
        <v>1324.54</v>
      </c>
      <c r="P1490" s="22">
        <f t="shared" si="261"/>
        <v>1866.7073355</v>
      </c>
      <c r="Q1490" s="22">
        <v>0</v>
      </c>
      <c r="R1490" s="22">
        <f t="shared" si="262"/>
        <v>0</v>
      </c>
      <c r="S1490" s="22">
        <f t="shared" si="263"/>
        <v>1866.7073355</v>
      </c>
      <c r="T1490" s="23">
        <v>0.55859868298040061</v>
      </c>
      <c r="U1490" s="24">
        <v>0.1</v>
      </c>
      <c r="V1490" s="25">
        <f t="shared" si="267"/>
        <v>3200.3923540821679</v>
      </c>
      <c r="W1490" s="26" t="s">
        <v>29</v>
      </c>
    </row>
    <row r="1491" spans="1:23" ht="89.25" x14ac:dyDescent="0.25">
      <c r="A1491" s="17">
        <f t="shared" ca="1" si="265"/>
        <v>1487</v>
      </c>
      <c r="B1491" s="18" t="s">
        <v>2854</v>
      </c>
      <c r="C1491" s="18" t="s">
        <v>2960</v>
      </c>
      <c r="D1491" s="18"/>
      <c r="E1491" s="18"/>
      <c r="F1491" s="18"/>
      <c r="G1491" s="18"/>
      <c r="H1491" s="19" t="s">
        <v>2961</v>
      </c>
      <c r="I1491" s="18" t="s">
        <v>161</v>
      </c>
      <c r="J1491" s="20">
        <v>1</v>
      </c>
      <c r="K1491" s="20">
        <v>1.1499999999999999</v>
      </c>
      <c r="L1491" s="21" t="s">
        <v>28</v>
      </c>
      <c r="M1491" s="22">
        <v>7.3149999999999995</v>
      </c>
      <c r="N1491" s="22">
        <v>0</v>
      </c>
      <c r="O1491" s="22">
        <v>1324.54</v>
      </c>
      <c r="P1491" s="22">
        <f t="shared" si="261"/>
        <v>11142.361614999998</v>
      </c>
      <c r="Q1491" s="22">
        <v>0</v>
      </c>
      <c r="R1491" s="22">
        <f t="shared" si="262"/>
        <v>0</v>
      </c>
      <c r="S1491" s="22">
        <f t="shared" si="263"/>
        <v>11142.361614999998</v>
      </c>
      <c r="T1491" s="23">
        <v>0.55859868298040061</v>
      </c>
      <c r="U1491" s="24">
        <v>0.1</v>
      </c>
      <c r="V1491" s="25">
        <f t="shared" si="267"/>
        <v>19103.117152273404</v>
      </c>
      <c r="W1491" s="26" t="s">
        <v>29</v>
      </c>
    </row>
    <row r="1492" spans="1:23" ht="89.25" x14ac:dyDescent="0.25">
      <c r="A1492" s="17">
        <f t="shared" ca="1" si="265"/>
        <v>1488</v>
      </c>
      <c r="B1492" s="18" t="s">
        <v>2854</v>
      </c>
      <c r="C1492" s="18" t="s">
        <v>2962</v>
      </c>
      <c r="D1492" s="18"/>
      <c r="E1492" s="18"/>
      <c r="F1492" s="18"/>
      <c r="G1492" s="18"/>
      <c r="H1492" s="19" t="s">
        <v>2963</v>
      </c>
      <c r="I1492" s="18" t="s">
        <v>161</v>
      </c>
      <c r="J1492" s="20">
        <v>1</v>
      </c>
      <c r="K1492" s="20">
        <v>1.1499999999999999</v>
      </c>
      <c r="L1492" s="21" t="s">
        <v>28</v>
      </c>
      <c r="M1492" s="22">
        <v>3.9614999999999996</v>
      </c>
      <c r="N1492" s="22">
        <v>0</v>
      </c>
      <c r="O1492" s="22">
        <v>1324.54</v>
      </c>
      <c r="P1492" s="22">
        <f t="shared" si="261"/>
        <v>6034.2399914999987</v>
      </c>
      <c r="Q1492" s="22">
        <v>0</v>
      </c>
      <c r="R1492" s="22">
        <f t="shared" si="262"/>
        <v>0</v>
      </c>
      <c r="S1492" s="22">
        <f t="shared" si="263"/>
        <v>6034.2399914999987</v>
      </c>
      <c r="T1492" s="23">
        <v>0.55859868298040061</v>
      </c>
      <c r="U1492" s="24">
        <v>0.1</v>
      </c>
      <c r="V1492" s="25">
        <f t="shared" si="267"/>
        <v>10345.454353893518</v>
      </c>
      <c r="W1492" s="26" t="s">
        <v>29</v>
      </c>
    </row>
    <row r="1493" spans="1:23" ht="89.25" x14ac:dyDescent="0.25">
      <c r="A1493" s="17">
        <f t="shared" ca="1" si="265"/>
        <v>1489</v>
      </c>
      <c r="B1493" s="18" t="s">
        <v>2854</v>
      </c>
      <c r="C1493" s="18" t="s">
        <v>2964</v>
      </c>
      <c r="D1493" s="18"/>
      <c r="E1493" s="18"/>
      <c r="F1493" s="18"/>
      <c r="G1493" s="18"/>
      <c r="H1493" s="19" t="s">
        <v>2965</v>
      </c>
      <c r="I1493" s="18" t="s">
        <v>161</v>
      </c>
      <c r="J1493" s="20">
        <v>1</v>
      </c>
      <c r="K1493" s="20">
        <v>1.1499999999999999</v>
      </c>
      <c r="L1493" s="21" t="s">
        <v>28</v>
      </c>
      <c r="M1493" s="22">
        <v>0.70299999999999996</v>
      </c>
      <c r="N1493" s="22">
        <v>0</v>
      </c>
      <c r="O1493" s="22">
        <v>1324.54</v>
      </c>
      <c r="P1493" s="22">
        <f t="shared" si="261"/>
        <v>1070.8243629999997</v>
      </c>
      <c r="Q1493" s="22">
        <v>0</v>
      </c>
      <c r="R1493" s="22">
        <f t="shared" si="262"/>
        <v>0</v>
      </c>
      <c r="S1493" s="22">
        <f t="shared" si="263"/>
        <v>1070.8243629999997</v>
      </c>
      <c r="T1493" s="23">
        <v>0.55859868298040061</v>
      </c>
      <c r="U1493" s="24">
        <v>0.1</v>
      </c>
      <c r="V1493" s="25">
        <f t="shared" si="267"/>
        <v>1835.8839860626388</v>
      </c>
      <c r="W1493" s="26" t="s">
        <v>29</v>
      </c>
    </row>
    <row r="1494" spans="1:23" ht="89.25" x14ac:dyDescent="0.25">
      <c r="A1494" s="17">
        <f t="shared" ca="1" si="265"/>
        <v>1490</v>
      </c>
      <c r="B1494" s="18" t="s">
        <v>2854</v>
      </c>
      <c r="C1494" s="18" t="s">
        <v>2966</v>
      </c>
      <c r="D1494" s="18"/>
      <c r="E1494" s="18"/>
      <c r="F1494" s="18"/>
      <c r="G1494" s="18"/>
      <c r="H1494" s="19" t="s">
        <v>2967</v>
      </c>
      <c r="I1494" s="18" t="s">
        <v>2550</v>
      </c>
      <c r="J1494" s="20">
        <v>1</v>
      </c>
      <c r="K1494" s="20">
        <v>1.1499999999999999</v>
      </c>
      <c r="L1494" s="21" t="s">
        <v>28</v>
      </c>
      <c r="M1494" s="22">
        <v>72.4375</v>
      </c>
      <c r="N1494" s="22">
        <v>0</v>
      </c>
      <c r="O1494" s="22">
        <v>1324.54</v>
      </c>
      <c r="P1494" s="22">
        <f t="shared" si="261"/>
        <v>110338.32118749998</v>
      </c>
      <c r="Q1494" s="22">
        <v>0</v>
      </c>
      <c r="R1494" s="22">
        <f t="shared" si="262"/>
        <v>0</v>
      </c>
      <c r="S1494" s="22">
        <f t="shared" si="263"/>
        <v>110338.32118749998</v>
      </c>
      <c r="T1494" s="23">
        <v>0.55859868298040061</v>
      </c>
      <c r="U1494" s="24">
        <v>0.1</v>
      </c>
      <c r="V1494" s="25">
        <f t="shared" si="267"/>
        <v>189170.4782936165</v>
      </c>
      <c r="W1494" s="26" t="s">
        <v>29</v>
      </c>
    </row>
    <row r="1495" spans="1:23" x14ac:dyDescent="0.25">
      <c r="A1495" s="12">
        <f t="shared" ca="1" si="265"/>
        <v>1491</v>
      </c>
      <c r="B1495" s="32" t="s">
        <v>2854</v>
      </c>
      <c r="C1495" s="32" t="s">
        <v>2968</v>
      </c>
      <c r="D1495" s="32"/>
      <c r="E1495" s="32"/>
      <c r="F1495" s="32"/>
      <c r="G1495" s="32"/>
      <c r="H1495" s="31" t="s">
        <v>2633</v>
      </c>
      <c r="I1495" s="32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27"/>
      <c r="U1495" s="16"/>
      <c r="V1495" s="13"/>
      <c r="W1495" s="13"/>
    </row>
    <row r="1496" spans="1:23" ht="89.25" x14ac:dyDescent="0.25">
      <c r="A1496" s="17">
        <f t="shared" ca="1" si="265"/>
        <v>1492</v>
      </c>
      <c r="B1496" s="18" t="s">
        <v>2854</v>
      </c>
      <c r="C1496" s="18" t="s">
        <v>2969</v>
      </c>
      <c r="D1496" s="18"/>
      <c r="E1496" s="18"/>
      <c r="F1496" s="18"/>
      <c r="G1496" s="18"/>
      <c r="H1496" s="19" t="s">
        <v>2970</v>
      </c>
      <c r="I1496" s="18" t="s">
        <v>161</v>
      </c>
      <c r="J1496" s="20">
        <v>1</v>
      </c>
      <c r="K1496" s="20">
        <v>1.1499999999999999</v>
      </c>
      <c r="L1496" s="21" t="s">
        <v>28</v>
      </c>
      <c r="M1496" s="22">
        <v>3.0494999999999997</v>
      </c>
      <c r="N1496" s="22">
        <v>0</v>
      </c>
      <c r="O1496" s="22">
        <v>1324.54</v>
      </c>
      <c r="P1496" s="22">
        <f t="shared" si="261"/>
        <v>4645.0624394999986</v>
      </c>
      <c r="Q1496" s="22">
        <v>0</v>
      </c>
      <c r="R1496" s="22">
        <f t="shared" si="262"/>
        <v>0</v>
      </c>
      <c r="S1496" s="22">
        <f t="shared" si="263"/>
        <v>4645.0624394999986</v>
      </c>
      <c r="T1496" s="23">
        <v>0.55859868298040061</v>
      </c>
      <c r="U1496" s="24">
        <v>0.1</v>
      </c>
      <c r="V1496" s="25">
        <f t="shared" ref="V1496:V1498" si="268">S1496+S1496*T1496+(S1496+S1496*T1496)*U1496</f>
        <v>7963.7670206230678</v>
      </c>
      <c r="W1496" s="26" t="s">
        <v>29</v>
      </c>
    </row>
    <row r="1497" spans="1:23" ht="89.25" x14ac:dyDescent="0.25">
      <c r="A1497" s="17">
        <f t="shared" ca="1" si="265"/>
        <v>1493</v>
      </c>
      <c r="B1497" s="18" t="s">
        <v>2854</v>
      </c>
      <c r="C1497" s="18" t="s">
        <v>2971</v>
      </c>
      <c r="D1497" s="18"/>
      <c r="E1497" s="18"/>
      <c r="F1497" s="18"/>
      <c r="G1497" s="18"/>
      <c r="H1497" s="19" t="s">
        <v>2972</v>
      </c>
      <c r="I1497" s="18" t="s">
        <v>161</v>
      </c>
      <c r="J1497" s="20">
        <v>1</v>
      </c>
      <c r="K1497" s="20">
        <v>1.1499999999999999</v>
      </c>
      <c r="L1497" s="21" t="s">
        <v>28</v>
      </c>
      <c r="M1497" s="22">
        <v>2.698</v>
      </c>
      <c r="N1497" s="22">
        <v>0</v>
      </c>
      <c r="O1497" s="22">
        <v>1324.54</v>
      </c>
      <c r="P1497" s="22">
        <f t="shared" si="261"/>
        <v>4109.6502579999997</v>
      </c>
      <c r="Q1497" s="22">
        <v>0</v>
      </c>
      <c r="R1497" s="22">
        <f t="shared" si="262"/>
        <v>0</v>
      </c>
      <c r="S1497" s="22">
        <f t="shared" si="263"/>
        <v>4109.6502579999997</v>
      </c>
      <c r="T1497" s="23">
        <v>0.55859868298040061</v>
      </c>
      <c r="U1497" s="24">
        <v>0.1</v>
      </c>
      <c r="V1497" s="25">
        <f t="shared" si="268"/>
        <v>7045.8250275917499</v>
      </c>
      <c r="W1497" s="26" t="s">
        <v>29</v>
      </c>
    </row>
    <row r="1498" spans="1:23" ht="89.25" x14ac:dyDescent="0.25">
      <c r="A1498" s="17">
        <f t="shared" ca="1" si="265"/>
        <v>1494</v>
      </c>
      <c r="B1498" s="18" t="s">
        <v>2854</v>
      </c>
      <c r="C1498" s="18" t="s">
        <v>2973</v>
      </c>
      <c r="D1498" s="18"/>
      <c r="E1498" s="18"/>
      <c r="F1498" s="18"/>
      <c r="G1498" s="18"/>
      <c r="H1498" s="19" t="s">
        <v>2974</v>
      </c>
      <c r="I1498" s="18" t="s">
        <v>161</v>
      </c>
      <c r="J1498" s="20">
        <v>1</v>
      </c>
      <c r="K1498" s="20">
        <v>1.1499999999999999</v>
      </c>
      <c r="L1498" s="21" t="s">
        <v>28</v>
      </c>
      <c r="M1498" s="22">
        <v>36.232999999999997</v>
      </c>
      <c r="N1498" s="22">
        <v>0</v>
      </c>
      <c r="O1498" s="22">
        <v>1324.54</v>
      </c>
      <c r="P1498" s="22">
        <f t="shared" si="261"/>
        <v>55190.866492999987</v>
      </c>
      <c r="Q1498" s="22">
        <v>0</v>
      </c>
      <c r="R1498" s="22">
        <f t="shared" si="262"/>
        <v>0</v>
      </c>
      <c r="S1498" s="22">
        <f t="shared" si="263"/>
        <v>55190.866492999987</v>
      </c>
      <c r="T1498" s="23">
        <v>0.55859868298040061</v>
      </c>
      <c r="U1498" s="24">
        <v>0.1</v>
      </c>
      <c r="V1498" s="25">
        <f t="shared" si="268"/>
        <v>94622.453011390593</v>
      </c>
      <c r="W1498" s="26" t="s">
        <v>29</v>
      </c>
    </row>
    <row r="1499" spans="1:23" x14ac:dyDescent="0.25">
      <c r="A1499" s="28">
        <f t="shared" ca="1" si="265"/>
        <v>1495</v>
      </c>
      <c r="B1499" s="9" t="s">
        <v>2854</v>
      </c>
      <c r="C1499" s="9" t="s">
        <v>2975</v>
      </c>
      <c r="D1499" s="9"/>
      <c r="E1499" s="9"/>
      <c r="F1499" s="9"/>
      <c r="G1499" s="9"/>
      <c r="H1499" s="10" t="s">
        <v>2976</v>
      </c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29"/>
      <c r="U1499" s="11"/>
      <c r="V1499" s="9"/>
      <c r="W1499" s="9"/>
    </row>
    <row r="1500" spans="1:23" x14ac:dyDescent="0.25">
      <c r="A1500" s="12">
        <f t="shared" ca="1" si="265"/>
        <v>1496</v>
      </c>
      <c r="B1500" s="32" t="s">
        <v>2854</v>
      </c>
      <c r="C1500" s="32" t="s">
        <v>2977</v>
      </c>
      <c r="D1500" s="32"/>
      <c r="E1500" s="32"/>
      <c r="F1500" s="32"/>
      <c r="G1500" s="32"/>
      <c r="H1500" s="31" t="s">
        <v>2978</v>
      </c>
      <c r="I1500" s="32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27"/>
      <c r="U1500" s="16"/>
      <c r="V1500" s="13"/>
      <c r="W1500" s="13"/>
    </row>
    <row r="1501" spans="1:23" ht="89.25" x14ac:dyDescent="0.25">
      <c r="A1501" s="17">
        <f t="shared" ca="1" si="265"/>
        <v>1497</v>
      </c>
      <c r="B1501" s="18" t="s">
        <v>2854</v>
      </c>
      <c r="C1501" s="18" t="s">
        <v>2979</v>
      </c>
      <c r="D1501" s="18"/>
      <c r="E1501" s="18"/>
      <c r="F1501" s="18"/>
      <c r="G1501" s="18"/>
      <c r="H1501" s="19" t="s">
        <v>2978</v>
      </c>
      <c r="I1501" s="18" t="s">
        <v>2679</v>
      </c>
      <c r="J1501" s="20">
        <v>1</v>
      </c>
      <c r="K1501" s="20">
        <v>1.1499999999999999</v>
      </c>
      <c r="L1501" s="21" t="s">
        <v>28</v>
      </c>
      <c r="M1501" s="22">
        <v>2.375</v>
      </c>
      <c r="N1501" s="22">
        <v>0</v>
      </c>
      <c r="O1501" s="22">
        <v>1324.54</v>
      </c>
      <c r="P1501" s="22">
        <f t="shared" si="261"/>
        <v>3617.6498749999996</v>
      </c>
      <c r="Q1501" s="22">
        <v>0</v>
      </c>
      <c r="R1501" s="22">
        <f t="shared" si="262"/>
        <v>0</v>
      </c>
      <c r="S1501" s="22">
        <f t="shared" si="263"/>
        <v>3617.6498749999996</v>
      </c>
      <c r="T1501" s="23">
        <v>0.55859868298040061</v>
      </c>
      <c r="U1501" s="24">
        <v>0.1</v>
      </c>
      <c r="V1501" s="25">
        <f t="shared" ref="V1501:V1504" si="269">S1501+S1501*T1501+(S1501+S1501*T1501)*U1501</f>
        <v>6202.3107637251305</v>
      </c>
      <c r="W1501" s="26" t="s">
        <v>29</v>
      </c>
    </row>
    <row r="1502" spans="1:23" ht="89.25" x14ac:dyDescent="0.25">
      <c r="A1502" s="17">
        <f t="shared" ca="1" si="265"/>
        <v>1498</v>
      </c>
      <c r="B1502" s="18" t="s">
        <v>2854</v>
      </c>
      <c r="C1502" s="18" t="s">
        <v>2980</v>
      </c>
      <c r="D1502" s="18"/>
      <c r="E1502" s="18"/>
      <c r="F1502" s="18"/>
      <c r="G1502" s="18"/>
      <c r="H1502" s="19" t="s">
        <v>2981</v>
      </c>
      <c r="I1502" s="18" t="s">
        <v>2679</v>
      </c>
      <c r="J1502" s="20">
        <v>1</v>
      </c>
      <c r="K1502" s="20">
        <v>1.1499999999999999</v>
      </c>
      <c r="L1502" s="21" t="s">
        <v>28</v>
      </c>
      <c r="M1502" s="22">
        <v>1.1875</v>
      </c>
      <c r="N1502" s="22">
        <v>0</v>
      </c>
      <c r="O1502" s="22">
        <v>1324.54</v>
      </c>
      <c r="P1502" s="22">
        <f t="shared" si="261"/>
        <v>1808.8249374999998</v>
      </c>
      <c r="Q1502" s="22">
        <v>0</v>
      </c>
      <c r="R1502" s="22">
        <f t="shared" si="262"/>
        <v>0</v>
      </c>
      <c r="S1502" s="22">
        <f t="shared" si="263"/>
        <v>1808.8249374999998</v>
      </c>
      <c r="T1502" s="23">
        <v>0.55859868298040061</v>
      </c>
      <c r="U1502" s="24">
        <v>0.1</v>
      </c>
      <c r="V1502" s="25">
        <f t="shared" si="269"/>
        <v>3101.1553818625653</v>
      </c>
      <c r="W1502" s="26" t="s">
        <v>29</v>
      </c>
    </row>
    <row r="1503" spans="1:23" ht="89.25" x14ac:dyDescent="0.25">
      <c r="A1503" s="17">
        <f t="shared" ca="1" si="265"/>
        <v>1499</v>
      </c>
      <c r="B1503" s="18" t="s">
        <v>2854</v>
      </c>
      <c r="C1503" s="18" t="s">
        <v>2982</v>
      </c>
      <c r="D1503" s="18"/>
      <c r="E1503" s="18"/>
      <c r="F1503" s="18"/>
      <c r="G1503" s="18"/>
      <c r="H1503" s="19" t="s">
        <v>2983</v>
      </c>
      <c r="I1503" s="18" t="s">
        <v>2679</v>
      </c>
      <c r="J1503" s="20">
        <v>1</v>
      </c>
      <c r="K1503" s="20">
        <v>1.1499999999999999</v>
      </c>
      <c r="L1503" s="21" t="s">
        <v>28</v>
      </c>
      <c r="M1503" s="22">
        <v>0.59849999999999992</v>
      </c>
      <c r="N1503" s="22">
        <v>0</v>
      </c>
      <c r="O1503" s="22">
        <v>1324.54</v>
      </c>
      <c r="P1503" s="22">
        <f t="shared" si="261"/>
        <v>911.64776849999976</v>
      </c>
      <c r="Q1503" s="22">
        <v>0</v>
      </c>
      <c r="R1503" s="22">
        <f t="shared" si="262"/>
        <v>0</v>
      </c>
      <c r="S1503" s="22">
        <f t="shared" si="263"/>
        <v>911.64776849999976</v>
      </c>
      <c r="T1503" s="23">
        <v>0.55859868298040061</v>
      </c>
      <c r="U1503" s="24">
        <v>0.1</v>
      </c>
      <c r="V1503" s="25">
        <f t="shared" si="269"/>
        <v>1562.9823124587328</v>
      </c>
      <c r="W1503" s="26" t="s">
        <v>29</v>
      </c>
    </row>
    <row r="1504" spans="1:23" ht="89.25" x14ac:dyDescent="0.25">
      <c r="A1504" s="17">
        <f t="shared" ca="1" si="265"/>
        <v>1500</v>
      </c>
      <c r="B1504" s="18" t="s">
        <v>2854</v>
      </c>
      <c r="C1504" s="18" t="s">
        <v>2984</v>
      </c>
      <c r="D1504" s="18"/>
      <c r="E1504" s="18"/>
      <c r="F1504" s="18"/>
      <c r="G1504" s="18"/>
      <c r="H1504" s="19" t="s">
        <v>2985</v>
      </c>
      <c r="I1504" s="18" t="s">
        <v>2679</v>
      </c>
      <c r="J1504" s="20">
        <v>1</v>
      </c>
      <c r="K1504" s="20">
        <v>1.1499999999999999</v>
      </c>
      <c r="L1504" s="21" t="s">
        <v>28</v>
      </c>
      <c r="M1504" s="22">
        <v>0.59849999999999992</v>
      </c>
      <c r="N1504" s="22">
        <v>0</v>
      </c>
      <c r="O1504" s="22">
        <v>1324.54</v>
      </c>
      <c r="P1504" s="22">
        <f t="shared" si="261"/>
        <v>911.64776849999976</v>
      </c>
      <c r="Q1504" s="22">
        <v>0</v>
      </c>
      <c r="R1504" s="22">
        <f t="shared" si="262"/>
        <v>0</v>
      </c>
      <c r="S1504" s="22">
        <f t="shared" si="263"/>
        <v>911.64776849999976</v>
      </c>
      <c r="T1504" s="23">
        <v>0.55859868298040061</v>
      </c>
      <c r="U1504" s="24">
        <v>0.1</v>
      </c>
      <c r="V1504" s="25">
        <f t="shared" si="269"/>
        <v>1562.9823124587328</v>
      </c>
      <c r="W1504" s="26" t="s">
        <v>29</v>
      </c>
    </row>
    <row r="1505" spans="1:23" x14ac:dyDescent="0.25">
      <c r="A1505" s="12">
        <f t="shared" ca="1" si="265"/>
        <v>1501</v>
      </c>
      <c r="B1505" s="32" t="s">
        <v>2854</v>
      </c>
      <c r="C1505" s="32" t="s">
        <v>2986</v>
      </c>
      <c r="D1505" s="32"/>
      <c r="E1505" s="32"/>
      <c r="F1505" s="32"/>
      <c r="G1505" s="32"/>
      <c r="H1505" s="31" t="s">
        <v>2987</v>
      </c>
      <c r="I1505" s="32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27"/>
      <c r="U1505" s="16"/>
      <c r="V1505" s="13"/>
      <c r="W1505" s="13"/>
    </row>
    <row r="1506" spans="1:23" ht="89.25" x14ac:dyDescent="0.25">
      <c r="A1506" s="17">
        <f t="shared" ca="1" si="265"/>
        <v>1502</v>
      </c>
      <c r="B1506" s="18" t="s">
        <v>2854</v>
      </c>
      <c r="C1506" s="18" t="s">
        <v>2988</v>
      </c>
      <c r="D1506" s="18"/>
      <c r="E1506" s="18"/>
      <c r="F1506" s="18"/>
      <c r="G1506" s="18"/>
      <c r="H1506" s="19" t="s">
        <v>2987</v>
      </c>
      <c r="I1506" s="18" t="s">
        <v>2679</v>
      </c>
      <c r="J1506" s="20">
        <v>1</v>
      </c>
      <c r="K1506" s="20">
        <v>1.1499999999999999</v>
      </c>
      <c r="L1506" s="21" t="s">
        <v>28</v>
      </c>
      <c r="M1506" s="22">
        <v>1.1875</v>
      </c>
      <c r="N1506" s="22">
        <v>0</v>
      </c>
      <c r="O1506" s="22">
        <v>1324.54</v>
      </c>
      <c r="P1506" s="22">
        <f t="shared" si="261"/>
        <v>1808.8249374999998</v>
      </c>
      <c r="Q1506" s="22">
        <v>0</v>
      </c>
      <c r="R1506" s="22">
        <f t="shared" si="262"/>
        <v>0</v>
      </c>
      <c r="S1506" s="22">
        <f t="shared" si="263"/>
        <v>1808.8249374999998</v>
      </c>
      <c r="T1506" s="23">
        <v>0.55859868298040061</v>
      </c>
      <c r="U1506" s="24">
        <v>0.1</v>
      </c>
      <c r="V1506" s="25">
        <f t="shared" ref="V1506:V1509" si="270">S1506+S1506*T1506+(S1506+S1506*T1506)*U1506</f>
        <v>3101.1553818625653</v>
      </c>
      <c r="W1506" s="26" t="s">
        <v>29</v>
      </c>
    </row>
    <row r="1507" spans="1:23" ht="89.25" x14ac:dyDescent="0.25">
      <c r="A1507" s="17">
        <f t="shared" ca="1" si="265"/>
        <v>1503</v>
      </c>
      <c r="B1507" s="18" t="s">
        <v>2854</v>
      </c>
      <c r="C1507" s="18" t="s">
        <v>2989</v>
      </c>
      <c r="D1507" s="18"/>
      <c r="E1507" s="18"/>
      <c r="F1507" s="18"/>
      <c r="G1507" s="18"/>
      <c r="H1507" s="19" t="s">
        <v>2990</v>
      </c>
      <c r="I1507" s="18" t="s">
        <v>2679</v>
      </c>
      <c r="J1507" s="20">
        <v>1</v>
      </c>
      <c r="K1507" s="20">
        <v>1.1499999999999999</v>
      </c>
      <c r="L1507" s="21" t="s">
        <v>28</v>
      </c>
      <c r="M1507" s="22">
        <v>0.29449999999999998</v>
      </c>
      <c r="N1507" s="22">
        <v>0</v>
      </c>
      <c r="O1507" s="22">
        <v>1324.54</v>
      </c>
      <c r="P1507" s="22">
        <f t="shared" si="261"/>
        <v>448.58858449999997</v>
      </c>
      <c r="Q1507" s="22">
        <v>0</v>
      </c>
      <c r="R1507" s="22">
        <f t="shared" si="262"/>
        <v>0</v>
      </c>
      <c r="S1507" s="22">
        <f t="shared" si="263"/>
        <v>448.58858449999997</v>
      </c>
      <c r="T1507" s="23">
        <v>0.55859868298040061</v>
      </c>
      <c r="U1507" s="24">
        <v>0.1</v>
      </c>
      <c r="V1507" s="25">
        <f t="shared" si="270"/>
        <v>769.08653470191632</v>
      </c>
      <c r="W1507" s="26" t="s">
        <v>29</v>
      </c>
    </row>
    <row r="1508" spans="1:23" ht="89.25" x14ac:dyDescent="0.25">
      <c r="A1508" s="17">
        <f t="shared" ca="1" si="265"/>
        <v>1504</v>
      </c>
      <c r="B1508" s="18" t="s">
        <v>2854</v>
      </c>
      <c r="C1508" s="18" t="s">
        <v>2991</v>
      </c>
      <c r="D1508" s="18"/>
      <c r="E1508" s="18"/>
      <c r="F1508" s="18"/>
      <c r="G1508" s="18"/>
      <c r="H1508" s="19" t="s">
        <v>2992</v>
      </c>
      <c r="I1508" s="18" t="s">
        <v>2679</v>
      </c>
      <c r="J1508" s="20">
        <v>1</v>
      </c>
      <c r="K1508" s="20">
        <v>1.1499999999999999</v>
      </c>
      <c r="L1508" s="21" t="s">
        <v>28</v>
      </c>
      <c r="M1508" s="22">
        <v>0.29449999999999998</v>
      </c>
      <c r="N1508" s="22">
        <v>0</v>
      </c>
      <c r="O1508" s="22">
        <v>1324.54</v>
      </c>
      <c r="P1508" s="22">
        <f t="shared" si="261"/>
        <v>448.58858449999997</v>
      </c>
      <c r="Q1508" s="22">
        <v>0</v>
      </c>
      <c r="R1508" s="22">
        <f t="shared" si="262"/>
        <v>0</v>
      </c>
      <c r="S1508" s="22">
        <f t="shared" si="263"/>
        <v>448.58858449999997</v>
      </c>
      <c r="T1508" s="23">
        <v>0.55859868298040061</v>
      </c>
      <c r="U1508" s="24">
        <v>0.1</v>
      </c>
      <c r="V1508" s="25">
        <f t="shared" si="270"/>
        <v>769.08653470191632</v>
      </c>
      <c r="W1508" s="26" t="s">
        <v>29</v>
      </c>
    </row>
    <row r="1509" spans="1:23" ht="89.25" x14ac:dyDescent="0.25">
      <c r="A1509" s="17">
        <f t="shared" ca="1" si="265"/>
        <v>1505</v>
      </c>
      <c r="B1509" s="18" t="s">
        <v>2854</v>
      </c>
      <c r="C1509" s="18" t="s">
        <v>2993</v>
      </c>
      <c r="D1509" s="18"/>
      <c r="E1509" s="18"/>
      <c r="F1509" s="18"/>
      <c r="G1509" s="18"/>
      <c r="H1509" s="19" t="s">
        <v>2994</v>
      </c>
      <c r="I1509" s="18" t="s">
        <v>2679</v>
      </c>
      <c r="J1509" s="20">
        <v>1</v>
      </c>
      <c r="K1509" s="20">
        <v>1.1499999999999999</v>
      </c>
      <c r="L1509" s="21" t="s">
        <v>28</v>
      </c>
      <c r="M1509" s="22">
        <v>0.59849999999999992</v>
      </c>
      <c r="N1509" s="22">
        <v>0</v>
      </c>
      <c r="O1509" s="22">
        <v>1324.54</v>
      </c>
      <c r="P1509" s="22">
        <f t="shared" si="261"/>
        <v>911.64776849999976</v>
      </c>
      <c r="Q1509" s="22">
        <v>0</v>
      </c>
      <c r="R1509" s="22">
        <f t="shared" si="262"/>
        <v>0</v>
      </c>
      <c r="S1509" s="22">
        <f t="shared" si="263"/>
        <v>911.64776849999976</v>
      </c>
      <c r="T1509" s="23">
        <v>0.55859868298040061</v>
      </c>
      <c r="U1509" s="24">
        <v>0.1</v>
      </c>
      <c r="V1509" s="25">
        <f t="shared" si="270"/>
        <v>1562.9823124587328</v>
      </c>
      <c r="W1509" s="26" t="s">
        <v>29</v>
      </c>
    </row>
    <row r="1510" spans="1:23" x14ac:dyDescent="0.25">
      <c r="A1510" s="12">
        <f t="shared" ca="1" si="265"/>
        <v>1506</v>
      </c>
      <c r="B1510" s="32" t="s">
        <v>2854</v>
      </c>
      <c r="C1510" s="32" t="s">
        <v>2995</v>
      </c>
      <c r="D1510" s="32"/>
      <c r="E1510" s="32"/>
      <c r="F1510" s="32"/>
      <c r="G1510" s="32"/>
      <c r="H1510" s="31" t="s">
        <v>2996</v>
      </c>
      <c r="I1510" s="32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27"/>
      <c r="U1510" s="16"/>
      <c r="V1510" s="13"/>
      <c r="W1510" s="13"/>
    </row>
    <row r="1511" spans="1:23" ht="89.25" x14ac:dyDescent="0.25">
      <c r="A1511" s="17">
        <f t="shared" ca="1" si="265"/>
        <v>1507</v>
      </c>
      <c r="B1511" s="18" t="s">
        <v>2854</v>
      </c>
      <c r="C1511" s="18" t="s">
        <v>2997</v>
      </c>
      <c r="D1511" s="18"/>
      <c r="E1511" s="18"/>
      <c r="F1511" s="18"/>
      <c r="G1511" s="18"/>
      <c r="H1511" s="19" t="s">
        <v>2996</v>
      </c>
      <c r="I1511" s="18" t="s">
        <v>2679</v>
      </c>
      <c r="J1511" s="20">
        <v>1</v>
      </c>
      <c r="K1511" s="20">
        <v>1.1499999999999999</v>
      </c>
      <c r="L1511" s="21" t="s">
        <v>28</v>
      </c>
      <c r="M1511" s="22">
        <v>0.95</v>
      </c>
      <c r="N1511" s="22">
        <v>0</v>
      </c>
      <c r="O1511" s="22">
        <v>1324.54</v>
      </c>
      <c r="P1511" s="22">
        <f t="shared" si="261"/>
        <v>1447.0599499999998</v>
      </c>
      <c r="Q1511" s="22">
        <v>0</v>
      </c>
      <c r="R1511" s="22">
        <f t="shared" si="262"/>
        <v>0</v>
      </c>
      <c r="S1511" s="22">
        <f t="shared" si="263"/>
        <v>1447.0599499999998</v>
      </c>
      <c r="T1511" s="23">
        <v>0.55859868298040061</v>
      </c>
      <c r="U1511" s="24">
        <v>0.1</v>
      </c>
      <c r="V1511" s="25">
        <f t="shared" ref="V1511" si="271">S1511+S1511*T1511+(S1511+S1511*T1511)*U1511</f>
        <v>2480.9243054900526</v>
      </c>
      <c r="W1511" s="26" t="s">
        <v>29</v>
      </c>
    </row>
    <row r="1512" spans="1:23" x14ac:dyDescent="0.25">
      <c r="A1512" s="28">
        <f t="shared" ca="1" si="265"/>
        <v>1508</v>
      </c>
      <c r="B1512" s="9" t="s">
        <v>2854</v>
      </c>
      <c r="C1512" s="9" t="s">
        <v>2998</v>
      </c>
      <c r="D1512" s="9"/>
      <c r="E1512" s="9"/>
      <c r="F1512" s="9"/>
      <c r="G1512" s="9"/>
      <c r="H1512" s="10" t="s">
        <v>2999</v>
      </c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29"/>
      <c r="U1512" s="11"/>
      <c r="V1512" s="9"/>
      <c r="W1512" s="9"/>
    </row>
    <row r="1513" spans="1:23" x14ac:dyDescent="0.25">
      <c r="A1513" s="12">
        <f t="shared" ca="1" si="265"/>
        <v>1509</v>
      </c>
      <c r="B1513" s="32" t="s">
        <v>2854</v>
      </c>
      <c r="C1513" s="32" t="s">
        <v>3000</v>
      </c>
      <c r="D1513" s="32"/>
      <c r="E1513" s="32"/>
      <c r="F1513" s="32"/>
      <c r="G1513" s="32"/>
      <c r="H1513" s="31" t="s">
        <v>3001</v>
      </c>
      <c r="I1513" s="32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27"/>
      <c r="U1513" s="16"/>
      <c r="V1513" s="13"/>
      <c r="W1513" s="13"/>
    </row>
    <row r="1514" spans="1:23" ht="89.25" x14ac:dyDescent="0.25">
      <c r="A1514" s="17">
        <f t="shared" ca="1" si="265"/>
        <v>1510</v>
      </c>
      <c r="B1514" s="18" t="s">
        <v>2854</v>
      </c>
      <c r="C1514" s="18" t="s">
        <v>3002</v>
      </c>
      <c r="D1514" s="18"/>
      <c r="E1514" s="18"/>
      <c r="F1514" s="18"/>
      <c r="G1514" s="18"/>
      <c r="H1514" s="19" t="s">
        <v>3001</v>
      </c>
      <c r="I1514" s="18" t="s">
        <v>3003</v>
      </c>
      <c r="J1514" s="20">
        <v>1</v>
      </c>
      <c r="K1514" s="20">
        <v>1.1499999999999999</v>
      </c>
      <c r="L1514" s="21" t="s">
        <v>28</v>
      </c>
      <c r="M1514" s="22">
        <v>95</v>
      </c>
      <c r="N1514" s="22">
        <v>0</v>
      </c>
      <c r="O1514" s="22">
        <v>1324.54</v>
      </c>
      <c r="P1514" s="22">
        <f t="shared" si="261"/>
        <v>144705.995</v>
      </c>
      <c r="Q1514" s="22">
        <v>0</v>
      </c>
      <c r="R1514" s="22">
        <f t="shared" si="262"/>
        <v>0</v>
      </c>
      <c r="S1514" s="22">
        <f t="shared" si="263"/>
        <v>144705.995</v>
      </c>
      <c r="T1514" s="23">
        <v>0.55859868298040061</v>
      </c>
      <c r="U1514" s="24">
        <v>0.1</v>
      </c>
      <c r="V1514" s="25">
        <f t="shared" ref="V1514:V1515" si="272">S1514+S1514*T1514+(S1514+S1514*T1514)*U1514</f>
        <v>248092.43054900528</v>
      </c>
      <c r="W1514" s="26" t="s">
        <v>29</v>
      </c>
    </row>
    <row r="1515" spans="1:23" ht="89.25" x14ac:dyDescent="0.25">
      <c r="A1515" s="17">
        <f t="shared" ca="1" si="265"/>
        <v>1511</v>
      </c>
      <c r="B1515" s="18" t="s">
        <v>2854</v>
      </c>
      <c r="C1515" s="18" t="s">
        <v>3004</v>
      </c>
      <c r="D1515" s="18"/>
      <c r="E1515" s="18"/>
      <c r="F1515" s="18"/>
      <c r="G1515" s="18"/>
      <c r="H1515" s="19" t="s">
        <v>3005</v>
      </c>
      <c r="I1515" s="18" t="s">
        <v>3003</v>
      </c>
      <c r="J1515" s="20">
        <v>1</v>
      </c>
      <c r="K1515" s="20">
        <v>1.1499999999999999</v>
      </c>
      <c r="L1515" s="21" t="s">
        <v>28</v>
      </c>
      <c r="M1515" s="22">
        <v>1.9</v>
      </c>
      <c r="N1515" s="22">
        <v>0</v>
      </c>
      <c r="O1515" s="22">
        <v>1324.54</v>
      </c>
      <c r="P1515" s="22">
        <f t="shared" si="261"/>
        <v>2894.1198999999997</v>
      </c>
      <c r="Q1515" s="22">
        <v>0</v>
      </c>
      <c r="R1515" s="22">
        <f t="shared" si="262"/>
        <v>0</v>
      </c>
      <c r="S1515" s="22">
        <f t="shared" si="263"/>
        <v>2894.1198999999997</v>
      </c>
      <c r="T1515" s="23">
        <v>0.55859868298040061</v>
      </c>
      <c r="U1515" s="24">
        <v>0.1</v>
      </c>
      <c r="V1515" s="25">
        <f t="shared" si="272"/>
        <v>4961.8486109801051</v>
      </c>
      <c r="W1515" s="26" t="s">
        <v>29</v>
      </c>
    </row>
    <row r="1516" spans="1:23" x14ac:dyDescent="0.25">
      <c r="A1516" s="12">
        <f t="shared" ca="1" si="265"/>
        <v>1512</v>
      </c>
      <c r="B1516" s="32" t="s">
        <v>2854</v>
      </c>
      <c r="C1516" s="32" t="s">
        <v>3006</v>
      </c>
      <c r="D1516" s="32"/>
      <c r="E1516" s="32"/>
      <c r="F1516" s="32"/>
      <c r="G1516" s="32"/>
      <c r="H1516" s="31" t="s">
        <v>3007</v>
      </c>
      <c r="I1516" s="32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27"/>
      <c r="U1516" s="16"/>
      <c r="V1516" s="13"/>
      <c r="W1516" s="13"/>
    </row>
    <row r="1517" spans="1:23" ht="89.25" x14ac:dyDescent="0.25">
      <c r="A1517" s="17">
        <f t="shared" ca="1" si="265"/>
        <v>1513</v>
      </c>
      <c r="B1517" s="18" t="s">
        <v>2854</v>
      </c>
      <c r="C1517" s="18" t="s">
        <v>3008</v>
      </c>
      <c r="D1517" s="18"/>
      <c r="E1517" s="18"/>
      <c r="F1517" s="18"/>
      <c r="G1517" s="18"/>
      <c r="H1517" s="19" t="s">
        <v>3009</v>
      </c>
      <c r="I1517" s="18" t="s">
        <v>3003</v>
      </c>
      <c r="J1517" s="20">
        <v>1</v>
      </c>
      <c r="K1517" s="20">
        <v>1.1499999999999999</v>
      </c>
      <c r="L1517" s="21" t="s">
        <v>28</v>
      </c>
      <c r="M1517" s="22">
        <v>19</v>
      </c>
      <c r="N1517" s="22">
        <v>0</v>
      </c>
      <c r="O1517" s="22">
        <v>1324.54</v>
      </c>
      <c r="P1517" s="22">
        <f t="shared" si="261"/>
        <v>28941.198999999997</v>
      </c>
      <c r="Q1517" s="22">
        <v>0</v>
      </c>
      <c r="R1517" s="22">
        <f t="shared" si="262"/>
        <v>0</v>
      </c>
      <c r="S1517" s="22">
        <f t="shared" si="263"/>
        <v>28941.198999999997</v>
      </c>
      <c r="T1517" s="23">
        <v>0.55859868298040061</v>
      </c>
      <c r="U1517" s="24">
        <v>0.1</v>
      </c>
      <c r="V1517" s="25">
        <f t="shared" ref="V1517" si="273">S1517+S1517*T1517+(S1517+S1517*T1517)*U1517</f>
        <v>49618.486109801044</v>
      </c>
      <c r="W1517" s="26" t="s">
        <v>29</v>
      </c>
    </row>
    <row r="1518" spans="1:23" x14ac:dyDescent="0.25">
      <c r="A1518" s="28">
        <f t="shared" ca="1" si="265"/>
        <v>1514</v>
      </c>
      <c r="B1518" s="9" t="s">
        <v>2854</v>
      </c>
      <c r="C1518" s="9" t="s">
        <v>3010</v>
      </c>
      <c r="D1518" s="9"/>
      <c r="E1518" s="9"/>
      <c r="F1518" s="9"/>
      <c r="G1518" s="9"/>
      <c r="H1518" s="10" t="s">
        <v>3011</v>
      </c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29"/>
      <c r="U1518" s="11"/>
      <c r="V1518" s="9"/>
      <c r="W1518" s="9"/>
    </row>
    <row r="1519" spans="1:23" x14ac:dyDescent="0.25">
      <c r="A1519" s="12">
        <f t="shared" ca="1" si="265"/>
        <v>1515</v>
      </c>
      <c r="B1519" s="32" t="s">
        <v>2854</v>
      </c>
      <c r="C1519" s="32" t="s">
        <v>3012</v>
      </c>
      <c r="D1519" s="32"/>
      <c r="E1519" s="32"/>
      <c r="F1519" s="32"/>
      <c r="G1519" s="32"/>
      <c r="H1519" s="31" t="s">
        <v>3013</v>
      </c>
      <c r="I1519" s="32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27"/>
      <c r="U1519" s="16"/>
      <c r="V1519" s="13"/>
      <c r="W1519" s="13"/>
    </row>
    <row r="1520" spans="1:23" ht="89.25" x14ac:dyDescent="0.25">
      <c r="A1520" s="17">
        <f t="shared" ca="1" si="265"/>
        <v>1516</v>
      </c>
      <c r="B1520" s="18" t="s">
        <v>2854</v>
      </c>
      <c r="C1520" s="18" t="s">
        <v>3014</v>
      </c>
      <c r="D1520" s="18"/>
      <c r="E1520" s="18"/>
      <c r="F1520" s="18"/>
      <c r="G1520" s="18"/>
      <c r="H1520" s="19" t="s">
        <v>3013</v>
      </c>
      <c r="I1520" s="18" t="s">
        <v>3003</v>
      </c>
      <c r="J1520" s="20">
        <v>1</v>
      </c>
      <c r="K1520" s="20">
        <v>1.1499999999999999</v>
      </c>
      <c r="L1520" s="21" t="s">
        <v>28</v>
      </c>
      <c r="M1520" s="22">
        <v>95</v>
      </c>
      <c r="N1520" s="22">
        <v>0</v>
      </c>
      <c r="O1520" s="22">
        <v>1324.54</v>
      </c>
      <c r="P1520" s="22">
        <f t="shared" si="261"/>
        <v>144705.995</v>
      </c>
      <c r="Q1520" s="22">
        <v>0</v>
      </c>
      <c r="R1520" s="22">
        <f t="shared" si="262"/>
        <v>0</v>
      </c>
      <c r="S1520" s="22">
        <f t="shared" si="263"/>
        <v>144705.995</v>
      </c>
      <c r="T1520" s="23">
        <v>0.55859868298040061</v>
      </c>
      <c r="U1520" s="24">
        <v>0.1</v>
      </c>
      <c r="V1520" s="25">
        <f t="shared" ref="V1520" si="274">S1520+S1520*T1520+(S1520+S1520*T1520)*U1520</f>
        <v>248092.43054900528</v>
      </c>
      <c r="W1520" s="26" t="s">
        <v>29</v>
      </c>
    </row>
    <row r="1521" spans="1:23" x14ac:dyDescent="0.25">
      <c r="A1521" s="12">
        <f t="shared" ca="1" si="265"/>
        <v>1517</v>
      </c>
      <c r="B1521" s="32" t="s">
        <v>2854</v>
      </c>
      <c r="C1521" s="32" t="s">
        <v>3015</v>
      </c>
      <c r="D1521" s="32"/>
      <c r="E1521" s="32"/>
      <c r="F1521" s="32"/>
      <c r="G1521" s="32"/>
      <c r="H1521" s="31" t="s">
        <v>3016</v>
      </c>
      <c r="I1521" s="32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27"/>
      <c r="U1521" s="16"/>
      <c r="V1521" s="13"/>
      <c r="W1521" s="13"/>
    </row>
    <row r="1522" spans="1:23" ht="89.25" x14ac:dyDescent="0.25">
      <c r="A1522" s="17">
        <f t="shared" ca="1" si="265"/>
        <v>1518</v>
      </c>
      <c r="B1522" s="18" t="s">
        <v>2854</v>
      </c>
      <c r="C1522" s="18" t="s">
        <v>3017</v>
      </c>
      <c r="D1522" s="18"/>
      <c r="E1522" s="18"/>
      <c r="F1522" s="18"/>
      <c r="G1522" s="18"/>
      <c r="H1522" s="19" t="s">
        <v>3018</v>
      </c>
      <c r="I1522" s="18" t="s">
        <v>3003</v>
      </c>
      <c r="J1522" s="20">
        <v>1</v>
      </c>
      <c r="K1522" s="20">
        <v>1.1499999999999999</v>
      </c>
      <c r="L1522" s="21" t="s">
        <v>28</v>
      </c>
      <c r="M1522" s="22">
        <v>38</v>
      </c>
      <c r="N1522" s="22">
        <v>0</v>
      </c>
      <c r="O1522" s="22">
        <v>1324.54</v>
      </c>
      <c r="P1522" s="22">
        <f t="shared" si="261"/>
        <v>57882.397999999994</v>
      </c>
      <c r="Q1522" s="22">
        <v>0</v>
      </c>
      <c r="R1522" s="22">
        <f t="shared" si="262"/>
        <v>0</v>
      </c>
      <c r="S1522" s="22">
        <f t="shared" si="263"/>
        <v>57882.397999999994</v>
      </c>
      <c r="T1522" s="23">
        <v>0.55859868298040061</v>
      </c>
      <c r="U1522" s="24">
        <v>0.1</v>
      </c>
      <c r="V1522" s="25">
        <f t="shared" ref="V1522" si="275">S1522+S1522*T1522+(S1522+S1522*T1522)*U1522</f>
        <v>99236.972219602088</v>
      </c>
      <c r="W1522" s="26" t="s">
        <v>29</v>
      </c>
    </row>
    <row r="1523" spans="1:23" x14ac:dyDescent="0.25">
      <c r="A1523" s="28">
        <f t="shared" ca="1" si="265"/>
        <v>1519</v>
      </c>
      <c r="B1523" s="9" t="s">
        <v>2854</v>
      </c>
      <c r="C1523" s="9" t="s">
        <v>3019</v>
      </c>
      <c r="D1523" s="9"/>
      <c r="E1523" s="9"/>
      <c r="F1523" s="9"/>
      <c r="G1523" s="9"/>
      <c r="H1523" s="10" t="s">
        <v>3020</v>
      </c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29"/>
      <c r="U1523" s="11"/>
      <c r="V1523" s="9"/>
      <c r="W1523" s="9"/>
    </row>
    <row r="1524" spans="1:23" x14ac:dyDescent="0.25">
      <c r="A1524" s="12">
        <f t="shared" ca="1" si="265"/>
        <v>1520</v>
      </c>
      <c r="B1524" s="32" t="s">
        <v>2854</v>
      </c>
      <c r="C1524" s="32" t="s">
        <v>3021</v>
      </c>
      <c r="D1524" s="32"/>
      <c r="E1524" s="32"/>
      <c r="F1524" s="32"/>
      <c r="G1524" s="32"/>
      <c r="H1524" s="31" t="s">
        <v>3022</v>
      </c>
      <c r="I1524" s="32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27"/>
      <c r="U1524" s="16"/>
      <c r="V1524" s="13"/>
      <c r="W1524" s="13"/>
    </row>
    <row r="1525" spans="1:23" ht="89.25" x14ac:dyDescent="0.25">
      <c r="A1525" s="17">
        <f t="shared" ca="1" si="265"/>
        <v>1521</v>
      </c>
      <c r="B1525" s="18" t="s">
        <v>2854</v>
      </c>
      <c r="C1525" s="18" t="s">
        <v>3023</v>
      </c>
      <c r="D1525" s="18"/>
      <c r="E1525" s="18"/>
      <c r="F1525" s="18"/>
      <c r="G1525" s="18"/>
      <c r="H1525" s="19" t="s">
        <v>3022</v>
      </c>
      <c r="I1525" s="18" t="s">
        <v>3003</v>
      </c>
      <c r="J1525" s="20">
        <v>1</v>
      </c>
      <c r="K1525" s="20">
        <v>1.1499999999999999</v>
      </c>
      <c r="L1525" s="21" t="s">
        <v>28</v>
      </c>
      <c r="M1525" s="22">
        <v>95</v>
      </c>
      <c r="N1525" s="22">
        <v>0</v>
      </c>
      <c r="O1525" s="22">
        <v>1324.54</v>
      </c>
      <c r="P1525" s="22">
        <f t="shared" si="261"/>
        <v>144705.995</v>
      </c>
      <c r="Q1525" s="22">
        <v>0</v>
      </c>
      <c r="R1525" s="22">
        <f t="shared" si="262"/>
        <v>0</v>
      </c>
      <c r="S1525" s="22">
        <f t="shared" si="263"/>
        <v>144705.995</v>
      </c>
      <c r="T1525" s="23">
        <v>0.55859868298040061</v>
      </c>
      <c r="U1525" s="24">
        <v>0.1</v>
      </c>
      <c r="V1525" s="25">
        <f t="shared" ref="V1525:V1528" si="276">S1525+S1525*T1525+(S1525+S1525*T1525)*U1525</f>
        <v>248092.43054900528</v>
      </c>
      <c r="W1525" s="26" t="s">
        <v>29</v>
      </c>
    </row>
    <row r="1526" spans="1:23" ht="89.25" x14ac:dyDescent="0.25">
      <c r="A1526" s="17">
        <f t="shared" ca="1" si="265"/>
        <v>1522</v>
      </c>
      <c r="B1526" s="18" t="s">
        <v>2854</v>
      </c>
      <c r="C1526" s="18" t="s">
        <v>3024</v>
      </c>
      <c r="D1526" s="18"/>
      <c r="E1526" s="18"/>
      <c r="F1526" s="18"/>
      <c r="G1526" s="18"/>
      <c r="H1526" s="19" t="s">
        <v>3025</v>
      </c>
      <c r="I1526" s="18" t="s">
        <v>3003</v>
      </c>
      <c r="J1526" s="20">
        <v>1</v>
      </c>
      <c r="K1526" s="20">
        <v>1.1499999999999999</v>
      </c>
      <c r="L1526" s="21" t="s">
        <v>28</v>
      </c>
      <c r="M1526" s="22">
        <v>23.75</v>
      </c>
      <c r="N1526" s="22">
        <v>0</v>
      </c>
      <c r="O1526" s="22">
        <v>1324.54</v>
      </c>
      <c r="P1526" s="22">
        <f t="shared" si="261"/>
        <v>36176.498749999999</v>
      </c>
      <c r="Q1526" s="22">
        <v>0</v>
      </c>
      <c r="R1526" s="22">
        <f t="shared" si="262"/>
        <v>0</v>
      </c>
      <c r="S1526" s="22">
        <f t="shared" si="263"/>
        <v>36176.498749999999</v>
      </c>
      <c r="T1526" s="23">
        <v>0.55859868298040061</v>
      </c>
      <c r="U1526" s="24">
        <v>0.1</v>
      </c>
      <c r="V1526" s="25">
        <f t="shared" si="276"/>
        <v>62023.10763725132</v>
      </c>
      <c r="W1526" s="26" t="s">
        <v>29</v>
      </c>
    </row>
    <row r="1527" spans="1:23" ht="89.25" x14ac:dyDescent="0.25">
      <c r="A1527" s="17">
        <f t="shared" ca="1" si="265"/>
        <v>1523</v>
      </c>
      <c r="B1527" s="18" t="s">
        <v>2854</v>
      </c>
      <c r="C1527" s="18" t="s">
        <v>3026</v>
      </c>
      <c r="D1527" s="18"/>
      <c r="E1527" s="18"/>
      <c r="F1527" s="18"/>
      <c r="G1527" s="18"/>
      <c r="H1527" s="19" t="s">
        <v>3027</v>
      </c>
      <c r="I1527" s="18" t="s">
        <v>3003</v>
      </c>
      <c r="J1527" s="20">
        <v>1</v>
      </c>
      <c r="K1527" s="20">
        <v>1.1499999999999999</v>
      </c>
      <c r="L1527" s="21" t="s">
        <v>28</v>
      </c>
      <c r="M1527" s="22">
        <v>23.75</v>
      </c>
      <c r="N1527" s="22">
        <v>0</v>
      </c>
      <c r="O1527" s="22">
        <v>1324.54</v>
      </c>
      <c r="P1527" s="22">
        <f t="shared" si="261"/>
        <v>36176.498749999999</v>
      </c>
      <c r="Q1527" s="22">
        <v>0</v>
      </c>
      <c r="R1527" s="22">
        <f t="shared" si="262"/>
        <v>0</v>
      </c>
      <c r="S1527" s="22">
        <f t="shared" si="263"/>
        <v>36176.498749999999</v>
      </c>
      <c r="T1527" s="23">
        <v>0.55859868298040061</v>
      </c>
      <c r="U1527" s="24">
        <v>0.1</v>
      </c>
      <c r="V1527" s="25">
        <f t="shared" si="276"/>
        <v>62023.10763725132</v>
      </c>
      <c r="W1527" s="26" t="s">
        <v>29</v>
      </c>
    </row>
    <row r="1528" spans="1:23" ht="89.25" x14ac:dyDescent="0.25">
      <c r="A1528" s="17">
        <f t="shared" ca="1" si="265"/>
        <v>1524</v>
      </c>
      <c r="B1528" s="18" t="s">
        <v>2854</v>
      </c>
      <c r="C1528" s="18" t="s">
        <v>3028</v>
      </c>
      <c r="D1528" s="18"/>
      <c r="E1528" s="18"/>
      <c r="F1528" s="18"/>
      <c r="G1528" s="18"/>
      <c r="H1528" s="19" t="s">
        <v>3029</v>
      </c>
      <c r="I1528" s="18" t="s">
        <v>3003</v>
      </c>
      <c r="J1528" s="20">
        <v>1</v>
      </c>
      <c r="K1528" s="20">
        <v>1.1499999999999999</v>
      </c>
      <c r="L1528" s="21" t="s">
        <v>28</v>
      </c>
      <c r="M1528" s="22">
        <v>47.5</v>
      </c>
      <c r="N1528" s="22">
        <v>0</v>
      </c>
      <c r="O1528" s="22">
        <v>1324.54</v>
      </c>
      <c r="P1528" s="22">
        <f t="shared" si="261"/>
        <v>72352.997499999998</v>
      </c>
      <c r="Q1528" s="22">
        <v>0</v>
      </c>
      <c r="R1528" s="22">
        <f t="shared" si="262"/>
        <v>0</v>
      </c>
      <c r="S1528" s="22">
        <f t="shared" si="263"/>
        <v>72352.997499999998</v>
      </c>
      <c r="T1528" s="23">
        <v>0.55859868298040061</v>
      </c>
      <c r="U1528" s="24">
        <v>0.1</v>
      </c>
      <c r="V1528" s="25">
        <f t="shared" si="276"/>
        <v>124046.21527450264</v>
      </c>
      <c r="W1528" s="26" t="s">
        <v>29</v>
      </c>
    </row>
    <row r="1529" spans="1:23" x14ac:dyDescent="0.25">
      <c r="A1529" s="28">
        <f t="shared" ca="1" si="265"/>
        <v>1525</v>
      </c>
      <c r="B1529" s="9" t="s">
        <v>2854</v>
      </c>
      <c r="C1529" s="9" t="s">
        <v>3030</v>
      </c>
      <c r="D1529" s="9"/>
      <c r="E1529" s="9"/>
      <c r="F1529" s="9"/>
      <c r="G1529" s="9"/>
      <c r="H1529" s="10" t="s">
        <v>3031</v>
      </c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29"/>
      <c r="U1529" s="11"/>
      <c r="V1529" s="9"/>
      <c r="W1529" s="9"/>
    </row>
    <row r="1530" spans="1:23" x14ac:dyDescent="0.25">
      <c r="A1530" s="12">
        <f t="shared" ca="1" si="265"/>
        <v>1526</v>
      </c>
      <c r="B1530" s="32" t="s">
        <v>2854</v>
      </c>
      <c r="C1530" s="32" t="s">
        <v>3032</v>
      </c>
      <c r="D1530" s="32"/>
      <c r="E1530" s="32"/>
      <c r="F1530" s="32"/>
      <c r="G1530" s="32"/>
      <c r="H1530" s="31" t="s">
        <v>3033</v>
      </c>
      <c r="I1530" s="32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27"/>
      <c r="U1530" s="16"/>
      <c r="V1530" s="13"/>
      <c r="W1530" s="13"/>
    </row>
    <row r="1531" spans="1:23" ht="89.25" x14ac:dyDescent="0.25">
      <c r="A1531" s="17">
        <f t="shared" ca="1" si="265"/>
        <v>1527</v>
      </c>
      <c r="B1531" s="18" t="s">
        <v>2854</v>
      </c>
      <c r="C1531" s="18" t="s">
        <v>3034</v>
      </c>
      <c r="D1531" s="18"/>
      <c r="E1531" s="18"/>
      <c r="F1531" s="18"/>
      <c r="G1531" s="18"/>
      <c r="H1531" s="19" t="s">
        <v>3035</v>
      </c>
      <c r="I1531" s="18" t="s">
        <v>3003</v>
      </c>
      <c r="J1531" s="20">
        <v>1</v>
      </c>
      <c r="K1531" s="20">
        <v>1.1499999999999999</v>
      </c>
      <c r="L1531" s="21" t="s">
        <v>28</v>
      </c>
      <c r="M1531" s="22">
        <v>186.2</v>
      </c>
      <c r="N1531" s="22">
        <v>0</v>
      </c>
      <c r="O1531" s="22">
        <v>1324.54</v>
      </c>
      <c r="P1531" s="22">
        <f t="shared" ref="P1531:P1594" si="277">O1531*M1531*K1531</f>
        <v>283623.75019999995</v>
      </c>
      <c r="Q1531" s="22">
        <v>0</v>
      </c>
      <c r="R1531" s="22">
        <f t="shared" ref="R1531:R1594" si="278">N1531*Q1531*K1531</f>
        <v>0</v>
      </c>
      <c r="S1531" s="22">
        <f t="shared" ref="S1531:S1594" si="279">P1531+R1531</f>
        <v>283623.75019999995</v>
      </c>
      <c r="T1531" s="23">
        <v>0.55859868298040061</v>
      </c>
      <c r="U1531" s="24">
        <v>0.1</v>
      </c>
      <c r="V1531" s="25">
        <f t="shared" ref="V1531" si="280">S1531+S1531*T1531+(S1531+S1531*T1531)*U1531</f>
        <v>486261.16387605027</v>
      </c>
      <c r="W1531" s="26" t="s">
        <v>29</v>
      </c>
    </row>
    <row r="1532" spans="1:23" x14ac:dyDescent="0.25">
      <c r="A1532" s="12">
        <f t="shared" ca="1" si="265"/>
        <v>1528</v>
      </c>
      <c r="B1532" s="32" t="s">
        <v>2854</v>
      </c>
      <c r="C1532" s="32" t="s">
        <v>3036</v>
      </c>
      <c r="D1532" s="32"/>
      <c r="E1532" s="32"/>
      <c r="F1532" s="32"/>
      <c r="G1532" s="32"/>
      <c r="H1532" s="31" t="s">
        <v>3037</v>
      </c>
      <c r="I1532" s="32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27"/>
      <c r="U1532" s="16"/>
      <c r="V1532" s="13"/>
      <c r="W1532" s="13"/>
    </row>
    <row r="1533" spans="1:23" ht="89.25" x14ac:dyDescent="0.25">
      <c r="A1533" s="17">
        <f t="shared" ca="1" si="265"/>
        <v>1529</v>
      </c>
      <c r="B1533" s="18" t="s">
        <v>2854</v>
      </c>
      <c r="C1533" s="18" t="s">
        <v>3038</v>
      </c>
      <c r="D1533" s="18"/>
      <c r="E1533" s="18"/>
      <c r="F1533" s="18"/>
      <c r="G1533" s="18"/>
      <c r="H1533" s="19" t="s">
        <v>3039</v>
      </c>
      <c r="I1533" s="18" t="s">
        <v>3003</v>
      </c>
      <c r="J1533" s="20">
        <v>1</v>
      </c>
      <c r="K1533" s="20">
        <v>1.1499999999999999</v>
      </c>
      <c r="L1533" s="21" t="s">
        <v>28</v>
      </c>
      <c r="M1533" s="22">
        <v>9.5</v>
      </c>
      <c r="N1533" s="22">
        <v>0</v>
      </c>
      <c r="O1533" s="22">
        <v>1324.54</v>
      </c>
      <c r="P1533" s="22">
        <f t="shared" si="277"/>
        <v>14470.599499999998</v>
      </c>
      <c r="Q1533" s="22">
        <v>0</v>
      </c>
      <c r="R1533" s="22">
        <f t="shared" si="278"/>
        <v>0</v>
      </c>
      <c r="S1533" s="22">
        <f t="shared" si="279"/>
        <v>14470.599499999998</v>
      </c>
      <c r="T1533" s="23">
        <v>0.55859868298040061</v>
      </c>
      <c r="U1533" s="24">
        <v>0.1</v>
      </c>
      <c r="V1533" s="25">
        <f t="shared" ref="V1533" si="281">S1533+S1533*T1533+(S1533+S1533*T1533)*U1533</f>
        <v>24809.243054900522</v>
      </c>
      <c r="W1533" s="26" t="s">
        <v>29</v>
      </c>
    </row>
    <row r="1534" spans="1:23" x14ac:dyDescent="0.25">
      <c r="A1534" s="28">
        <f t="shared" ca="1" si="265"/>
        <v>1530</v>
      </c>
      <c r="B1534" s="9" t="s">
        <v>2854</v>
      </c>
      <c r="C1534" s="9" t="s">
        <v>3040</v>
      </c>
      <c r="D1534" s="9"/>
      <c r="E1534" s="9"/>
      <c r="F1534" s="9"/>
      <c r="G1534" s="9"/>
      <c r="H1534" s="10" t="s">
        <v>3041</v>
      </c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29"/>
      <c r="U1534" s="11"/>
      <c r="V1534" s="9"/>
      <c r="W1534" s="9"/>
    </row>
    <row r="1535" spans="1:23" x14ac:dyDescent="0.25">
      <c r="A1535" s="12">
        <f t="shared" ca="1" si="265"/>
        <v>1531</v>
      </c>
      <c r="B1535" s="32" t="s">
        <v>2854</v>
      </c>
      <c r="C1535" s="32" t="s">
        <v>3042</v>
      </c>
      <c r="D1535" s="32"/>
      <c r="E1535" s="32"/>
      <c r="F1535" s="32"/>
      <c r="G1535" s="32"/>
      <c r="H1535" s="31" t="s">
        <v>3043</v>
      </c>
      <c r="I1535" s="32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27"/>
      <c r="U1535" s="16"/>
      <c r="V1535" s="13"/>
      <c r="W1535" s="13"/>
    </row>
    <row r="1536" spans="1:23" ht="89.25" x14ac:dyDescent="0.25">
      <c r="A1536" s="17">
        <f t="shared" ca="1" si="265"/>
        <v>1532</v>
      </c>
      <c r="B1536" s="18" t="s">
        <v>2854</v>
      </c>
      <c r="C1536" s="18" t="s">
        <v>3044</v>
      </c>
      <c r="D1536" s="18"/>
      <c r="E1536" s="18"/>
      <c r="F1536" s="18"/>
      <c r="G1536" s="18"/>
      <c r="H1536" s="19" t="s">
        <v>3043</v>
      </c>
      <c r="I1536" s="18" t="s">
        <v>161</v>
      </c>
      <c r="J1536" s="20">
        <v>1</v>
      </c>
      <c r="K1536" s="20">
        <v>1.1499999999999999</v>
      </c>
      <c r="L1536" s="21" t="s">
        <v>28</v>
      </c>
      <c r="M1536" s="22">
        <v>38.19</v>
      </c>
      <c r="N1536" s="22">
        <v>0</v>
      </c>
      <c r="O1536" s="22">
        <v>1324.54</v>
      </c>
      <c r="P1536" s="22">
        <f t="shared" si="277"/>
        <v>58171.809989999987</v>
      </c>
      <c r="Q1536" s="22">
        <v>0</v>
      </c>
      <c r="R1536" s="22">
        <f t="shared" si="278"/>
        <v>0</v>
      </c>
      <c r="S1536" s="22">
        <f t="shared" si="279"/>
        <v>58171.809989999987</v>
      </c>
      <c r="T1536" s="23">
        <v>0.55859868298040061</v>
      </c>
      <c r="U1536" s="24">
        <v>0.1</v>
      </c>
      <c r="V1536" s="25">
        <f t="shared" ref="V1536" si="282">S1536+S1536*T1536+(S1536+S1536*T1536)*U1536</f>
        <v>99733.157080700097</v>
      </c>
      <c r="W1536" s="26" t="s">
        <v>29</v>
      </c>
    </row>
    <row r="1537" spans="1:23" x14ac:dyDescent="0.25">
      <c r="A1537" s="12">
        <f t="shared" ca="1" si="265"/>
        <v>1533</v>
      </c>
      <c r="B1537" s="32" t="s">
        <v>2854</v>
      </c>
      <c r="C1537" s="32" t="s">
        <v>3045</v>
      </c>
      <c r="D1537" s="32"/>
      <c r="E1537" s="32"/>
      <c r="F1537" s="32"/>
      <c r="G1537" s="32"/>
      <c r="H1537" s="31" t="s">
        <v>3046</v>
      </c>
      <c r="I1537" s="32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27"/>
      <c r="U1537" s="16"/>
      <c r="V1537" s="13"/>
      <c r="W1537" s="13"/>
    </row>
    <row r="1538" spans="1:23" ht="89.25" x14ac:dyDescent="0.25">
      <c r="A1538" s="17">
        <f t="shared" ca="1" si="265"/>
        <v>1534</v>
      </c>
      <c r="B1538" s="18" t="s">
        <v>2854</v>
      </c>
      <c r="C1538" s="18" t="s">
        <v>3047</v>
      </c>
      <c r="D1538" s="18"/>
      <c r="E1538" s="18"/>
      <c r="F1538" s="18"/>
      <c r="G1538" s="18"/>
      <c r="H1538" s="19" t="s">
        <v>3046</v>
      </c>
      <c r="I1538" s="18" t="s">
        <v>161</v>
      </c>
      <c r="J1538" s="20">
        <v>1</v>
      </c>
      <c r="K1538" s="20">
        <v>1.1499999999999999</v>
      </c>
      <c r="L1538" s="21" t="s">
        <v>28</v>
      </c>
      <c r="M1538" s="22">
        <v>36.479999999999997</v>
      </c>
      <c r="N1538" s="22">
        <v>0</v>
      </c>
      <c r="O1538" s="22">
        <v>1324.54</v>
      </c>
      <c r="P1538" s="22">
        <f t="shared" si="277"/>
        <v>55567.10207999999</v>
      </c>
      <c r="Q1538" s="22">
        <v>0</v>
      </c>
      <c r="R1538" s="22">
        <f t="shared" si="278"/>
        <v>0</v>
      </c>
      <c r="S1538" s="22">
        <f t="shared" si="279"/>
        <v>55567.10207999999</v>
      </c>
      <c r="T1538" s="23">
        <v>0.55859868298040061</v>
      </c>
      <c r="U1538" s="24">
        <v>0.1</v>
      </c>
      <c r="V1538" s="25">
        <f t="shared" ref="V1538" si="283">S1538+S1538*T1538+(S1538+S1538*T1538)*U1538</f>
        <v>95267.493330818004</v>
      </c>
      <c r="W1538" s="26" t="s">
        <v>29</v>
      </c>
    </row>
    <row r="1539" spans="1:23" x14ac:dyDescent="0.25">
      <c r="A1539" s="12">
        <f t="shared" ref="A1539:A1602" ca="1" si="284">CELL("строка",A1539)-4</f>
        <v>1535</v>
      </c>
      <c r="B1539" s="32" t="s">
        <v>2854</v>
      </c>
      <c r="C1539" s="32" t="s">
        <v>3048</v>
      </c>
      <c r="D1539" s="32"/>
      <c r="E1539" s="32"/>
      <c r="F1539" s="32"/>
      <c r="G1539" s="32"/>
      <c r="H1539" s="31" t="s">
        <v>3049</v>
      </c>
      <c r="I1539" s="32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27"/>
      <c r="U1539" s="16"/>
      <c r="V1539" s="13"/>
      <c r="W1539" s="13"/>
    </row>
    <row r="1540" spans="1:23" ht="89.25" x14ac:dyDescent="0.25">
      <c r="A1540" s="17">
        <f t="shared" ca="1" si="284"/>
        <v>1536</v>
      </c>
      <c r="B1540" s="18" t="s">
        <v>2854</v>
      </c>
      <c r="C1540" s="18" t="s">
        <v>3050</v>
      </c>
      <c r="D1540" s="18"/>
      <c r="E1540" s="18"/>
      <c r="F1540" s="18"/>
      <c r="G1540" s="18"/>
      <c r="H1540" s="19" t="s">
        <v>3049</v>
      </c>
      <c r="I1540" s="18" t="s">
        <v>161</v>
      </c>
      <c r="J1540" s="20">
        <v>1</v>
      </c>
      <c r="K1540" s="20">
        <v>1.1499999999999999</v>
      </c>
      <c r="L1540" s="21" t="s">
        <v>28</v>
      </c>
      <c r="M1540" s="22">
        <v>37.049999999999997</v>
      </c>
      <c r="N1540" s="22">
        <v>0</v>
      </c>
      <c r="O1540" s="22">
        <v>1324.54</v>
      </c>
      <c r="P1540" s="22">
        <f t="shared" si="277"/>
        <v>56435.338049999991</v>
      </c>
      <c r="Q1540" s="22">
        <v>0</v>
      </c>
      <c r="R1540" s="22">
        <f t="shared" si="278"/>
        <v>0</v>
      </c>
      <c r="S1540" s="22">
        <f t="shared" si="279"/>
        <v>56435.338049999991</v>
      </c>
      <c r="T1540" s="23">
        <v>0.55859868298040061</v>
      </c>
      <c r="U1540" s="24">
        <v>0.1</v>
      </c>
      <c r="V1540" s="25">
        <f t="shared" ref="V1540:V1541" si="285">S1540+S1540*T1540+(S1540+S1540*T1540)*U1540</f>
        <v>96756.047914112045</v>
      </c>
      <c r="W1540" s="26" t="s">
        <v>29</v>
      </c>
    </row>
    <row r="1541" spans="1:23" ht="89.25" x14ac:dyDescent="0.25">
      <c r="A1541" s="17">
        <f t="shared" ca="1" si="284"/>
        <v>1537</v>
      </c>
      <c r="B1541" s="18" t="s">
        <v>2854</v>
      </c>
      <c r="C1541" s="18" t="s">
        <v>3051</v>
      </c>
      <c r="D1541" s="18"/>
      <c r="E1541" s="18"/>
      <c r="F1541" s="18"/>
      <c r="G1541" s="18"/>
      <c r="H1541" s="19" t="s">
        <v>3052</v>
      </c>
      <c r="I1541" s="18" t="s">
        <v>161</v>
      </c>
      <c r="J1541" s="20">
        <v>1</v>
      </c>
      <c r="K1541" s="20">
        <v>1.1499999999999999</v>
      </c>
      <c r="L1541" s="21" t="s">
        <v>28</v>
      </c>
      <c r="M1541" s="22">
        <v>37.049999999999997</v>
      </c>
      <c r="N1541" s="22">
        <v>0</v>
      </c>
      <c r="O1541" s="22">
        <v>1324.54</v>
      </c>
      <c r="P1541" s="22">
        <f t="shared" si="277"/>
        <v>56435.338049999991</v>
      </c>
      <c r="Q1541" s="22">
        <v>0</v>
      </c>
      <c r="R1541" s="22">
        <f t="shared" si="278"/>
        <v>0</v>
      </c>
      <c r="S1541" s="22">
        <f t="shared" si="279"/>
        <v>56435.338049999991</v>
      </c>
      <c r="T1541" s="23">
        <v>0.55859868298040061</v>
      </c>
      <c r="U1541" s="24">
        <v>0.1</v>
      </c>
      <c r="V1541" s="25">
        <f t="shared" si="285"/>
        <v>96756.047914112045</v>
      </c>
      <c r="W1541" s="26" t="s">
        <v>29</v>
      </c>
    </row>
    <row r="1542" spans="1:23" x14ac:dyDescent="0.25">
      <c r="A1542" s="12">
        <f t="shared" ca="1" si="284"/>
        <v>1538</v>
      </c>
      <c r="B1542" s="32" t="s">
        <v>2854</v>
      </c>
      <c r="C1542" s="32" t="s">
        <v>3053</v>
      </c>
      <c r="D1542" s="32"/>
      <c r="E1542" s="32"/>
      <c r="F1542" s="32"/>
      <c r="G1542" s="32"/>
      <c r="H1542" s="31" t="s">
        <v>3054</v>
      </c>
      <c r="I1542" s="32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27"/>
      <c r="U1542" s="16"/>
      <c r="V1542" s="13"/>
      <c r="W1542" s="13"/>
    </row>
    <row r="1543" spans="1:23" ht="89.25" x14ac:dyDescent="0.25">
      <c r="A1543" s="17">
        <f t="shared" ca="1" si="284"/>
        <v>1539</v>
      </c>
      <c r="B1543" s="18" t="s">
        <v>2854</v>
      </c>
      <c r="C1543" s="18" t="s">
        <v>3055</v>
      </c>
      <c r="D1543" s="18"/>
      <c r="E1543" s="18"/>
      <c r="F1543" s="18"/>
      <c r="G1543" s="18"/>
      <c r="H1543" s="19" t="s">
        <v>3054</v>
      </c>
      <c r="I1543" s="18" t="s">
        <v>161</v>
      </c>
      <c r="J1543" s="20">
        <v>1</v>
      </c>
      <c r="K1543" s="20">
        <v>1.1499999999999999</v>
      </c>
      <c r="L1543" s="21" t="s">
        <v>28</v>
      </c>
      <c r="M1543" s="22">
        <v>36.555999999999997</v>
      </c>
      <c r="N1543" s="22">
        <v>0</v>
      </c>
      <c r="O1543" s="22">
        <v>1324.54</v>
      </c>
      <c r="P1543" s="22">
        <f t="shared" si="277"/>
        <v>55682.866875999985</v>
      </c>
      <c r="Q1543" s="22">
        <v>0</v>
      </c>
      <c r="R1543" s="22">
        <f t="shared" si="278"/>
        <v>0</v>
      </c>
      <c r="S1543" s="22">
        <f t="shared" si="279"/>
        <v>55682.866875999985</v>
      </c>
      <c r="T1543" s="23">
        <v>0.55859868298040061</v>
      </c>
      <c r="U1543" s="24">
        <v>0.1</v>
      </c>
      <c r="V1543" s="25">
        <f t="shared" ref="V1543" si="286">S1543+S1543*T1543+(S1543+S1543*T1543)*U1543</f>
        <v>95465.967275257208</v>
      </c>
      <c r="W1543" s="26" t="s">
        <v>29</v>
      </c>
    </row>
    <row r="1544" spans="1:23" x14ac:dyDescent="0.25">
      <c r="A1544" s="12">
        <f t="shared" ca="1" si="284"/>
        <v>1540</v>
      </c>
      <c r="B1544" s="32" t="s">
        <v>2854</v>
      </c>
      <c r="C1544" s="32" t="s">
        <v>3056</v>
      </c>
      <c r="D1544" s="32"/>
      <c r="E1544" s="32"/>
      <c r="F1544" s="32"/>
      <c r="G1544" s="32"/>
      <c r="H1544" s="31" t="s">
        <v>3057</v>
      </c>
      <c r="I1544" s="32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27"/>
      <c r="U1544" s="16"/>
      <c r="V1544" s="13"/>
      <c r="W1544" s="13"/>
    </row>
    <row r="1545" spans="1:23" ht="89.25" x14ac:dyDescent="0.25">
      <c r="A1545" s="17">
        <f t="shared" ca="1" si="284"/>
        <v>1541</v>
      </c>
      <c r="B1545" s="18" t="s">
        <v>2854</v>
      </c>
      <c r="C1545" s="18" t="s">
        <v>3058</v>
      </c>
      <c r="D1545" s="18"/>
      <c r="E1545" s="18"/>
      <c r="F1545" s="18"/>
      <c r="G1545" s="18"/>
      <c r="H1545" s="19" t="s">
        <v>3057</v>
      </c>
      <c r="I1545" s="18" t="s">
        <v>161</v>
      </c>
      <c r="J1545" s="20">
        <v>1</v>
      </c>
      <c r="K1545" s="20">
        <v>1.1499999999999999</v>
      </c>
      <c r="L1545" s="21" t="s">
        <v>28</v>
      </c>
      <c r="M1545" s="22">
        <v>37.505999999999993</v>
      </c>
      <c r="N1545" s="22">
        <v>0</v>
      </c>
      <c r="O1545" s="22">
        <v>1324.54</v>
      </c>
      <c r="P1545" s="22">
        <f t="shared" si="277"/>
        <v>57129.926825999981</v>
      </c>
      <c r="Q1545" s="22">
        <v>0</v>
      </c>
      <c r="R1545" s="22">
        <f t="shared" si="278"/>
        <v>0</v>
      </c>
      <c r="S1545" s="22">
        <f t="shared" si="279"/>
        <v>57129.926825999981</v>
      </c>
      <c r="T1545" s="23">
        <v>0.55859868298040061</v>
      </c>
      <c r="U1545" s="24">
        <v>0.1</v>
      </c>
      <c r="V1545" s="25">
        <f t="shared" ref="V1545" si="287">S1545+S1545*T1545+(S1545+S1545*T1545)*U1545</f>
        <v>97946.891580747251</v>
      </c>
      <c r="W1545" s="26" t="s">
        <v>29</v>
      </c>
    </row>
    <row r="1546" spans="1:23" x14ac:dyDescent="0.25">
      <c r="A1546" s="12">
        <f t="shared" ca="1" si="284"/>
        <v>1542</v>
      </c>
      <c r="B1546" s="32" t="s">
        <v>2854</v>
      </c>
      <c r="C1546" s="32" t="s">
        <v>3059</v>
      </c>
      <c r="D1546" s="32"/>
      <c r="E1546" s="32"/>
      <c r="F1546" s="32"/>
      <c r="G1546" s="32"/>
      <c r="H1546" s="31" t="s">
        <v>3060</v>
      </c>
      <c r="I1546" s="32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27"/>
      <c r="U1546" s="16"/>
      <c r="V1546" s="13"/>
      <c r="W1546" s="13"/>
    </row>
    <row r="1547" spans="1:23" ht="89.25" x14ac:dyDescent="0.25">
      <c r="A1547" s="17">
        <f t="shared" ca="1" si="284"/>
        <v>1543</v>
      </c>
      <c r="B1547" s="18" t="s">
        <v>2854</v>
      </c>
      <c r="C1547" s="18" t="s">
        <v>3061</v>
      </c>
      <c r="D1547" s="18"/>
      <c r="E1547" s="18"/>
      <c r="F1547" s="18"/>
      <c r="G1547" s="18"/>
      <c r="H1547" s="19" t="s">
        <v>3060</v>
      </c>
      <c r="I1547" s="18" t="s">
        <v>161</v>
      </c>
      <c r="J1547" s="20">
        <v>1</v>
      </c>
      <c r="K1547" s="20">
        <v>1.1499999999999999</v>
      </c>
      <c r="L1547" s="21" t="s">
        <v>28</v>
      </c>
      <c r="M1547" s="22">
        <v>33.629999999999995</v>
      </c>
      <c r="N1547" s="22">
        <v>0</v>
      </c>
      <c r="O1547" s="22">
        <v>1324.54</v>
      </c>
      <c r="P1547" s="22">
        <f t="shared" si="277"/>
        <v>51225.922229999989</v>
      </c>
      <c r="Q1547" s="22">
        <v>0</v>
      </c>
      <c r="R1547" s="22">
        <f t="shared" si="278"/>
        <v>0</v>
      </c>
      <c r="S1547" s="22">
        <f t="shared" si="279"/>
        <v>51225.922229999989</v>
      </c>
      <c r="T1547" s="23">
        <v>0.55859868298040061</v>
      </c>
      <c r="U1547" s="24">
        <v>0.1</v>
      </c>
      <c r="V1547" s="25">
        <f t="shared" ref="V1547" si="288">S1547+S1547*T1547+(S1547+S1547*T1547)*U1547</f>
        <v>87824.720414347859</v>
      </c>
      <c r="W1547" s="26" t="s">
        <v>29</v>
      </c>
    </row>
    <row r="1548" spans="1:23" x14ac:dyDescent="0.25">
      <c r="A1548" s="28">
        <f t="shared" ca="1" si="284"/>
        <v>1544</v>
      </c>
      <c r="B1548" s="9" t="s">
        <v>2854</v>
      </c>
      <c r="C1548" s="9" t="s">
        <v>3062</v>
      </c>
      <c r="D1548" s="9"/>
      <c r="E1548" s="9"/>
      <c r="F1548" s="9"/>
      <c r="G1548" s="9"/>
      <c r="H1548" s="10" t="s">
        <v>3063</v>
      </c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29"/>
      <c r="U1548" s="11"/>
      <c r="V1548" s="9"/>
      <c r="W1548" s="9"/>
    </row>
    <row r="1549" spans="1:23" x14ac:dyDescent="0.25">
      <c r="A1549" s="12">
        <f t="shared" ca="1" si="284"/>
        <v>1545</v>
      </c>
      <c r="B1549" s="35" t="s">
        <v>2854</v>
      </c>
      <c r="C1549" s="35" t="s">
        <v>3064</v>
      </c>
      <c r="D1549" s="35"/>
      <c r="E1549" s="35"/>
      <c r="F1549" s="35"/>
      <c r="G1549" s="35"/>
      <c r="H1549" s="36" t="s">
        <v>3065</v>
      </c>
      <c r="I1549" s="35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27"/>
      <c r="U1549" s="16"/>
      <c r="V1549" s="13"/>
      <c r="W1549" s="13"/>
    </row>
    <row r="1550" spans="1:23" ht="89.25" x14ac:dyDescent="0.25">
      <c r="A1550" s="17">
        <f t="shared" ca="1" si="284"/>
        <v>1546</v>
      </c>
      <c r="B1550" s="18" t="s">
        <v>2854</v>
      </c>
      <c r="C1550" s="18" t="s">
        <v>3066</v>
      </c>
      <c r="D1550" s="18"/>
      <c r="E1550" s="18"/>
      <c r="F1550" s="18"/>
      <c r="G1550" s="18"/>
      <c r="H1550" s="19" t="s">
        <v>3065</v>
      </c>
      <c r="I1550" s="18" t="s">
        <v>2707</v>
      </c>
      <c r="J1550" s="20">
        <v>1</v>
      </c>
      <c r="K1550" s="20">
        <v>1.1499999999999999</v>
      </c>
      <c r="L1550" s="21" t="s">
        <v>28</v>
      </c>
      <c r="M1550" s="22">
        <v>0.47499999999999998</v>
      </c>
      <c r="N1550" s="22">
        <v>0</v>
      </c>
      <c r="O1550" s="22">
        <v>1324.54</v>
      </c>
      <c r="P1550" s="22">
        <f t="shared" si="277"/>
        <v>723.52997499999992</v>
      </c>
      <c r="Q1550" s="22">
        <v>0</v>
      </c>
      <c r="R1550" s="22">
        <f t="shared" si="278"/>
        <v>0</v>
      </c>
      <c r="S1550" s="22">
        <f t="shared" si="279"/>
        <v>723.52997499999992</v>
      </c>
      <c r="T1550" s="23">
        <v>0.55859868298040061</v>
      </c>
      <c r="U1550" s="24">
        <v>0.1</v>
      </c>
      <c r="V1550" s="25">
        <f t="shared" ref="V1550" si="289">S1550+S1550*T1550+(S1550+S1550*T1550)*U1550</f>
        <v>1240.4621527450263</v>
      </c>
      <c r="W1550" s="26" t="s">
        <v>29</v>
      </c>
    </row>
    <row r="1551" spans="1:23" x14ac:dyDescent="0.25">
      <c r="A1551" s="12">
        <f t="shared" ca="1" si="284"/>
        <v>1547</v>
      </c>
      <c r="B1551" s="35" t="s">
        <v>2854</v>
      </c>
      <c r="C1551" s="35" t="s">
        <v>3067</v>
      </c>
      <c r="D1551" s="35"/>
      <c r="E1551" s="35"/>
      <c r="F1551" s="35"/>
      <c r="G1551" s="35"/>
      <c r="H1551" s="36" t="s">
        <v>3068</v>
      </c>
      <c r="I1551" s="35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27"/>
      <c r="U1551" s="16"/>
      <c r="V1551" s="13"/>
      <c r="W1551" s="13"/>
    </row>
    <row r="1552" spans="1:23" ht="89.25" x14ac:dyDescent="0.25">
      <c r="A1552" s="17">
        <f t="shared" ca="1" si="284"/>
        <v>1548</v>
      </c>
      <c r="B1552" s="18" t="s">
        <v>2854</v>
      </c>
      <c r="C1552" s="18" t="s">
        <v>3069</v>
      </c>
      <c r="D1552" s="18"/>
      <c r="E1552" s="18"/>
      <c r="F1552" s="18"/>
      <c r="G1552" s="18"/>
      <c r="H1552" s="19" t="s">
        <v>3068</v>
      </c>
      <c r="I1552" s="18" t="s">
        <v>2707</v>
      </c>
      <c r="J1552" s="20">
        <v>1</v>
      </c>
      <c r="K1552" s="20">
        <v>1.1499999999999999</v>
      </c>
      <c r="L1552" s="21" t="s">
        <v>28</v>
      </c>
      <c r="M1552" s="22">
        <v>0.47499999999999998</v>
      </c>
      <c r="N1552" s="22">
        <v>0</v>
      </c>
      <c r="O1552" s="22">
        <v>1324.54</v>
      </c>
      <c r="P1552" s="22">
        <f t="shared" si="277"/>
        <v>723.52997499999992</v>
      </c>
      <c r="Q1552" s="22">
        <v>0</v>
      </c>
      <c r="R1552" s="22">
        <f t="shared" si="278"/>
        <v>0</v>
      </c>
      <c r="S1552" s="22">
        <f t="shared" si="279"/>
        <v>723.52997499999992</v>
      </c>
      <c r="T1552" s="23">
        <v>0.55859868298040061</v>
      </c>
      <c r="U1552" s="24">
        <v>0.1</v>
      </c>
      <c r="V1552" s="25">
        <f t="shared" ref="V1552" si="290">S1552+S1552*T1552+(S1552+S1552*T1552)*U1552</f>
        <v>1240.4621527450263</v>
      </c>
      <c r="W1552" s="26" t="s">
        <v>29</v>
      </c>
    </row>
    <row r="1553" spans="1:23" x14ac:dyDescent="0.25">
      <c r="A1553" s="28">
        <f t="shared" ca="1" si="284"/>
        <v>1549</v>
      </c>
      <c r="B1553" s="9" t="s">
        <v>2854</v>
      </c>
      <c r="C1553" s="9" t="s">
        <v>3070</v>
      </c>
      <c r="D1553" s="9"/>
      <c r="E1553" s="9"/>
      <c r="F1553" s="9"/>
      <c r="G1553" s="9"/>
      <c r="H1553" s="10" t="s">
        <v>3071</v>
      </c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29"/>
      <c r="U1553" s="11"/>
      <c r="V1553" s="9"/>
      <c r="W1553" s="9"/>
    </row>
    <row r="1554" spans="1:23" x14ac:dyDescent="0.25">
      <c r="A1554" s="12">
        <f t="shared" ca="1" si="284"/>
        <v>1550</v>
      </c>
      <c r="B1554" s="35" t="s">
        <v>2854</v>
      </c>
      <c r="C1554" s="35" t="s">
        <v>3072</v>
      </c>
      <c r="D1554" s="35"/>
      <c r="E1554" s="35"/>
      <c r="F1554" s="35"/>
      <c r="G1554" s="35"/>
      <c r="H1554" s="36" t="s">
        <v>3073</v>
      </c>
      <c r="I1554" s="35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27"/>
      <c r="U1554" s="16"/>
      <c r="V1554" s="13"/>
      <c r="W1554" s="13"/>
    </row>
    <row r="1555" spans="1:23" ht="89.25" x14ac:dyDescent="0.25">
      <c r="A1555" s="17">
        <f t="shared" ca="1" si="284"/>
        <v>1551</v>
      </c>
      <c r="B1555" s="18" t="s">
        <v>2854</v>
      </c>
      <c r="C1555" s="18" t="s">
        <v>3074</v>
      </c>
      <c r="D1555" s="18"/>
      <c r="E1555" s="18"/>
      <c r="F1555" s="18"/>
      <c r="G1555" s="18"/>
      <c r="H1555" s="19" t="s">
        <v>3073</v>
      </c>
      <c r="I1555" s="18" t="s">
        <v>3075</v>
      </c>
      <c r="J1555" s="20">
        <v>1</v>
      </c>
      <c r="K1555" s="20">
        <v>1.1499999999999999</v>
      </c>
      <c r="L1555" s="21" t="s">
        <v>28</v>
      </c>
      <c r="M1555" s="22">
        <v>0.95</v>
      </c>
      <c r="N1555" s="22">
        <v>0</v>
      </c>
      <c r="O1555" s="22">
        <v>1324.54</v>
      </c>
      <c r="P1555" s="22">
        <f t="shared" si="277"/>
        <v>1447.0599499999998</v>
      </c>
      <c r="Q1555" s="22">
        <v>0</v>
      </c>
      <c r="R1555" s="22">
        <f t="shared" si="278"/>
        <v>0</v>
      </c>
      <c r="S1555" s="22">
        <f t="shared" si="279"/>
        <v>1447.0599499999998</v>
      </c>
      <c r="T1555" s="23">
        <v>0.55859868298040061</v>
      </c>
      <c r="U1555" s="24">
        <v>0.1</v>
      </c>
      <c r="V1555" s="25">
        <f t="shared" ref="V1555" si="291">S1555+S1555*T1555+(S1555+S1555*T1555)*U1555</f>
        <v>2480.9243054900526</v>
      </c>
      <c r="W1555" s="26" t="s">
        <v>29</v>
      </c>
    </row>
    <row r="1556" spans="1:23" x14ac:dyDescent="0.25">
      <c r="A1556" s="5">
        <f t="shared" ca="1" si="284"/>
        <v>1552</v>
      </c>
      <c r="B1556" s="6" t="s">
        <v>3076</v>
      </c>
      <c r="C1556" s="6" t="s">
        <v>3076</v>
      </c>
      <c r="D1556" s="6"/>
      <c r="E1556" s="6"/>
      <c r="F1556" s="6"/>
      <c r="G1556" s="6"/>
      <c r="H1556" s="7" t="s">
        <v>3077</v>
      </c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30"/>
      <c r="U1556" s="8"/>
      <c r="V1556" s="6"/>
      <c r="W1556" s="6"/>
    </row>
    <row r="1557" spans="1:23" x14ac:dyDescent="0.25">
      <c r="A1557" s="28">
        <f t="shared" ca="1" si="284"/>
        <v>1553</v>
      </c>
      <c r="B1557" s="9" t="s">
        <v>3076</v>
      </c>
      <c r="C1557" s="9" t="s">
        <v>3078</v>
      </c>
      <c r="D1557" s="9"/>
      <c r="E1557" s="9"/>
      <c r="F1557" s="9"/>
      <c r="G1557" s="9"/>
      <c r="H1557" s="10" t="s">
        <v>3079</v>
      </c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29"/>
      <c r="U1557" s="11"/>
      <c r="V1557" s="9"/>
      <c r="W1557" s="9"/>
    </row>
    <row r="1558" spans="1:23" x14ac:dyDescent="0.25">
      <c r="A1558" s="12">
        <f t="shared" ca="1" si="284"/>
        <v>1554</v>
      </c>
      <c r="B1558" s="13" t="s">
        <v>3076</v>
      </c>
      <c r="C1558" s="13" t="s">
        <v>3080</v>
      </c>
      <c r="D1558" s="13"/>
      <c r="E1558" s="13"/>
      <c r="F1558" s="13"/>
      <c r="G1558" s="13"/>
      <c r="H1558" s="15" t="s">
        <v>3081</v>
      </c>
      <c r="I1558" s="15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27"/>
      <c r="U1558" s="16"/>
      <c r="V1558" s="13"/>
      <c r="W1558" s="13"/>
    </row>
    <row r="1559" spans="1:23" x14ac:dyDescent="0.25">
      <c r="A1559" s="37">
        <f t="shared" ca="1" si="284"/>
        <v>1555</v>
      </c>
      <c r="B1559" s="14" t="s">
        <v>3076</v>
      </c>
      <c r="C1559" s="14" t="s">
        <v>3082</v>
      </c>
      <c r="D1559" s="14"/>
      <c r="E1559" s="14"/>
      <c r="F1559" s="14"/>
      <c r="G1559" s="14"/>
      <c r="H1559" s="38" t="s">
        <v>3083</v>
      </c>
      <c r="I1559" s="38"/>
      <c r="J1559" s="38"/>
      <c r="K1559" s="38"/>
      <c r="L1559" s="38"/>
      <c r="M1559" s="38"/>
      <c r="N1559" s="38"/>
      <c r="O1559" s="38"/>
      <c r="P1559" s="38"/>
      <c r="Q1559" s="38"/>
      <c r="R1559" s="38"/>
      <c r="S1559" s="38"/>
      <c r="T1559" s="39"/>
      <c r="U1559" s="40"/>
      <c r="V1559" s="38"/>
      <c r="W1559" s="38"/>
    </row>
    <row r="1560" spans="1:23" ht="89.25" x14ac:dyDescent="0.25">
      <c r="A1560" s="17">
        <f t="shared" ca="1" si="284"/>
        <v>1556</v>
      </c>
      <c r="B1560" s="18" t="s">
        <v>3076</v>
      </c>
      <c r="C1560" s="18" t="s">
        <v>3084</v>
      </c>
      <c r="D1560" s="18"/>
      <c r="E1560" s="18"/>
      <c r="F1560" s="18"/>
      <c r="G1560" s="18"/>
      <c r="H1560" s="19" t="s">
        <v>3085</v>
      </c>
      <c r="I1560" s="18" t="s">
        <v>161</v>
      </c>
      <c r="J1560" s="20">
        <v>1</v>
      </c>
      <c r="K1560" s="20">
        <v>1.1499999999999999</v>
      </c>
      <c r="L1560" s="21" t="s">
        <v>28</v>
      </c>
      <c r="M1560" s="22">
        <v>0.97439999999999982</v>
      </c>
      <c r="N1560" s="22">
        <v>0.36299999999999999</v>
      </c>
      <c r="O1560" s="22">
        <v>1026.1554267157103</v>
      </c>
      <c r="P1560" s="22">
        <f t="shared" si="277"/>
        <v>1149.8687249605559</v>
      </c>
      <c r="Q1560" s="22">
        <v>1602</v>
      </c>
      <c r="R1560" s="22">
        <f t="shared" si="278"/>
        <v>668.75489999999991</v>
      </c>
      <c r="S1560" s="22">
        <f t="shared" si="279"/>
        <v>1818.6236249605558</v>
      </c>
      <c r="T1560" s="23">
        <v>0.55859868298040061</v>
      </c>
      <c r="U1560" s="24">
        <v>0.1</v>
      </c>
      <c r="V1560" s="25">
        <f t="shared" ref="V1560:V1575" si="292">S1560+S1560*T1560+(S1560+S1560*T1560)*U1560</f>
        <v>3117.9548253706207</v>
      </c>
      <c r="W1560" s="26" t="s">
        <v>29</v>
      </c>
    </row>
    <row r="1561" spans="1:23" ht="89.25" x14ac:dyDescent="0.25">
      <c r="A1561" s="17">
        <f t="shared" ca="1" si="284"/>
        <v>1557</v>
      </c>
      <c r="B1561" s="18" t="s">
        <v>3076</v>
      </c>
      <c r="C1561" s="18" t="s">
        <v>3086</v>
      </c>
      <c r="D1561" s="18"/>
      <c r="E1561" s="18"/>
      <c r="F1561" s="18"/>
      <c r="G1561" s="18"/>
      <c r="H1561" s="19" t="s">
        <v>3087</v>
      </c>
      <c r="I1561" s="18" t="s">
        <v>161</v>
      </c>
      <c r="J1561" s="20">
        <v>1</v>
      </c>
      <c r="K1561" s="20">
        <v>1.1499999999999999</v>
      </c>
      <c r="L1561" s="21" t="s">
        <v>28</v>
      </c>
      <c r="M1561" s="22">
        <v>3.2346999999999997</v>
      </c>
      <c r="N1561" s="22">
        <v>1.2552000000000001</v>
      </c>
      <c r="O1561" s="22">
        <v>1026.1554267157103</v>
      </c>
      <c r="P1561" s="22">
        <f t="shared" si="277"/>
        <v>3817.2007026169035</v>
      </c>
      <c r="Q1561" s="22">
        <v>1602</v>
      </c>
      <c r="R1561" s="22">
        <f t="shared" si="278"/>
        <v>2312.45496</v>
      </c>
      <c r="S1561" s="22">
        <f t="shared" si="279"/>
        <v>6129.655662616904</v>
      </c>
      <c r="T1561" s="23">
        <v>0.55859868298040061</v>
      </c>
      <c r="U1561" s="24">
        <v>0.1</v>
      </c>
      <c r="V1561" s="25">
        <f t="shared" si="292"/>
        <v>10509.040567165868</v>
      </c>
      <c r="W1561" s="26" t="s">
        <v>29</v>
      </c>
    </row>
    <row r="1562" spans="1:23" ht="89.25" x14ac:dyDescent="0.25">
      <c r="A1562" s="17">
        <f t="shared" ca="1" si="284"/>
        <v>1558</v>
      </c>
      <c r="B1562" s="18" t="s">
        <v>3076</v>
      </c>
      <c r="C1562" s="18" t="s">
        <v>3088</v>
      </c>
      <c r="D1562" s="18"/>
      <c r="E1562" s="18"/>
      <c r="F1562" s="18"/>
      <c r="G1562" s="18"/>
      <c r="H1562" s="19" t="s">
        <v>3089</v>
      </c>
      <c r="I1562" s="18" t="s">
        <v>161</v>
      </c>
      <c r="J1562" s="20">
        <v>1</v>
      </c>
      <c r="K1562" s="20">
        <v>1.1499999999999999</v>
      </c>
      <c r="L1562" s="21" t="s">
        <v>28</v>
      </c>
      <c r="M1562" s="22">
        <v>6.1305999999999994</v>
      </c>
      <c r="N1562" s="22">
        <v>4.1069999999999993</v>
      </c>
      <c r="O1562" s="22">
        <v>1026.1554267157103</v>
      </c>
      <c r="P1562" s="22">
        <f t="shared" si="277"/>
        <v>7234.5907278768327</v>
      </c>
      <c r="Q1562" s="22">
        <v>1602</v>
      </c>
      <c r="R1562" s="22">
        <f t="shared" si="278"/>
        <v>7566.3260999999984</v>
      </c>
      <c r="S1562" s="22">
        <f t="shared" si="279"/>
        <v>14800.91682787683</v>
      </c>
      <c r="T1562" s="23">
        <v>0.55859868298040061</v>
      </c>
      <c r="U1562" s="24">
        <v>0.1</v>
      </c>
      <c r="V1562" s="25">
        <f t="shared" si="292"/>
        <v>25375.558422314403</v>
      </c>
      <c r="W1562" s="26" t="s">
        <v>29</v>
      </c>
    </row>
    <row r="1563" spans="1:23" ht="89.25" x14ac:dyDescent="0.25">
      <c r="A1563" s="17">
        <f t="shared" ca="1" si="284"/>
        <v>1559</v>
      </c>
      <c r="B1563" s="18" t="s">
        <v>3076</v>
      </c>
      <c r="C1563" s="18" t="s">
        <v>3090</v>
      </c>
      <c r="D1563" s="18"/>
      <c r="E1563" s="18"/>
      <c r="F1563" s="18"/>
      <c r="G1563" s="18"/>
      <c r="H1563" s="19" t="s">
        <v>3091</v>
      </c>
      <c r="I1563" s="18" t="s">
        <v>161</v>
      </c>
      <c r="J1563" s="20">
        <v>1</v>
      </c>
      <c r="K1563" s="20">
        <v>1.1499999999999999</v>
      </c>
      <c r="L1563" s="21" t="s">
        <v>28</v>
      </c>
      <c r="M1563" s="22">
        <v>10.273899999999999</v>
      </c>
      <c r="N1563" s="22">
        <v>6.3197999999999999</v>
      </c>
      <c r="O1563" s="22">
        <v>1026.1554267157103</v>
      </c>
      <c r="P1563" s="22">
        <f t="shared" si="277"/>
        <v>12124.010974314713</v>
      </c>
      <c r="Q1563" s="22">
        <v>1602</v>
      </c>
      <c r="R1563" s="22">
        <f t="shared" si="278"/>
        <v>11642.967539999998</v>
      </c>
      <c r="S1563" s="22">
        <f t="shared" si="279"/>
        <v>23766.978514314709</v>
      </c>
      <c r="T1563" s="23">
        <v>0.55859868298040061</v>
      </c>
      <c r="U1563" s="24">
        <v>0.1</v>
      </c>
      <c r="V1563" s="25">
        <f t="shared" si="292"/>
        <v>40747.499551917819</v>
      </c>
      <c r="W1563" s="26" t="s">
        <v>29</v>
      </c>
    </row>
    <row r="1564" spans="1:23" ht="89.25" x14ac:dyDescent="0.25">
      <c r="A1564" s="17">
        <f t="shared" ca="1" si="284"/>
        <v>1560</v>
      </c>
      <c r="B1564" s="18" t="s">
        <v>3076</v>
      </c>
      <c r="C1564" s="18" t="s">
        <v>3092</v>
      </c>
      <c r="D1564" s="18"/>
      <c r="E1564" s="18"/>
      <c r="F1564" s="18"/>
      <c r="G1564" s="18"/>
      <c r="H1564" s="19" t="s">
        <v>3093</v>
      </c>
      <c r="I1564" s="18" t="s">
        <v>161</v>
      </c>
      <c r="J1564" s="20">
        <v>1</v>
      </c>
      <c r="K1564" s="20">
        <v>1.1499999999999999</v>
      </c>
      <c r="L1564" s="21" t="s">
        <v>28</v>
      </c>
      <c r="M1564" s="22">
        <v>2.8167999999999997</v>
      </c>
      <c r="N1564" s="22">
        <v>1.0164</v>
      </c>
      <c r="O1564" s="22">
        <v>1026.1554267157103</v>
      </c>
      <c r="P1564" s="22">
        <f t="shared" si="277"/>
        <v>3324.0457968687342</v>
      </c>
      <c r="Q1564" s="22">
        <v>1602</v>
      </c>
      <c r="R1564" s="22">
        <f t="shared" si="278"/>
        <v>1872.5137199999999</v>
      </c>
      <c r="S1564" s="22">
        <f t="shared" si="279"/>
        <v>5196.5595168687341</v>
      </c>
      <c r="T1564" s="23">
        <v>0.55859868298040061</v>
      </c>
      <c r="U1564" s="24">
        <v>0.1</v>
      </c>
      <c r="V1564" s="25">
        <f t="shared" si="292"/>
        <v>8909.2859009229633</v>
      </c>
      <c r="W1564" s="26" t="s">
        <v>29</v>
      </c>
    </row>
    <row r="1565" spans="1:23" ht="89.25" x14ac:dyDescent="0.25">
      <c r="A1565" s="17">
        <f t="shared" ca="1" si="284"/>
        <v>1561</v>
      </c>
      <c r="B1565" s="18" t="s">
        <v>3076</v>
      </c>
      <c r="C1565" s="18" t="s">
        <v>3094</v>
      </c>
      <c r="D1565" s="18"/>
      <c r="E1565" s="18"/>
      <c r="F1565" s="18"/>
      <c r="G1565" s="18"/>
      <c r="H1565" s="19" t="s">
        <v>3095</v>
      </c>
      <c r="I1565" s="18" t="s">
        <v>161</v>
      </c>
      <c r="J1565" s="20">
        <v>1</v>
      </c>
      <c r="K1565" s="20">
        <v>1.1499999999999999</v>
      </c>
      <c r="L1565" s="21" t="s">
        <v>28</v>
      </c>
      <c r="M1565" s="22">
        <v>4.4996</v>
      </c>
      <c r="N1565" s="22">
        <v>2.7089999999999992</v>
      </c>
      <c r="O1565" s="22">
        <v>1026.1554267157103</v>
      </c>
      <c r="P1565" s="22">
        <f t="shared" si="277"/>
        <v>5309.8823017575114</v>
      </c>
      <c r="Q1565" s="22">
        <v>1602</v>
      </c>
      <c r="R1565" s="22">
        <f t="shared" si="278"/>
        <v>4990.7906999999977</v>
      </c>
      <c r="S1565" s="22">
        <f t="shared" si="279"/>
        <v>10300.67300175751</v>
      </c>
      <c r="T1565" s="23">
        <v>0.55859868298040061</v>
      </c>
      <c r="U1565" s="24">
        <v>0.1</v>
      </c>
      <c r="V1565" s="25">
        <f t="shared" si="292"/>
        <v>17660.076911786127</v>
      </c>
      <c r="W1565" s="26" t="s">
        <v>29</v>
      </c>
    </row>
    <row r="1566" spans="1:23" ht="89.25" x14ac:dyDescent="0.25">
      <c r="A1566" s="17">
        <f t="shared" ca="1" si="284"/>
        <v>1562</v>
      </c>
      <c r="B1566" s="18" t="s">
        <v>3076</v>
      </c>
      <c r="C1566" s="18" t="s">
        <v>3096</v>
      </c>
      <c r="D1566" s="18"/>
      <c r="E1566" s="18"/>
      <c r="F1566" s="18"/>
      <c r="G1566" s="18"/>
      <c r="H1566" s="19" t="s">
        <v>3097</v>
      </c>
      <c r="I1566" s="18" t="s">
        <v>161</v>
      </c>
      <c r="J1566" s="20">
        <v>1</v>
      </c>
      <c r="K1566" s="20">
        <v>1.1499999999999999</v>
      </c>
      <c r="L1566" s="21" t="s">
        <v>28</v>
      </c>
      <c r="M1566" s="22">
        <v>8.6212</v>
      </c>
      <c r="N1566" s="22">
        <v>4.9092000000000002</v>
      </c>
      <c r="O1566" s="22">
        <v>1026.1554267157103</v>
      </c>
      <c r="P1566" s="22">
        <f t="shared" si="277"/>
        <v>10173.694839521702</v>
      </c>
      <c r="Q1566" s="22">
        <v>1602</v>
      </c>
      <c r="R1566" s="22">
        <f t="shared" si="278"/>
        <v>9044.2191600000006</v>
      </c>
      <c r="S1566" s="22">
        <f t="shared" si="279"/>
        <v>19217.913999521705</v>
      </c>
      <c r="T1566" s="23">
        <v>0.55859868298040061</v>
      </c>
      <c r="U1566" s="24">
        <v>0.1</v>
      </c>
      <c r="V1566" s="25">
        <f t="shared" si="292"/>
        <v>32948.316994213645</v>
      </c>
      <c r="W1566" s="26" t="s">
        <v>29</v>
      </c>
    </row>
    <row r="1567" spans="1:23" ht="89.25" x14ac:dyDescent="0.25">
      <c r="A1567" s="17">
        <f t="shared" ca="1" si="284"/>
        <v>1563</v>
      </c>
      <c r="B1567" s="18" t="s">
        <v>3076</v>
      </c>
      <c r="C1567" s="18" t="s">
        <v>3098</v>
      </c>
      <c r="D1567" s="18"/>
      <c r="E1567" s="18"/>
      <c r="F1567" s="18"/>
      <c r="G1567" s="18"/>
      <c r="H1567" s="19" t="s">
        <v>3099</v>
      </c>
      <c r="I1567" s="18" t="s">
        <v>161</v>
      </c>
      <c r="J1567" s="20">
        <v>1</v>
      </c>
      <c r="K1567" s="20">
        <v>1.1499999999999999</v>
      </c>
      <c r="L1567" s="21" t="s">
        <v>28</v>
      </c>
      <c r="M1567" s="22">
        <v>10.2158</v>
      </c>
      <c r="N1567" s="22">
        <v>6.0437999999999992</v>
      </c>
      <c r="O1567" s="22">
        <v>1026.1554267157103</v>
      </c>
      <c r="P1567" s="22">
        <f t="shared" si="277"/>
        <v>12055.448399478704</v>
      </c>
      <c r="Q1567" s="22">
        <v>1602</v>
      </c>
      <c r="R1567" s="22">
        <f t="shared" si="278"/>
        <v>11134.492739999998</v>
      </c>
      <c r="S1567" s="22">
        <f t="shared" si="279"/>
        <v>23189.941139478702</v>
      </c>
      <c r="T1567" s="23">
        <v>0.55859868298040061</v>
      </c>
      <c r="U1567" s="24">
        <v>0.1</v>
      </c>
      <c r="V1567" s="25">
        <f t="shared" si="292"/>
        <v>39758.19289022297</v>
      </c>
      <c r="W1567" s="26" t="s">
        <v>29</v>
      </c>
    </row>
    <row r="1568" spans="1:23" ht="89.25" x14ac:dyDescent="0.25">
      <c r="A1568" s="17">
        <f t="shared" ca="1" si="284"/>
        <v>1564</v>
      </c>
      <c r="B1568" s="18" t="s">
        <v>3076</v>
      </c>
      <c r="C1568" s="18" t="s">
        <v>3100</v>
      </c>
      <c r="D1568" s="18"/>
      <c r="E1568" s="18"/>
      <c r="F1568" s="18"/>
      <c r="G1568" s="18"/>
      <c r="H1568" s="19" t="s">
        <v>3101</v>
      </c>
      <c r="I1568" s="18" t="s">
        <v>161</v>
      </c>
      <c r="J1568" s="20">
        <v>1</v>
      </c>
      <c r="K1568" s="20">
        <v>1.1499999999999999</v>
      </c>
      <c r="L1568" s="21" t="s">
        <v>28</v>
      </c>
      <c r="M1568" s="22">
        <v>15.1074</v>
      </c>
      <c r="N1568" s="22">
        <v>3.6239999999999992</v>
      </c>
      <c r="O1568" s="22">
        <v>1026.1554267157103</v>
      </c>
      <c r="P1568" s="22">
        <f t="shared" si="277"/>
        <v>17827.92156759966</v>
      </c>
      <c r="Q1568" s="22">
        <v>1602</v>
      </c>
      <c r="R1568" s="22">
        <f t="shared" si="278"/>
        <v>6676.4951999999976</v>
      </c>
      <c r="S1568" s="22">
        <f t="shared" si="279"/>
        <v>24504.416767599658</v>
      </c>
      <c r="T1568" s="23">
        <v>0.55859868298040061</v>
      </c>
      <c r="U1568" s="24">
        <v>0.1</v>
      </c>
      <c r="V1568" s="25">
        <f t="shared" si="292"/>
        <v>42011.80687130204</v>
      </c>
      <c r="W1568" s="26" t="s">
        <v>29</v>
      </c>
    </row>
    <row r="1569" spans="1:23" ht="89.25" x14ac:dyDescent="0.25">
      <c r="A1569" s="17">
        <f t="shared" ca="1" si="284"/>
        <v>1565</v>
      </c>
      <c r="B1569" s="18" t="s">
        <v>3076</v>
      </c>
      <c r="C1569" s="18" t="s">
        <v>3102</v>
      </c>
      <c r="D1569" s="18"/>
      <c r="E1569" s="18"/>
      <c r="F1569" s="18"/>
      <c r="G1569" s="18"/>
      <c r="H1569" s="19" t="s">
        <v>3103</v>
      </c>
      <c r="I1569" s="18" t="s">
        <v>161</v>
      </c>
      <c r="J1569" s="20">
        <v>1</v>
      </c>
      <c r="K1569" s="20">
        <v>1.1499999999999999</v>
      </c>
      <c r="L1569" s="21" t="s">
        <v>28</v>
      </c>
      <c r="M1569" s="22">
        <v>28.654499999999999</v>
      </c>
      <c r="N1569" s="22">
        <v>6.4260000000000002</v>
      </c>
      <c r="O1569" s="22">
        <v>1026.1554267157103</v>
      </c>
      <c r="P1569" s="22">
        <f t="shared" si="277"/>
        <v>33814.566276049118</v>
      </c>
      <c r="Q1569" s="22">
        <v>1602</v>
      </c>
      <c r="R1569" s="22">
        <f t="shared" si="278"/>
        <v>11838.6198</v>
      </c>
      <c r="S1569" s="22">
        <f t="shared" si="279"/>
        <v>45653.186076049118</v>
      </c>
      <c r="T1569" s="23">
        <v>0.55859868298040061</v>
      </c>
      <c r="U1569" s="24">
        <v>0.1</v>
      </c>
      <c r="V1569" s="25">
        <f t="shared" si="292"/>
        <v>78270.495261188247</v>
      </c>
      <c r="W1569" s="26" t="s">
        <v>29</v>
      </c>
    </row>
    <row r="1570" spans="1:23" ht="89.25" x14ac:dyDescent="0.25">
      <c r="A1570" s="17">
        <f t="shared" ca="1" si="284"/>
        <v>1566</v>
      </c>
      <c r="B1570" s="18" t="s">
        <v>3076</v>
      </c>
      <c r="C1570" s="18" t="s">
        <v>3104</v>
      </c>
      <c r="D1570" s="18"/>
      <c r="E1570" s="18"/>
      <c r="F1570" s="18"/>
      <c r="G1570" s="18"/>
      <c r="H1570" s="19" t="s">
        <v>3105</v>
      </c>
      <c r="I1570" s="18" t="s">
        <v>161</v>
      </c>
      <c r="J1570" s="20">
        <v>1</v>
      </c>
      <c r="K1570" s="20">
        <v>1.1499999999999999</v>
      </c>
      <c r="L1570" s="21" t="s">
        <v>28</v>
      </c>
      <c r="M1570" s="22">
        <v>45.280200000000001</v>
      </c>
      <c r="N1570" s="22">
        <v>10.386000000000001</v>
      </c>
      <c r="O1570" s="22">
        <v>1026.1554267157103</v>
      </c>
      <c r="P1570" s="22">
        <f t="shared" si="277"/>
        <v>53434.201395688608</v>
      </c>
      <c r="Q1570" s="22">
        <v>1602</v>
      </c>
      <c r="R1570" s="22">
        <f t="shared" si="278"/>
        <v>19134.127800000002</v>
      </c>
      <c r="S1570" s="22">
        <f t="shared" si="279"/>
        <v>72568.32919568861</v>
      </c>
      <c r="T1570" s="23">
        <v>0.55859868298040061</v>
      </c>
      <c r="U1570" s="24">
        <v>0.1</v>
      </c>
      <c r="V1570" s="25">
        <f t="shared" si="292"/>
        <v>124415.39254153727</v>
      </c>
      <c r="W1570" s="26" t="s">
        <v>29</v>
      </c>
    </row>
    <row r="1571" spans="1:23" ht="89.25" x14ac:dyDescent="0.25">
      <c r="A1571" s="17">
        <f t="shared" ca="1" si="284"/>
        <v>1567</v>
      </c>
      <c r="B1571" s="18" t="s">
        <v>3076</v>
      </c>
      <c r="C1571" s="18" t="s">
        <v>3106</v>
      </c>
      <c r="D1571" s="18"/>
      <c r="E1571" s="18"/>
      <c r="F1571" s="18"/>
      <c r="G1571" s="18"/>
      <c r="H1571" s="19" t="s">
        <v>3107</v>
      </c>
      <c r="I1571" s="18" t="s">
        <v>161</v>
      </c>
      <c r="J1571" s="20">
        <v>1</v>
      </c>
      <c r="K1571" s="20">
        <v>1.1499999999999999</v>
      </c>
      <c r="L1571" s="21" t="s">
        <v>28</v>
      </c>
      <c r="M1571" s="22">
        <v>1.7948</v>
      </c>
      <c r="N1571" s="22">
        <v>0.92459999999999987</v>
      </c>
      <c r="O1571" s="22">
        <v>1026.1554267157103</v>
      </c>
      <c r="P1571" s="22">
        <f t="shared" si="277"/>
        <v>2118.0053238497603</v>
      </c>
      <c r="Q1571" s="22">
        <v>1602</v>
      </c>
      <c r="R1571" s="22">
        <f t="shared" si="278"/>
        <v>1703.3905799999995</v>
      </c>
      <c r="S1571" s="22">
        <f t="shared" si="279"/>
        <v>3821.3959038497596</v>
      </c>
      <c r="T1571" s="23">
        <v>0.55859868298040061</v>
      </c>
      <c r="U1571" s="24">
        <v>0.1</v>
      </c>
      <c r="V1571" s="25">
        <f t="shared" si="292"/>
        <v>6551.6248851756254</v>
      </c>
      <c r="W1571" s="26" t="s">
        <v>29</v>
      </c>
    </row>
    <row r="1572" spans="1:23" ht="89.25" x14ac:dyDescent="0.25">
      <c r="A1572" s="17">
        <f t="shared" ca="1" si="284"/>
        <v>1568</v>
      </c>
      <c r="B1572" s="18" t="s">
        <v>3076</v>
      </c>
      <c r="C1572" s="18" t="s">
        <v>3108</v>
      </c>
      <c r="D1572" s="18"/>
      <c r="E1572" s="18"/>
      <c r="F1572" s="18"/>
      <c r="G1572" s="18"/>
      <c r="H1572" s="19" t="s">
        <v>3109</v>
      </c>
      <c r="I1572" s="18" t="s">
        <v>161</v>
      </c>
      <c r="J1572" s="20">
        <v>1</v>
      </c>
      <c r="K1572" s="20">
        <v>1.1499999999999999</v>
      </c>
      <c r="L1572" s="21" t="s">
        <v>28</v>
      </c>
      <c r="M1572" s="22">
        <v>3.2542999999999997</v>
      </c>
      <c r="N1572" s="22">
        <v>2.6718000000000002</v>
      </c>
      <c r="O1572" s="22">
        <v>1026.1554267157103</v>
      </c>
      <c r="P1572" s="22">
        <f t="shared" si="277"/>
        <v>3840.3302459350757</v>
      </c>
      <c r="Q1572" s="22">
        <v>1602</v>
      </c>
      <c r="R1572" s="22">
        <f t="shared" si="278"/>
        <v>4922.2571399999997</v>
      </c>
      <c r="S1572" s="22">
        <f t="shared" si="279"/>
        <v>8762.5873859350759</v>
      </c>
      <c r="T1572" s="23">
        <v>0.55859868298040061</v>
      </c>
      <c r="U1572" s="24">
        <v>0.1</v>
      </c>
      <c r="V1572" s="25">
        <f t="shared" si="292"/>
        <v>15023.092875140988</v>
      </c>
      <c r="W1572" s="26" t="s">
        <v>29</v>
      </c>
    </row>
    <row r="1573" spans="1:23" ht="89.25" x14ac:dyDescent="0.25">
      <c r="A1573" s="17">
        <f t="shared" ca="1" si="284"/>
        <v>1569</v>
      </c>
      <c r="B1573" s="18" t="s">
        <v>3076</v>
      </c>
      <c r="C1573" s="18" t="s">
        <v>3110</v>
      </c>
      <c r="D1573" s="18"/>
      <c r="E1573" s="18"/>
      <c r="F1573" s="18"/>
      <c r="G1573" s="18"/>
      <c r="H1573" s="19" t="s">
        <v>3111</v>
      </c>
      <c r="I1573" s="18" t="s">
        <v>161</v>
      </c>
      <c r="J1573" s="20">
        <v>1</v>
      </c>
      <c r="K1573" s="20">
        <v>1.1499999999999999</v>
      </c>
      <c r="L1573" s="21" t="s">
        <v>28</v>
      </c>
      <c r="M1573" s="22">
        <v>4.7858999999999998</v>
      </c>
      <c r="N1573" s="22">
        <v>4.2923999999999998</v>
      </c>
      <c r="O1573" s="22">
        <v>1026.1554267157103</v>
      </c>
      <c r="P1573" s="22">
        <f t="shared" si="277"/>
        <v>5647.738845226525</v>
      </c>
      <c r="Q1573" s="22">
        <v>1602</v>
      </c>
      <c r="R1573" s="22">
        <f t="shared" si="278"/>
        <v>7907.8885199999995</v>
      </c>
      <c r="S1573" s="22">
        <f t="shared" si="279"/>
        <v>13555.627365226524</v>
      </c>
      <c r="T1573" s="23">
        <v>0.55859868298040061</v>
      </c>
      <c r="U1573" s="24">
        <v>0.1</v>
      </c>
      <c r="V1573" s="25">
        <f t="shared" si="292"/>
        <v>23240.561254256656</v>
      </c>
      <c r="W1573" s="26" t="s">
        <v>29</v>
      </c>
    </row>
    <row r="1574" spans="1:23" ht="89.25" x14ac:dyDescent="0.25">
      <c r="A1574" s="17">
        <f t="shared" ca="1" si="284"/>
        <v>1570</v>
      </c>
      <c r="B1574" s="18" t="s">
        <v>3076</v>
      </c>
      <c r="C1574" s="18" t="s">
        <v>3112</v>
      </c>
      <c r="D1574" s="18"/>
      <c r="E1574" s="18"/>
      <c r="F1574" s="18"/>
      <c r="G1574" s="18"/>
      <c r="H1574" s="19" t="s">
        <v>3113</v>
      </c>
      <c r="I1574" s="18" t="s">
        <v>115</v>
      </c>
      <c r="J1574" s="20">
        <v>1</v>
      </c>
      <c r="K1574" s="20">
        <v>1.1499999999999999</v>
      </c>
      <c r="L1574" s="21" t="s">
        <v>28</v>
      </c>
      <c r="M1574" s="22">
        <v>0.62509999999999999</v>
      </c>
      <c r="N1574" s="22">
        <v>0.41760000000000003</v>
      </c>
      <c r="O1574" s="22">
        <v>1026.1554267157103</v>
      </c>
      <c r="P1574" s="22">
        <f t="shared" si="277"/>
        <v>737.66722082598903</v>
      </c>
      <c r="Q1574" s="22">
        <v>1602</v>
      </c>
      <c r="R1574" s="22">
        <f t="shared" si="278"/>
        <v>769.34447999999998</v>
      </c>
      <c r="S1574" s="22">
        <f t="shared" si="279"/>
        <v>1507.011700825989</v>
      </c>
      <c r="T1574" s="23">
        <v>0.55859868298040061</v>
      </c>
      <c r="U1574" s="24">
        <v>0.1</v>
      </c>
      <c r="V1574" s="25">
        <f t="shared" si="292"/>
        <v>2583.7090973577838</v>
      </c>
      <c r="W1574" s="26" t="s">
        <v>29</v>
      </c>
    </row>
    <row r="1575" spans="1:23" ht="89.25" x14ac:dyDescent="0.25">
      <c r="A1575" s="17">
        <f t="shared" ca="1" si="284"/>
        <v>1571</v>
      </c>
      <c r="B1575" s="18" t="s">
        <v>3076</v>
      </c>
      <c r="C1575" s="18" t="s">
        <v>3114</v>
      </c>
      <c r="D1575" s="18"/>
      <c r="E1575" s="18"/>
      <c r="F1575" s="18"/>
      <c r="G1575" s="18"/>
      <c r="H1575" s="19" t="s">
        <v>3115</v>
      </c>
      <c r="I1575" s="18" t="s">
        <v>115</v>
      </c>
      <c r="J1575" s="20">
        <v>1</v>
      </c>
      <c r="K1575" s="20">
        <v>1.1499999999999999</v>
      </c>
      <c r="L1575" s="21" t="s">
        <v>28</v>
      </c>
      <c r="M1575" s="22">
        <v>0.43609999999999999</v>
      </c>
      <c r="N1575" s="22">
        <v>0.20760000000000001</v>
      </c>
      <c r="O1575" s="22">
        <v>1026.1554267157103</v>
      </c>
      <c r="P1575" s="22">
        <f t="shared" si="277"/>
        <v>514.63233882932934</v>
      </c>
      <c r="Q1575" s="22">
        <v>1602</v>
      </c>
      <c r="R1575" s="22">
        <f t="shared" si="278"/>
        <v>382.46147999999994</v>
      </c>
      <c r="S1575" s="22">
        <f t="shared" si="279"/>
        <v>897.09381882932928</v>
      </c>
      <c r="T1575" s="23">
        <v>0.55859868298040061</v>
      </c>
      <c r="U1575" s="24">
        <v>0.1</v>
      </c>
      <c r="V1575" s="25">
        <f t="shared" si="292"/>
        <v>1538.0301689909757</v>
      </c>
      <c r="W1575" s="26" t="s">
        <v>29</v>
      </c>
    </row>
    <row r="1576" spans="1:23" x14ac:dyDescent="0.25">
      <c r="A1576" s="37">
        <f t="shared" ca="1" si="284"/>
        <v>1572</v>
      </c>
      <c r="B1576" s="14" t="s">
        <v>3076</v>
      </c>
      <c r="C1576" s="14" t="s">
        <v>3116</v>
      </c>
      <c r="D1576" s="14"/>
      <c r="E1576" s="14"/>
      <c r="F1576" s="14"/>
      <c r="G1576" s="14"/>
      <c r="H1576" s="38" t="s">
        <v>3117</v>
      </c>
      <c r="I1576" s="38"/>
      <c r="J1576" s="38"/>
      <c r="K1576" s="38"/>
      <c r="L1576" s="38"/>
      <c r="M1576" s="13"/>
      <c r="N1576" s="38"/>
      <c r="O1576" s="13"/>
      <c r="P1576" s="38"/>
      <c r="Q1576" s="38"/>
      <c r="R1576" s="38"/>
      <c r="S1576" s="38"/>
      <c r="T1576" s="39"/>
      <c r="U1576" s="40"/>
      <c r="V1576" s="38"/>
      <c r="W1576" s="38"/>
    </row>
    <row r="1577" spans="1:23" ht="89.25" x14ac:dyDescent="0.25">
      <c r="A1577" s="17">
        <f t="shared" ca="1" si="284"/>
        <v>1573</v>
      </c>
      <c r="B1577" s="18" t="s">
        <v>3076</v>
      </c>
      <c r="C1577" s="18" t="s">
        <v>3118</v>
      </c>
      <c r="D1577" s="18"/>
      <c r="E1577" s="18"/>
      <c r="F1577" s="18"/>
      <c r="G1577" s="18"/>
      <c r="H1577" s="19" t="s">
        <v>3119</v>
      </c>
      <c r="I1577" s="18" t="s">
        <v>3120</v>
      </c>
      <c r="J1577" s="20">
        <v>1</v>
      </c>
      <c r="K1577" s="20">
        <v>1.1499999999999999</v>
      </c>
      <c r="L1577" s="21" t="s">
        <v>28</v>
      </c>
      <c r="M1577" s="22">
        <v>26.342400000000001</v>
      </c>
      <c r="N1577" s="22">
        <v>0.72959999999999992</v>
      </c>
      <c r="O1577" s="22">
        <v>1026.1554267157103</v>
      </c>
      <c r="P1577" s="22">
        <f t="shared" si="277"/>
        <v>31086.106219623314</v>
      </c>
      <c r="Q1577" s="22">
        <v>1602</v>
      </c>
      <c r="R1577" s="22">
        <f t="shared" si="278"/>
        <v>1344.1420799999999</v>
      </c>
      <c r="S1577" s="22">
        <f t="shared" si="279"/>
        <v>32430.248299623316</v>
      </c>
      <c r="T1577" s="23">
        <v>0.55859868298040061</v>
      </c>
      <c r="U1577" s="24">
        <v>0.1</v>
      </c>
      <c r="V1577" s="25">
        <f t="shared" ref="V1577:V1579" si="293">S1577+S1577*T1577+(S1577+S1577*T1577)*U1577</f>
        <v>55600.316517372303</v>
      </c>
      <c r="W1577" s="26" t="s">
        <v>29</v>
      </c>
    </row>
    <row r="1578" spans="1:23" ht="89.25" x14ac:dyDescent="0.25">
      <c r="A1578" s="17">
        <f t="shared" ca="1" si="284"/>
        <v>1574</v>
      </c>
      <c r="B1578" s="18" t="s">
        <v>3076</v>
      </c>
      <c r="C1578" s="18" t="s">
        <v>3121</v>
      </c>
      <c r="D1578" s="18"/>
      <c r="E1578" s="18"/>
      <c r="F1578" s="18"/>
      <c r="G1578" s="18"/>
      <c r="H1578" s="19" t="s">
        <v>3122</v>
      </c>
      <c r="I1578" s="18" t="s">
        <v>3120</v>
      </c>
      <c r="J1578" s="20">
        <v>1</v>
      </c>
      <c r="K1578" s="20">
        <v>1.1499999999999999</v>
      </c>
      <c r="L1578" s="21" t="s">
        <v>28</v>
      </c>
      <c r="M1578" s="22">
        <v>39.555599999999998</v>
      </c>
      <c r="N1578" s="22">
        <v>1.4111999999999998</v>
      </c>
      <c r="O1578" s="22">
        <v>1026.1554267157103</v>
      </c>
      <c r="P1578" s="22">
        <f t="shared" si="277"/>
        <v>46678.722636545332</v>
      </c>
      <c r="Q1578" s="22">
        <v>1602</v>
      </c>
      <c r="R1578" s="22">
        <f t="shared" si="278"/>
        <v>2599.8537599999995</v>
      </c>
      <c r="S1578" s="22">
        <f t="shared" si="279"/>
        <v>49278.57639654533</v>
      </c>
      <c r="T1578" s="23">
        <v>0.55859868298040061</v>
      </c>
      <c r="U1578" s="24">
        <v>0.1</v>
      </c>
      <c r="V1578" s="25">
        <f t="shared" si="293"/>
        <v>84486.076697885059</v>
      </c>
      <c r="W1578" s="26" t="s">
        <v>29</v>
      </c>
    </row>
    <row r="1579" spans="1:23" ht="89.25" x14ac:dyDescent="0.25">
      <c r="A1579" s="17">
        <f t="shared" ca="1" si="284"/>
        <v>1575</v>
      </c>
      <c r="B1579" s="18" t="s">
        <v>3076</v>
      </c>
      <c r="C1579" s="18" t="s">
        <v>3123</v>
      </c>
      <c r="D1579" s="18"/>
      <c r="E1579" s="18"/>
      <c r="F1579" s="18"/>
      <c r="G1579" s="18"/>
      <c r="H1579" s="19" t="s">
        <v>3124</v>
      </c>
      <c r="I1579" s="18" t="s">
        <v>3120</v>
      </c>
      <c r="J1579" s="20">
        <v>1</v>
      </c>
      <c r="K1579" s="20">
        <v>1.1499999999999999</v>
      </c>
      <c r="L1579" s="21" t="s">
        <v>28</v>
      </c>
      <c r="M1579" s="22">
        <v>55.498799999999989</v>
      </c>
      <c r="N1579" s="22">
        <v>2.1576</v>
      </c>
      <c r="O1579" s="22">
        <v>1026.1554267157103</v>
      </c>
      <c r="P1579" s="22">
        <f t="shared" si="277"/>
        <v>65492.954015641328</v>
      </c>
      <c r="Q1579" s="22">
        <v>1602</v>
      </c>
      <c r="R1579" s="22">
        <f t="shared" si="278"/>
        <v>3974.9464799999996</v>
      </c>
      <c r="S1579" s="22">
        <f t="shared" si="279"/>
        <v>69467.900495641326</v>
      </c>
      <c r="T1579" s="23">
        <v>0.55859868298040061</v>
      </c>
      <c r="U1579" s="24">
        <v>0.1</v>
      </c>
      <c r="V1579" s="25">
        <f t="shared" si="293"/>
        <v>119099.8360441121</v>
      </c>
      <c r="W1579" s="26" t="s">
        <v>29</v>
      </c>
    </row>
    <row r="1580" spans="1:23" x14ac:dyDescent="0.25">
      <c r="A1580" s="37">
        <f t="shared" ca="1" si="284"/>
        <v>1576</v>
      </c>
      <c r="B1580" s="14" t="s">
        <v>3076</v>
      </c>
      <c r="C1580" s="14" t="s">
        <v>3125</v>
      </c>
      <c r="D1580" s="14"/>
      <c r="E1580" s="14"/>
      <c r="F1580" s="14"/>
      <c r="G1580" s="14"/>
      <c r="H1580" s="38" t="s">
        <v>3126</v>
      </c>
      <c r="I1580" s="38"/>
      <c r="J1580" s="38"/>
      <c r="K1580" s="38"/>
      <c r="L1580" s="38"/>
      <c r="M1580" s="13"/>
      <c r="N1580" s="38"/>
      <c r="O1580" s="13"/>
      <c r="P1580" s="38"/>
      <c r="Q1580" s="38"/>
      <c r="R1580" s="38"/>
      <c r="S1580" s="38"/>
      <c r="T1580" s="39"/>
      <c r="U1580" s="40"/>
      <c r="V1580" s="38"/>
      <c r="W1580" s="38"/>
    </row>
    <row r="1581" spans="1:23" ht="89.25" x14ac:dyDescent="0.25">
      <c r="A1581" s="17">
        <f t="shared" ca="1" si="284"/>
        <v>1577</v>
      </c>
      <c r="B1581" s="18" t="s">
        <v>3076</v>
      </c>
      <c r="C1581" s="18" t="s">
        <v>3127</v>
      </c>
      <c r="D1581" s="18"/>
      <c r="E1581" s="18"/>
      <c r="F1581" s="18"/>
      <c r="G1581" s="18"/>
      <c r="H1581" s="19" t="s">
        <v>3128</v>
      </c>
      <c r="I1581" s="18" t="s">
        <v>3120</v>
      </c>
      <c r="J1581" s="20">
        <v>1</v>
      </c>
      <c r="K1581" s="20">
        <v>1.1499999999999999</v>
      </c>
      <c r="L1581" s="21" t="s">
        <v>28</v>
      </c>
      <c r="M1581" s="22">
        <v>5.4572000000000003</v>
      </c>
      <c r="N1581" s="22">
        <v>0.21839999999999998</v>
      </c>
      <c r="O1581" s="22">
        <v>1026.1554267157103</v>
      </c>
      <c r="P1581" s="22">
        <f t="shared" si="277"/>
        <v>6439.9257038739197</v>
      </c>
      <c r="Q1581" s="22">
        <v>1602</v>
      </c>
      <c r="R1581" s="22">
        <f t="shared" si="278"/>
        <v>402.35831999999994</v>
      </c>
      <c r="S1581" s="22">
        <f t="shared" si="279"/>
        <v>6842.28402387392</v>
      </c>
      <c r="T1581" s="23">
        <v>0.55859868298040061</v>
      </c>
      <c r="U1581" s="24">
        <v>0.1</v>
      </c>
      <c r="V1581" s="25">
        <f t="shared" ref="V1581:V1583" si="294">S1581+S1581*T1581+(S1581+S1581*T1581)*U1581</f>
        <v>11730.812355006501</v>
      </c>
      <c r="W1581" s="26" t="s">
        <v>29</v>
      </c>
    </row>
    <row r="1582" spans="1:23" ht="89.25" x14ac:dyDescent="0.25">
      <c r="A1582" s="17">
        <f t="shared" ca="1" si="284"/>
        <v>1578</v>
      </c>
      <c r="B1582" s="18" t="s">
        <v>3076</v>
      </c>
      <c r="C1582" s="18" t="s">
        <v>3129</v>
      </c>
      <c r="D1582" s="18"/>
      <c r="E1582" s="18"/>
      <c r="F1582" s="18"/>
      <c r="G1582" s="18"/>
      <c r="H1582" s="19" t="s">
        <v>3130</v>
      </c>
      <c r="I1582" s="18" t="s">
        <v>3120</v>
      </c>
      <c r="J1582" s="20">
        <v>1</v>
      </c>
      <c r="K1582" s="20">
        <v>1.1499999999999999</v>
      </c>
      <c r="L1582" s="21" t="s">
        <v>28</v>
      </c>
      <c r="M1582" s="22">
        <v>6.5324</v>
      </c>
      <c r="N1582" s="22">
        <v>0.29519999999999996</v>
      </c>
      <c r="O1582" s="22">
        <v>1026.1554267157103</v>
      </c>
      <c r="P1582" s="22">
        <f t="shared" si="277"/>
        <v>7708.7463658993611</v>
      </c>
      <c r="Q1582" s="22">
        <v>1602</v>
      </c>
      <c r="R1582" s="22">
        <f t="shared" si="278"/>
        <v>543.84695999999985</v>
      </c>
      <c r="S1582" s="22">
        <f t="shared" si="279"/>
        <v>8252.5933258993609</v>
      </c>
      <c r="T1582" s="23">
        <v>0.55859868298040061</v>
      </c>
      <c r="U1582" s="24">
        <v>0.1</v>
      </c>
      <c r="V1582" s="25">
        <f t="shared" si="294"/>
        <v>14148.729197811546</v>
      </c>
      <c r="W1582" s="26" t="s">
        <v>29</v>
      </c>
    </row>
    <row r="1583" spans="1:23" ht="89.25" x14ac:dyDescent="0.25">
      <c r="A1583" s="17">
        <f t="shared" ca="1" si="284"/>
        <v>1579</v>
      </c>
      <c r="B1583" s="18" t="s">
        <v>3076</v>
      </c>
      <c r="C1583" s="18" t="s">
        <v>3131</v>
      </c>
      <c r="D1583" s="18"/>
      <c r="E1583" s="18"/>
      <c r="F1583" s="18"/>
      <c r="G1583" s="18"/>
      <c r="H1583" s="19" t="s">
        <v>3132</v>
      </c>
      <c r="I1583" s="18" t="s">
        <v>3120</v>
      </c>
      <c r="J1583" s="20">
        <v>1</v>
      </c>
      <c r="K1583" s="20">
        <v>1.1499999999999999</v>
      </c>
      <c r="L1583" s="21" t="s">
        <v>28</v>
      </c>
      <c r="M1583" s="22">
        <v>8.0388000000000002</v>
      </c>
      <c r="N1583" s="22">
        <v>0.64080000000000004</v>
      </c>
      <c r="O1583" s="22">
        <v>1026.1554267157103</v>
      </c>
      <c r="P1583" s="22">
        <f t="shared" si="277"/>
        <v>9486.4169809245886</v>
      </c>
      <c r="Q1583" s="22">
        <v>1602</v>
      </c>
      <c r="R1583" s="22">
        <f t="shared" si="278"/>
        <v>1180.54584</v>
      </c>
      <c r="S1583" s="22">
        <f t="shared" si="279"/>
        <v>10666.962820924589</v>
      </c>
      <c r="T1583" s="23">
        <v>0.55859868298040061</v>
      </c>
      <c r="U1583" s="24">
        <v>0.1</v>
      </c>
      <c r="V1583" s="25">
        <f t="shared" si="294"/>
        <v>18288.065624503361</v>
      </c>
      <c r="W1583" s="26" t="s">
        <v>29</v>
      </c>
    </row>
    <row r="1584" spans="1:23" x14ac:dyDescent="0.25">
      <c r="A1584" s="37">
        <f t="shared" ca="1" si="284"/>
        <v>1580</v>
      </c>
      <c r="B1584" s="14" t="s">
        <v>3076</v>
      </c>
      <c r="C1584" s="14" t="s">
        <v>3133</v>
      </c>
      <c r="D1584" s="14"/>
      <c r="E1584" s="14"/>
      <c r="F1584" s="14"/>
      <c r="G1584" s="14"/>
      <c r="H1584" s="38" t="s">
        <v>3134</v>
      </c>
      <c r="I1584" s="38"/>
      <c r="J1584" s="38"/>
      <c r="K1584" s="38"/>
      <c r="L1584" s="38"/>
      <c r="M1584" s="13"/>
      <c r="N1584" s="38"/>
      <c r="O1584" s="13"/>
      <c r="P1584" s="38"/>
      <c r="Q1584" s="38"/>
      <c r="R1584" s="38"/>
      <c r="S1584" s="38"/>
      <c r="T1584" s="39"/>
      <c r="U1584" s="40"/>
      <c r="V1584" s="38"/>
      <c r="W1584" s="38"/>
    </row>
    <row r="1585" spans="1:23" ht="89.25" x14ac:dyDescent="0.25">
      <c r="A1585" s="17">
        <f t="shared" ca="1" si="284"/>
        <v>1581</v>
      </c>
      <c r="B1585" s="18" t="s">
        <v>3076</v>
      </c>
      <c r="C1585" s="18" t="s">
        <v>3135</v>
      </c>
      <c r="D1585" s="18"/>
      <c r="E1585" s="18"/>
      <c r="F1585" s="18"/>
      <c r="G1585" s="18"/>
      <c r="H1585" s="19" t="s">
        <v>3136</v>
      </c>
      <c r="I1585" s="18" t="s">
        <v>3120</v>
      </c>
      <c r="J1585" s="20">
        <v>1</v>
      </c>
      <c r="K1585" s="20">
        <v>1.1499999999999999</v>
      </c>
      <c r="L1585" s="21" t="s">
        <v>28</v>
      </c>
      <c r="M1585" s="22">
        <v>2.2273999999999998</v>
      </c>
      <c r="N1585" s="22">
        <v>0.23399999999999999</v>
      </c>
      <c r="O1585" s="22">
        <v>1026.1554267157103</v>
      </c>
      <c r="P1585" s="22">
        <f t="shared" si="277"/>
        <v>2628.5073870865585</v>
      </c>
      <c r="Q1585" s="22">
        <v>1602</v>
      </c>
      <c r="R1585" s="22">
        <f t="shared" si="278"/>
        <v>431.09819999999996</v>
      </c>
      <c r="S1585" s="22">
        <f t="shared" si="279"/>
        <v>3059.6055870865584</v>
      </c>
      <c r="T1585" s="23">
        <v>0.55859868298040061</v>
      </c>
      <c r="U1585" s="24">
        <v>0.1</v>
      </c>
      <c r="V1585" s="25">
        <f t="shared" ref="V1585:V1586" si="295">S1585+S1585*T1585+(S1585+S1585*T1585)*U1585</f>
        <v>5245.5669623198437</v>
      </c>
      <c r="W1585" s="26" t="s">
        <v>29</v>
      </c>
    </row>
    <row r="1586" spans="1:23" ht="89.25" x14ac:dyDescent="0.25">
      <c r="A1586" s="17">
        <f t="shared" ca="1" si="284"/>
        <v>1582</v>
      </c>
      <c r="B1586" s="18" t="s">
        <v>3076</v>
      </c>
      <c r="C1586" s="18" t="s">
        <v>3137</v>
      </c>
      <c r="D1586" s="18"/>
      <c r="E1586" s="18"/>
      <c r="F1586" s="18"/>
      <c r="G1586" s="18"/>
      <c r="H1586" s="19" t="s">
        <v>3138</v>
      </c>
      <c r="I1586" s="18" t="s">
        <v>3120</v>
      </c>
      <c r="J1586" s="20">
        <v>1</v>
      </c>
      <c r="K1586" s="20">
        <v>1.1499999999999999</v>
      </c>
      <c r="L1586" s="21" t="s">
        <v>28</v>
      </c>
      <c r="M1586" s="22">
        <v>2.7846000000000002</v>
      </c>
      <c r="N1586" s="22">
        <v>0.23399999999999999</v>
      </c>
      <c r="O1586" s="22">
        <v>1026.1554267157103</v>
      </c>
      <c r="P1586" s="22">
        <f t="shared" si="277"/>
        <v>3286.0472614174519</v>
      </c>
      <c r="Q1586" s="22">
        <v>1602</v>
      </c>
      <c r="R1586" s="22">
        <f t="shared" si="278"/>
        <v>431.09819999999996</v>
      </c>
      <c r="S1586" s="22">
        <f t="shared" si="279"/>
        <v>3717.1454614174518</v>
      </c>
      <c r="T1586" s="23">
        <v>0.55859868298040061</v>
      </c>
      <c r="U1586" s="24">
        <v>0.1</v>
      </c>
      <c r="V1586" s="25">
        <f t="shared" si="295"/>
        <v>6372.8918226729947</v>
      </c>
      <c r="W1586" s="26" t="s">
        <v>29</v>
      </c>
    </row>
    <row r="1587" spans="1:23" x14ac:dyDescent="0.25">
      <c r="A1587" s="37">
        <f t="shared" ca="1" si="284"/>
        <v>1583</v>
      </c>
      <c r="B1587" s="14" t="s">
        <v>3076</v>
      </c>
      <c r="C1587" s="14" t="s">
        <v>3139</v>
      </c>
      <c r="D1587" s="14"/>
      <c r="E1587" s="14"/>
      <c r="F1587" s="14"/>
      <c r="G1587" s="14"/>
      <c r="H1587" s="38" t="s">
        <v>3140</v>
      </c>
      <c r="I1587" s="38"/>
      <c r="J1587" s="38"/>
      <c r="K1587" s="38"/>
      <c r="L1587" s="38"/>
      <c r="M1587" s="13"/>
      <c r="N1587" s="38"/>
      <c r="O1587" s="13"/>
      <c r="P1587" s="38"/>
      <c r="Q1587" s="38"/>
      <c r="R1587" s="38"/>
      <c r="S1587" s="38"/>
      <c r="T1587" s="39"/>
      <c r="U1587" s="40"/>
      <c r="V1587" s="38"/>
      <c r="W1587" s="38"/>
    </row>
    <row r="1588" spans="1:23" ht="89.25" x14ac:dyDescent="0.25">
      <c r="A1588" s="17">
        <f t="shared" ca="1" si="284"/>
        <v>1584</v>
      </c>
      <c r="B1588" s="18" t="s">
        <v>3076</v>
      </c>
      <c r="C1588" s="18" t="s">
        <v>3141</v>
      </c>
      <c r="D1588" s="18"/>
      <c r="E1588" s="18"/>
      <c r="F1588" s="18"/>
      <c r="G1588" s="18"/>
      <c r="H1588" s="19" t="s">
        <v>3142</v>
      </c>
      <c r="I1588" s="18" t="s">
        <v>115</v>
      </c>
      <c r="J1588" s="20">
        <v>1</v>
      </c>
      <c r="K1588" s="20">
        <v>1.1499999999999999</v>
      </c>
      <c r="L1588" s="21" t="s">
        <v>28</v>
      </c>
      <c r="M1588" s="22">
        <v>45.948</v>
      </c>
      <c r="N1588" s="22">
        <v>1.464</v>
      </c>
      <c r="O1588" s="22">
        <v>1026.1554267157103</v>
      </c>
      <c r="P1588" s="22">
        <f t="shared" si="277"/>
        <v>54222.257978743473</v>
      </c>
      <c r="Q1588" s="22">
        <v>1602</v>
      </c>
      <c r="R1588" s="22">
        <f t="shared" si="278"/>
        <v>2697.1271999999999</v>
      </c>
      <c r="S1588" s="22">
        <f t="shared" si="279"/>
        <v>56919.385178743476</v>
      </c>
      <c r="T1588" s="23">
        <v>0.55859868298040061</v>
      </c>
      <c r="U1588" s="24">
        <v>0.1</v>
      </c>
      <c r="V1588" s="25">
        <f t="shared" ref="V1588:V1590" si="296">S1588+S1588*T1588+(S1588+S1588*T1588)*U1588</f>
        <v>97585.92665320808</v>
      </c>
      <c r="W1588" s="26" t="s">
        <v>29</v>
      </c>
    </row>
    <row r="1589" spans="1:23" ht="89.25" x14ac:dyDescent="0.25">
      <c r="A1589" s="17">
        <f t="shared" ca="1" si="284"/>
        <v>1585</v>
      </c>
      <c r="B1589" s="18" t="s">
        <v>3076</v>
      </c>
      <c r="C1589" s="18" t="s">
        <v>3143</v>
      </c>
      <c r="D1589" s="18"/>
      <c r="E1589" s="18"/>
      <c r="F1589" s="18"/>
      <c r="G1589" s="18"/>
      <c r="H1589" s="19" t="s">
        <v>3144</v>
      </c>
      <c r="I1589" s="18" t="s">
        <v>115</v>
      </c>
      <c r="J1589" s="20">
        <v>1</v>
      </c>
      <c r="K1589" s="20">
        <v>1.1499999999999999</v>
      </c>
      <c r="L1589" s="21" t="s">
        <v>28</v>
      </c>
      <c r="M1589" s="22">
        <v>40.025999999999996</v>
      </c>
      <c r="N1589" s="22">
        <v>1.3919999999999999</v>
      </c>
      <c r="O1589" s="22">
        <v>1026.1554267157103</v>
      </c>
      <c r="P1589" s="22">
        <f t="shared" si="277"/>
        <v>47233.831676181464</v>
      </c>
      <c r="Q1589" s="22">
        <v>1602</v>
      </c>
      <c r="R1589" s="22">
        <f t="shared" si="278"/>
        <v>2564.4815999999996</v>
      </c>
      <c r="S1589" s="22">
        <f t="shared" si="279"/>
        <v>49798.313276181463</v>
      </c>
      <c r="T1589" s="23">
        <v>0.55859868298040061</v>
      </c>
      <c r="U1589" s="24">
        <v>0.1</v>
      </c>
      <c r="V1589" s="25">
        <f t="shared" si="296"/>
        <v>85377.144035592006</v>
      </c>
      <c r="W1589" s="26" t="s">
        <v>29</v>
      </c>
    </row>
    <row r="1590" spans="1:23" ht="89.25" x14ac:dyDescent="0.25">
      <c r="A1590" s="17">
        <f t="shared" ca="1" si="284"/>
        <v>1586</v>
      </c>
      <c r="B1590" s="18" t="s">
        <v>3076</v>
      </c>
      <c r="C1590" s="18" t="s">
        <v>3145</v>
      </c>
      <c r="D1590" s="18"/>
      <c r="E1590" s="18"/>
      <c r="F1590" s="18"/>
      <c r="G1590" s="18"/>
      <c r="H1590" s="19" t="s">
        <v>3146</v>
      </c>
      <c r="I1590" s="18" t="s">
        <v>115</v>
      </c>
      <c r="J1590" s="20">
        <v>1</v>
      </c>
      <c r="K1590" s="20">
        <v>1.1499999999999999</v>
      </c>
      <c r="L1590" s="21" t="s">
        <v>28</v>
      </c>
      <c r="M1590" s="22">
        <v>25.498899999999999</v>
      </c>
      <c r="N1590" s="22">
        <v>1.2761999999999998</v>
      </c>
      <c r="O1590" s="22">
        <v>1026.1554267157103</v>
      </c>
      <c r="P1590" s="22">
        <f t="shared" si="277"/>
        <v>30090.709801823406</v>
      </c>
      <c r="Q1590" s="22">
        <v>1602</v>
      </c>
      <c r="R1590" s="22">
        <f t="shared" si="278"/>
        <v>2351.1432599999994</v>
      </c>
      <c r="S1590" s="22">
        <f t="shared" si="279"/>
        <v>32441.853061823407</v>
      </c>
      <c r="T1590" s="23">
        <v>0.55859868298040061</v>
      </c>
      <c r="U1590" s="24">
        <v>0.1</v>
      </c>
      <c r="V1590" s="25">
        <f t="shared" si="296"/>
        <v>55620.212401161807</v>
      </c>
      <c r="W1590" s="26" t="s">
        <v>29</v>
      </c>
    </row>
    <row r="1591" spans="1:23" x14ac:dyDescent="0.25">
      <c r="A1591" s="12">
        <f t="shared" ca="1" si="284"/>
        <v>1587</v>
      </c>
      <c r="B1591" s="13" t="s">
        <v>3076</v>
      </c>
      <c r="C1591" s="13" t="s">
        <v>3147</v>
      </c>
      <c r="D1591" s="13"/>
      <c r="E1591" s="13"/>
      <c r="F1591" s="13"/>
      <c r="G1591" s="13"/>
      <c r="H1591" s="15" t="s">
        <v>3148</v>
      </c>
      <c r="I1591" s="15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27"/>
      <c r="U1591" s="16"/>
      <c r="V1591" s="13"/>
      <c r="W1591" s="13"/>
    </row>
    <row r="1592" spans="1:23" x14ac:dyDescent="0.25">
      <c r="A1592" s="37">
        <f t="shared" ca="1" si="284"/>
        <v>1588</v>
      </c>
      <c r="B1592" s="14" t="s">
        <v>3076</v>
      </c>
      <c r="C1592" s="14" t="s">
        <v>3149</v>
      </c>
      <c r="D1592" s="14"/>
      <c r="E1592" s="14"/>
      <c r="F1592" s="14"/>
      <c r="G1592" s="14"/>
      <c r="H1592" s="38" t="s">
        <v>3150</v>
      </c>
      <c r="I1592" s="38"/>
      <c r="J1592" s="38"/>
      <c r="K1592" s="38"/>
      <c r="L1592" s="38"/>
      <c r="M1592" s="13"/>
      <c r="N1592" s="38"/>
      <c r="O1592" s="13"/>
      <c r="P1592" s="38"/>
      <c r="Q1592" s="38"/>
      <c r="R1592" s="38"/>
      <c r="S1592" s="38"/>
      <c r="T1592" s="39"/>
      <c r="U1592" s="40"/>
      <c r="V1592" s="38"/>
      <c r="W1592" s="38"/>
    </row>
    <row r="1593" spans="1:23" ht="89.25" x14ac:dyDescent="0.25">
      <c r="A1593" s="17">
        <f t="shared" ca="1" si="284"/>
        <v>1589</v>
      </c>
      <c r="B1593" s="18" t="s">
        <v>3076</v>
      </c>
      <c r="C1593" s="18" t="s">
        <v>3151</v>
      </c>
      <c r="D1593" s="18"/>
      <c r="E1593" s="18"/>
      <c r="F1593" s="18"/>
      <c r="G1593" s="18"/>
      <c r="H1593" s="19" t="s">
        <v>3152</v>
      </c>
      <c r="I1593" s="18" t="s">
        <v>3120</v>
      </c>
      <c r="J1593" s="20">
        <v>1</v>
      </c>
      <c r="K1593" s="20">
        <v>1.1499999999999999</v>
      </c>
      <c r="L1593" s="21" t="s">
        <v>28</v>
      </c>
      <c r="M1593" s="22">
        <v>2.3386999999999998</v>
      </c>
      <c r="N1593" s="22">
        <v>5.6999999999999995E-2</v>
      </c>
      <c r="O1593" s="22">
        <v>1026.1554267157103</v>
      </c>
      <c r="P1593" s="22">
        <f t="shared" si="277"/>
        <v>2759.8501509290359</v>
      </c>
      <c r="Q1593" s="22">
        <v>1602</v>
      </c>
      <c r="R1593" s="22">
        <f t="shared" si="278"/>
        <v>105.01109999999998</v>
      </c>
      <c r="S1593" s="22">
        <f t="shared" si="279"/>
        <v>2864.861250929036</v>
      </c>
      <c r="T1593" s="23">
        <v>0.55859868298040061</v>
      </c>
      <c r="U1593" s="24">
        <v>0.1</v>
      </c>
      <c r="V1593" s="25">
        <f t="shared" ref="V1593:V1598" si="297">S1593+S1593*T1593+(S1593+S1593*T1593)*U1593</f>
        <v>4911.6858698815358</v>
      </c>
      <c r="W1593" s="26" t="s">
        <v>29</v>
      </c>
    </row>
    <row r="1594" spans="1:23" ht="89.25" x14ac:dyDescent="0.25">
      <c r="A1594" s="17">
        <f t="shared" ca="1" si="284"/>
        <v>1590</v>
      </c>
      <c r="B1594" s="18" t="s">
        <v>3076</v>
      </c>
      <c r="C1594" s="18" t="s">
        <v>3153</v>
      </c>
      <c r="D1594" s="18"/>
      <c r="E1594" s="18"/>
      <c r="F1594" s="18"/>
      <c r="G1594" s="18"/>
      <c r="H1594" s="19" t="s">
        <v>3154</v>
      </c>
      <c r="I1594" s="18" t="s">
        <v>3120</v>
      </c>
      <c r="J1594" s="20">
        <v>1</v>
      </c>
      <c r="K1594" s="20">
        <v>1.1499999999999999</v>
      </c>
      <c r="L1594" s="21" t="s">
        <v>28</v>
      </c>
      <c r="M1594" s="22">
        <v>2.6698</v>
      </c>
      <c r="N1594" s="22">
        <v>0.14159999999999998</v>
      </c>
      <c r="O1594" s="22">
        <v>1026.1554267157103</v>
      </c>
      <c r="P1594" s="22">
        <f t="shared" si="277"/>
        <v>3150.5742219824433</v>
      </c>
      <c r="Q1594" s="22">
        <v>1602</v>
      </c>
      <c r="R1594" s="22">
        <f t="shared" si="278"/>
        <v>260.86967999999996</v>
      </c>
      <c r="S1594" s="22">
        <f t="shared" si="279"/>
        <v>3411.4439019824431</v>
      </c>
      <c r="T1594" s="23">
        <v>0.55859868298040061</v>
      </c>
      <c r="U1594" s="24">
        <v>0.1</v>
      </c>
      <c r="V1594" s="25">
        <f t="shared" si="297"/>
        <v>5848.7791699604904</v>
      </c>
      <c r="W1594" s="26" t="s">
        <v>29</v>
      </c>
    </row>
    <row r="1595" spans="1:23" ht="89.25" x14ac:dyDescent="0.25">
      <c r="A1595" s="17">
        <f t="shared" ca="1" si="284"/>
        <v>1591</v>
      </c>
      <c r="B1595" s="18" t="s">
        <v>3076</v>
      </c>
      <c r="C1595" s="18" t="s">
        <v>3155</v>
      </c>
      <c r="D1595" s="18"/>
      <c r="E1595" s="18"/>
      <c r="F1595" s="18"/>
      <c r="G1595" s="18"/>
      <c r="H1595" s="19" t="s">
        <v>3156</v>
      </c>
      <c r="I1595" s="18" t="s">
        <v>3120</v>
      </c>
      <c r="J1595" s="20">
        <v>1</v>
      </c>
      <c r="K1595" s="20">
        <v>1.1499999999999999</v>
      </c>
      <c r="L1595" s="21" t="s">
        <v>28</v>
      </c>
      <c r="M1595" s="22">
        <v>2.8391999999999999</v>
      </c>
      <c r="N1595" s="22">
        <v>0.26519999999999999</v>
      </c>
      <c r="O1595" s="22">
        <v>1026.1554267157103</v>
      </c>
      <c r="P1595" s="22">
        <f t="shared" ref="P1595:P1623" si="298">O1595*M1595*K1595</f>
        <v>3350.4795606609314</v>
      </c>
      <c r="Q1595" s="22">
        <v>1602</v>
      </c>
      <c r="R1595" s="22">
        <f t="shared" ref="R1595:R1623" si="299">N1595*Q1595*K1595</f>
        <v>488.57795999999996</v>
      </c>
      <c r="S1595" s="22">
        <f t="shared" ref="S1595:S1623" si="300">P1595+R1595</f>
        <v>3839.0575206609315</v>
      </c>
      <c r="T1595" s="23">
        <v>0.55859868298040061</v>
      </c>
      <c r="U1595" s="24">
        <v>0.1</v>
      </c>
      <c r="V1595" s="25">
        <f t="shared" si="297"/>
        <v>6581.9049951469424</v>
      </c>
      <c r="W1595" s="26" t="s">
        <v>29</v>
      </c>
    </row>
    <row r="1596" spans="1:23" ht="89.25" x14ac:dyDescent="0.25">
      <c r="A1596" s="17">
        <f t="shared" ca="1" si="284"/>
        <v>1592</v>
      </c>
      <c r="B1596" s="18" t="s">
        <v>3076</v>
      </c>
      <c r="C1596" s="18" t="s">
        <v>3157</v>
      </c>
      <c r="D1596" s="18"/>
      <c r="E1596" s="18"/>
      <c r="F1596" s="18"/>
      <c r="G1596" s="18"/>
      <c r="H1596" s="19" t="s">
        <v>3158</v>
      </c>
      <c r="I1596" s="18" t="s">
        <v>3120</v>
      </c>
      <c r="J1596" s="20">
        <v>1</v>
      </c>
      <c r="K1596" s="20">
        <v>1.1499999999999999</v>
      </c>
      <c r="L1596" s="21" t="s">
        <v>28</v>
      </c>
      <c r="M1596" s="22">
        <v>3.4943999999999997</v>
      </c>
      <c r="N1596" s="22">
        <v>0.75719999999999998</v>
      </c>
      <c r="O1596" s="22">
        <v>1026.1554267157103</v>
      </c>
      <c r="P1596" s="22">
        <f t="shared" si="298"/>
        <v>4123.6671515826838</v>
      </c>
      <c r="Q1596" s="22">
        <v>1602</v>
      </c>
      <c r="R1596" s="22">
        <f t="shared" si="299"/>
        <v>1394.98956</v>
      </c>
      <c r="S1596" s="22">
        <f t="shared" si="300"/>
        <v>5518.6567115826838</v>
      </c>
      <c r="T1596" s="23">
        <v>0.55859868298040061</v>
      </c>
      <c r="U1596" s="24">
        <v>0.1</v>
      </c>
      <c r="V1596" s="25">
        <f t="shared" si="297"/>
        <v>9461.5081907430904</v>
      </c>
      <c r="W1596" s="26" t="s">
        <v>29</v>
      </c>
    </row>
    <row r="1597" spans="1:23" ht="89.25" x14ac:dyDescent="0.25">
      <c r="A1597" s="17">
        <f t="shared" ca="1" si="284"/>
        <v>1593</v>
      </c>
      <c r="B1597" s="18" t="s">
        <v>3076</v>
      </c>
      <c r="C1597" s="18" t="s">
        <v>3159</v>
      </c>
      <c r="D1597" s="18"/>
      <c r="E1597" s="18"/>
      <c r="F1597" s="18"/>
      <c r="G1597" s="18"/>
      <c r="H1597" s="19" t="s">
        <v>3160</v>
      </c>
      <c r="I1597" s="18" t="s">
        <v>3120</v>
      </c>
      <c r="J1597" s="20">
        <v>1</v>
      </c>
      <c r="K1597" s="20">
        <v>1.1499999999999999</v>
      </c>
      <c r="L1597" s="21" t="s">
        <v>28</v>
      </c>
      <c r="M1597" s="22">
        <v>5.3605999999999998</v>
      </c>
      <c r="N1597" s="22">
        <v>2.2343999999999999</v>
      </c>
      <c r="O1597" s="22">
        <v>1026.1554267157103</v>
      </c>
      <c r="P1597" s="22">
        <f t="shared" si="298"/>
        <v>6325.9300975200713</v>
      </c>
      <c r="Q1597" s="22">
        <v>1602</v>
      </c>
      <c r="R1597" s="22">
        <f t="shared" si="299"/>
        <v>4116.4351200000001</v>
      </c>
      <c r="S1597" s="22">
        <f t="shared" si="300"/>
        <v>10442.365217520071</v>
      </c>
      <c r="T1597" s="23">
        <v>0.55859868298040061</v>
      </c>
      <c r="U1597" s="24">
        <v>0.1</v>
      </c>
      <c r="V1597" s="25">
        <f t="shared" si="297"/>
        <v>17903.002342749842</v>
      </c>
      <c r="W1597" s="26" t="s">
        <v>29</v>
      </c>
    </row>
    <row r="1598" spans="1:23" ht="89.25" x14ac:dyDescent="0.25">
      <c r="A1598" s="17">
        <f t="shared" ca="1" si="284"/>
        <v>1594</v>
      </c>
      <c r="B1598" s="18" t="s">
        <v>3076</v>
      </c>
      <c r="C1598" s="18" t="s">
        <v>3161</v>
      </c>
      <c r="D1598" s="18"/>
      <c r="E1598" s="18"/>
      <c r="F1598" s="18"/>
      <c r="G1598" s="18"/>
      <c r="H1598" s="19" t="s">
        <v>3162</v>
      </c>
      <c r="I1598" s="18" t="s">
        <v>3120</v>
      </c>
      <c r="J1598" s="20">
        <v>1</v>
      </c>
      <c r="K1598" s="20">
        <v>1.1499999999999999</v>
      </c>
      <c r="L1598" s="21" t="s">
        <v>28</v>
      </c>
      <c r="M1598" s="22">
        <v>6.5645999999999995</v>
      </c>
      <c r="N1598" s="22">
        <v>3.1872000000000003</v>
      </c>
      <c r="O1598" s="22">
        <v>1026.1554267157103</v>
      </c>
      <c r="P1598" s="22">
        <f t="shared" si="298"/>
        <v>7746.7449013506439</v>
      </c>
      <c r="Q1598" s="22">
        <v>1602</v>
      </c>
      <c r="R1598" s="22">
        <f t="shared" si="299"/>
        <v>5871.7785599999997</v>
      </c>
      <c r="S1598" s="22">
        <f t="shared" si="300"/>
        <v>13618.523461350644</v>
      </c>
      <c r="T1598" s="23">
        <v>0.55859868298040061</v>
      </c>
      <c r="U1598" s="24">
        <v>0.1</v>
      </c>
      <c r="V1598" s="25">
        <f t="shared" si="297"/>
        <v>23348.394004098678</v>
      </c>
      <c r="W1598" s="26" t="s">
        <v>29</v>
      </c>
    </row>
    <row r="1599" spans="1:23" x14ac:dyDescent="0.25">
      <c r="A1599" s="37">
        <f t="shared" ca="1" si="284"/>
        <v>1595</v>
      </c>
      <c r="B1599" s="14" t="s">
        <v>3076</v>
      </c>
      <c r="C1599" s="14" t="s">
        <v>3163</v>
      </c>
      <c r="D1599" s="14"/>
      <c r="E1599" s="14"/>
      <c r="F1599" s="14"/>
      <c r="G1599" s="14"/>
      <c r="H1599" s="38" t="s">
        <v>3164</v>
      </c>
      <c r="I1599" s="38"/>
      <c r="J1599" s="38"/>
      <c r="K1599" s="38"/>
      <c r="L1599" s="38"/>
      <c r="M1599" s="13"/>
      <c r="N1599" s="38"/>
      <c r="O1599" s="13"/>
      <c r="P1599" s="38"/>
      <c r="Q1599" s="38"/>
      <c r="R1599" s="38"/>
      <c r="S1599" s="38"/>
      <c r="T1599" s="39"/>
      <c r="U1599" s="40"/>
      <c r="V1599" s="38"/>
      <c r="W1599" s="38"/>
    </row>
    <row r="1600" spans="1:23" ht="89.25" x14ac:dyDescent="0.25">
      <c r="A1600" s="17">
        <f t="shared" ca="1" si="284"/>
        <v>1596</v>
      </c>
      <c r="B1600" s="18" t="s">
        <v>3076</v>
      </c>
      <c r="C1600" s="18" t="s">
        <v>3165</v>
      </c>
      <c r="D1600" s="18"/>
      <c r="E1600" s="18"/>
      <c r="F1600" s="18"/>
      <c r="G1600" s="18"/>
      <c r="H1600" s="19" t="s">
        <v>3164</v>
      </c>
      <c r="I1600" s="18" t="s">
        <v>3120</v>
      </c>
      <c r="J1600" s="20">
        <v>1</v>
      </c>
      <c r="K1600" s="20">
        <v>1.1499999999999999</v>
      </c>
      <c r="L1600" s="21" t="s">
        <v>28</v>
      </c>
      <c r="M1600" s="22">
        <v>4.8916000000000004</v>
      </c>
      <c r="N1600" s="22">
        <v>3.5999999999999997E-2</v>
      </c>
      <c r="O1600" s="22">
        <v>1026.1554267157103</v>
      </c>
      <c r="P1600" s="22">
        <f t="shared" si="298"/>
        <v>5772.4731681209541</v>
      </c>
      <c r="Q1600" s="22">
        <v>1602</v>
      </c>
      <c r="R1600" s="22">
        <f t="shared" si="299"/>
        <v>66.322799999999987</v>
      </c>
      <c r="S1600" s="22">
        <f t="shared" si="300"/>
        <v>5838.7959681209541</v>
      </c>
      <c r="T1600" s="23">
        <v>0.55859868298040061</v>
      </c>
      <c r="U1600" s="24">
        <v>0.1</v>
      </c>
      <c r="V1600" s="25">
        <f t="shared" ref="V1600" si="301">S1600+S1600*T1600+(S1600+S1600*T1600)*U1600</f>
        <v>10010.373676715051</v>
      </c>
      <c r="W1600" s="26" t="s">
        <v>29</v>
      </c>
    </row>
    <row r="1601" spans="1:23" x14ac:dyDescent="0.25">
      <c r="A1601" s="37">
        <f t="shared" ca="1" si="284"/>
        <v>1597</v>
      </c>
      <c r="B1601" s="14" t="s">
        <v>3076</v>
      </c>
      <c r="C1601" s="14" t="s">
        <v>3166</v>
      </c>
      <c r="D1601" s="14"/>
      <c r="E1601" s="14"/>
      <c r="F1601" s="14"/>
      <c r="G1601" s="14"/>
      <c r="H1601" s="38" t="s">
        <v>3167</v>
      </c>
      <c r="I1601" s="38"/>
      <c r="J1601" s="38"/>
      <c r="K1601" s="38"/>
      <c r="L1601" s="38"/>
      <c r="M1601" s="13"/>
      <c r="N1601" s="38"/>
      <c r="O1601" s="13"/>
      <c r="P1601" s="38"/>
      <c r="Q1601" s="38"/>
      <c r="R1601" s="38"/>
      <c r="S1601" s="38"/>
      <c r="T1601" s="39"/>
      <c r="U1601" s="40"/>
      <c r="V1601" s="38"/>
      <c r="W1601" s="38"/>
    </row>
    <row r="1602" spans="1:23" ht="89.25" x14ac:dyDescent="0.25">
      <c r="A1602" s="17">
        <f t="shared" ca="1" si="284"/>
        <v>1598</v>
      </c>
      <c r="B1602" s="18" t="s">
        <v>3076</v>
      </c>
      <c r="C1602" s="18" t="s">
        <v>3168</v>
      </c>
      <c r="D1602" s="18"/>
      <c r="E1602" s="18"/>
      <c r="F1602" s="18"/>
      <c r="G1602" s="18"/>
      <c r="H1602" s="19" t="s">
        <v>3169</v>
      </c>
      <c r="I1602" s="18" t="s">
        <v>3120</v>
      </c>
      <c r="J1602" s="20">
        <v>1</v>
      </c>
      <c r="K1602" s="20">
        <v>1.1499999999999999</v>
      </c>
      <c r="L1602" s="21" t="s">
        <v>28</v>
      </c>
      <c r="M1602" s="22">
        <v>1.8353999999999997</v>
      </c>
      <c r="N1602" s="22">
        <v>0.66720000000000002</v>
      </c>
      <c r="O1602" s="22">
        <v>1026.1554267157103</v>
      </c>
      <c r="P1602" s="22">
        <f t="shared" si="298"/>
        <v>2165.9165207231163</v>
      </c>
      <c r="Q1602" s="22">
        <v>1602</v>
      </c>
      <c r="R1602" s="22">
        <f t="shared" si="299"/>
        <v>1229.1825599999997</v>
      </c>
      <c r="S1602" s="22">
        <f t="shared" si="300"/>
        <v>3395.099080723116</v>
      </c>
      <c r="T1602" s="23">
        <v>0.55859868298040061</v>
      </c>
      <c r="U1602" s="24">
        <v>0.1</v>
      </c>
      <c r="V1602" s="25">
        <f t="shared" ref="V1602:V1605" si="302">S1602+S1602*T1602+(S1602+S1602*T1602)*U1602</f>
        <v>5820.756651383319</v>
      </c>
      <c r="W1602" s="26" t="s">
        <v>29</v>
      </c>
    </row>
    <row r="1603" spans="1:23" ht="89.25" x14ac:dyDescent="0.25">
      <c r="A1603" s="17">
        <f t="shared" ref="A1603:A1623" ca="1" si="303">CELL("строка",A1603)-4</f>
        <v>1599</v>
      </c>
      <c r="B1603" s="18" t="s">
        <v>3076</v>
      </c>
      <c r="C1603" s="18" t="s">
        <v>3170</v>
      </c>
      <c r="D1603" s="18"/>
      <c r="E1603" s="18"/>
      <c r="F1603" s="18"/>
      <c r="G1603" s="18"/>
      <c r="H1603" s="19" t="s">
        <v>3171</v>
      </c>
      <c r="I1603" s="18" t="s">
        <v>3120</v>
      </c>
      <c r="J1603" s="20">
        <v>1</v>
      </c>
      <c r="K1603" s="20">
        <v>1.1499999999999999</v>
      </c>
      <c r="L1603" s="21" t="s">
        <v>28</v>
      </c>
      <c r="M1603" s="22">
        <v>2.5206999999999997</v>
      </c>
      <c r="N1603" s="22">
        <v>0.72599999999999998</v>
      </c>
      <c r="O1603" s="22">
        <v>1026.1554267157103</v>
      </c>
      <c r="P1603" s="22">
        <f t="shared" si="298"/>
        <v>2974.6244817406341</v>
      </c>
      <c r="Q1603" s="22">
        <v>1602</v>
      </c>
      <c r="R1603" s="22">
        <f t="shared" si="299"/>
        <v>1337.5097999999998</v>
      </c>
      <c r="S1603" s="22">
        <f t="shared" si="300"/>
        <v>4312.1342817406339</v>
      </c>
      <c r="T1603" s="23">
        <v>0.55859868298040061</v>
      </c>
      <c r="U1603" s="24">
        <v>0.1</v>
      </c>
      <c r="V1603" s="25">
        <f t="shared" si="302"/>
        <v>7392.975493591146</v>
      </c>
      <c r="W1603" s="26" t="s">
        <v>29</v>
      </c>
    </row>
    <row r="1604" spans="1:23" ht="89.25" x14ac:dyDescent="0.25">
      <c r="A1604" s="17">
        <f t="shared" ca="1" si="303"/>
        <v>1600</v>
      </c>
      <c r="B1604" s="18" t="s">
        <v>3076</v>
      </c>
      <c r="C1604" s="18" t="s">
        <v>3172</v>
      </c>
      <c r="D1604" s="18"/>
      <c r="E1604" s="18"/>
      <c r="F1604" s="18"/>
      <c r="G1604" s="18"/>
      <c r="H1604" s="19" t="s">
        <v>3173</v>
      </c>
      <c r="I1604" s="18" t="s">
        <v>3120</v>
      </c>
      <c r="J1604" s="20">
        <v>1</v>
      </c>
      <c r="K1604" s="20">
        <v>1.1499999999999999</v>
      </c>
      <c r="L1604" s="21" t="s">
        <v>28</v>
      </c>
      <c r="M1604" s="22">
        <v>2.7881</v>
      </c>
      <c r="N1604" s="22">
        <v>0.72</v>
      </c>
      <c r="O1604" s="22">
        <v>1026.1554267157103</v>
      </c>
      <c r="P1604" s="22">
        <f t="shared" si="298"/>
        <v>3290.1775370099826</v>
      </c>
      <c r="Q1604" s="22">
        <v>1602</v>
      </c>
      <c r="R1604" s="22">
        <f t="shared" si="299"/>
        <v>1326.4559999999999</v>
      </c>
      <c r="S1604" s="22">
        <f t="shared" si="300"/>
        <v>4616.6335370099823</v>
      </c>
      <c r="T1604" s="23">
        <v>0.55859868298040061</v>
      </c>
      <c r="U1604" s="24">
        <v>0.1</v>
      </c>
      <c r="V1604" s="25">
        <f t="shared" si="302"/>
        <v>7915.0268456455979</v>
      </c>
      <c r="W1604" s="26" t="s">
        <v>29</v>
      </c>
    </row>
    <row r="1605" spans="1:23" ht="89.25" x14ac:dyDescent="0.25">
      <c r="A1605" s="17">
        <f t="shared" ca="1" si="303"/>
        <v>1601</v>
      </c>
      <c r="B1605" s="18" t="s">
        <v>3076</v>
      </c>
      <c r="C1605" s="18" t="s">
        <v>3174</v>
      </c>
      <c r="D1605" s="18"/>
      <c r="E1605" s="18"/>
      <c r="F1605" s="18"/>
      <c r="G1605" s="18"/>
      <c r="H1605" s="19" t="s">
        <v>3175</v>
      </c>
      <c r="I1605" s="18" t="s">
        <v>3120</v>
      </c>
      <c r="J1605" s="20">
        <v>1</v>
      </c>
      <c r="K1605" s="20">
        <v>1.1499999999999999</v>
      </c>
      <c r="L1605" s="21" t="s">
        <v>28</v>
      </c>
      <c r="M1605" s="22">
        <v>3.2235</v>
      </c>
      <c r="N1605" s="22">
        <v>0.82800000000000007</v>
      </c>
      <c r="O1605" s="22">
        <v>1026.1554267157103</v>
      </c>
      <c r="P1605" s="22">
        <f t="shared" si="298"/>
        <v>3803.9838207208059</v>
      </c>
      <c r="Q1605" s="22">
        <v>1602</v>
      </c>
      <c r="R1605" s="22">
        <f t="shared" si="299"/>
        <v>1525.4244000000001</v>
      </c>
      <c r="S1605" s="22">
        <f t="shared" si="300"/>
        <v>5329.4082207208057</v>
      </c>
      <c r="T1605" s="23">
        <v>0.55859868298040061</v>
      </c>
      <c r="U1605" s="24">
        <v>0.1</v>
      </c>
      <c r="V1605" s="25">
        <f t="shared" si="302"/>
        <v>9137.0494972684046</v>
      </c>
      <c r="W1605" s="26" t="s">
        <v>29</v>
      </c>
    </row>
    <row r="1606" spans="1:23" x14ac:dyDescent="0.25">
      <c r="A1606" s="12">
        <f t="shared" ca="1" si="303"/>
        <v>1602</v>
      </c>
      <c r="B1606" s="13" t="s">
        <v>3076</v>
      </c>
      <c r="C1606" s="13" t="s">
        <v>3176</v>
      </c>
      <c r="D1606" s="13"/>
      <c r="E1606" s="13"/>
      <c r="F1606" s="13"/>
      <c r="G1606" s="13"/>
      <c r="H1606" s="15" t="s">
        <v>3177</v>
      </c>
      <c r="I1606" s="15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27"/>
      <c r="U1606" s="16"/>
      <c r="V1606" s="13"/>
      <c r="W1606" s="13"/>
    </row>
    <row r="1607" spans="1:23" x14ac:dyDescent="0.25">
      <c r="A1607" s="37">
        <f t="shared" ca="1" si="303"/>
        <v>1603</v>
      </c>
      <c r="B1607" s="14" t="s">
        <v>3076</v>
      </c>
      <c r="C1607" s="14" t="s">
        <v>3178</v>
      </c>
      <c r="D1607" s="14"/>
      <c r="E1607" s="14"/>
      <c r="F1607" s="14"/>
      <c r="G1607" s="14"/>
      <c r="H1607" s="38" t="s">
        <v>3179</v>
      </c>
      <c r="I1607" s="38"/>
      <c r="J1607" s="38"/>
      <c r="K1607" s="38"/>
      <c r="L1607" s="38"/>
      <c r="M1607" s="13"/>
      <c r="N1607" s="38"/>
      <c r="O1607" s="13"/>
      <c r="P1607" s="38"/>
      <c r="Q1607" s="38"/>
      <c r="R1607" s="38"/>
      <c r="S1607" s="38"/>
      <c r="T1607" s="39"/>
      <c r="U1607" s="40"/>
      <c r="V1607" s="38"/>
      <c r="W1607" s="38"/>
    </row>
    <row r="1608" spans="1:23" ht="89.25" x14ac:dyDescent="0.25">
      <c r="A1608" s="17">
        <f t="shared" ca="1" si="303"/>
        <v>1604</v>
      </c>
      <c r="B1608" s="18" t="s">
        <v>3076</v>
      </c>
      <c r="C1608" s="18" t="s">
        <v>3180</v>
      </c>
      <c r="D1608" s="18"/>
      <c r="E1608" s="18"/>
      <c r="F1608" s="18"/>
      <c r="G1608" s="18"/>
      <c r="H1608" s="19" t="s">
        <v>3181</v>
      </c>
      <c r="I1608" s="18" t="s">
        <v>161</v>
      </c>
      <c r="J1608" s="20">
        <v>1</v>
      </c>
      <c r="K1608" s="20">
        <v>1.1499999999999999</v>
      </c>
      <c r="L1608" s="21" t="s">
        <v>28</v>
      </c>
      <c r="M1608" s="22">
        <v>1.4699999999999998</v>
      </c>
      <c r="N1608" s="22">
        <v>0.03</v>
      </c>
      <c r="O1608" s="22">
        <v>1026.1554267157103</v>
      </c>
      <c r="P1608" s="22">
        <f t="shared" si="298"/>
        <v>1734.715748862908</v>
      </c>
      <c r="Q1608" s="22">
        <v>1602</v>
      </c>
      <c r="R1608" s="22">
        <f t="shared" si="299"/>
        <v>55.268999999999991</v>
      </c>
      <c r="S1608" s="22">
        <f t="shared" si="300"/>
        <v>1789.984748862908</v>
      </c>
      <c r="T1608" s="23">
        <v>0.55859868298040061</v>
      </c>
      <c r="U1608" s="24">
        <v>0.1</v>
      </c>
      <c r="V1608" s="25">
        <f t="shared" ref="V1608:V1610" si="304">S1608+S1608*T1608+(S1608+S1608*T1608)*U1608</f>
        <v>3068.8546593460046</v>
      </c>
      <c r="W1608" s="26" t="s">
        <v>29</v>
      </c>
    </row>
    <row r="1609" spans="1:23" ht="89.25" x14ac:dyDescent="0.25">
      <c r="A1609" s="17">
        <f t="shared" ca="1" si="303"/>
        <v>1605</v>
      </c>
      <c r="B1609" s="18" t="s">
        <v>3076</v>
      </c>
      <c r="C1609" s="18" t="s">
        <v>3182</v>
      </c>
      <c r="D1609" s="18"/>
      <c r="E1609" s="18"/>
      <c r="F1609" s="18"/>
      <c r="G1609" s="18"/>
      <c r="H1609" s="19" t="s">
        <v>3183</v>
      </c>
      <c r="I1609" s="18" t="s">
        <v>161</v>
      </c>
      <c r="J1609" s="20">
        <v>1</v>
      </c>
      <c r="K1609" s="20">
        <v>1.1499999999999999</v>
      </c>
      <c r="L1609" s="21" t="s">
        <v>28</v>
      </c>
      <c r="M1609" s="22">
        <v>2.2469999999999999</v>
      </c>
      <c r="N1609" s="22">
        <v>0.03</v>
      </c>
      <c r="O1609" s="22">
        <v>1026.1554267157103</v>
      </c>
      <c r="P1609" s="22">
        <f t="shared" si="298"/>
        <v>2651.6369304047307</v>
      </c>
      <c r="Q1609" s="22">
        <v>1602</v>
      </c>
      <c r="R1609" s="22">
        <f t="shared" si="299"/>
        <v>55.268999999999991</v>
      </c>
      <c r="S1609" s="22">
        <f t="shared" si="300"/>
        <v>2706.9059304047305</v>
      </c>
      <c r="T1609" s="23">
        <v>0.55859868298040061</v>
      </c>
      <c r="U1609" s="24">
        <v>0.1</v>
      </c>
      <c r="V1609" s="25">
        <f t="shared" si="304"/>
        <v>4640.8780198887134</v>
      </c>
      <c r="W1609" s="26" t="s">
        <v>29</v>
      </c>
    </row>
    <row r="1610" spans="1:23" ht="89.25" x14ac:dyDescent="0.25">
      <c r="A1610" s="17">
        <f t="shared" ca="1" si="303"/>
        <v>1606</v>
      </c>
      <c r="B1610" s="18" t="s">
        <v>3076</v>
      </c>
      <c r="C1610" s="18" t="s">
        <v>3184</v>
      </c>
      <c r="D1610" s="18"/>
      <c r="E1610" s="18"/>
      <c r="F1610" s="18"/>
      <c r="G1610" s="18"/>
      <c r="H1610" s="19" t="s">
        <v>3185</v>
      </c>
      <c r="I1610" s="18" t="s">
        <v>161</v>
      </c>
      <c r="J1610" s="20">
        <v>1</v>
      </c>
      <c r="K1610" s="20">
        <v>1.1499999999999999</v>
      </c>
      <c r="L1610" s="21" t="s">
        <v>28</v>
      </c>
      <c r="M1610" s="22">
        <v>4.2699999999999996</v>
      </c>
      <c r="N1610" s="22">
        <v>6.6000000000000003E-2</v>
      </c>
      <c r="O1610" s="22">
        <v>1026.1554267157103</v>
      </c>
      <c r="P1610" s="22">
        <f t="shared" si="298"/>
        <v>5038.9362228874943</v>
      </c>
      <c r="Q1610" s="22">
        <v>1602</v>
      </c>
      <c r="R1610" s="22">
        <f t="shared" si="299"/>
        <v>121.59179999999999</v>
      </c>
      <c r="S1610" s="22">
        <f t="shared" si="300"/>
        <v>5160.5280228874944</v>
      </c>
      <c r="T1610" s="23">
        <v>0.55859868298040061</v>
      </c>
      <c r="U1610" s="24">
        <v>0.1</v>
      </c>
      <c r="V1610" s="25">
        <f t="shared" si="304"/>
        <v>8847.5113979514899</v>
      </c>
      <c r="W1610" s="26" t="s">
        <v>29</v>
      </c>
    </row>
    <row r="1611" spans="1:23" x14ac:dyDescent="0.25">
      <c r="A1611" s="37">
        <f t="shared" ca="1" si="303"/>
        <v>1607</v>
      </c>
      <c r="B1611" s="14" t="s">
        <v>3076</v>
      </c>
      <c r="C1611" s="14" t="s">
        <v>3186</v>
      </c>
      <c r="D1611" s="14"/>
      <c r="E1611" s="14"/>
      <c r="F1611" s="14"/>
      <c r="G1611" s="14"/>
      <c r="H1611" s="38" t="s">
        <v>3187</v>
      </c>
      <c r="I1611" s="38"/>
      <c r="J1611" s="38"/>
      <c r="K1611" s="38"/>
      <c r="L1611" s="38"/>
      <c r="M1611" s="13"/>
      <c r="N1611" s="38"/>
      <c r="O1611" s="13"/>
      <c r="P1611" s="38"/>
      <c r="Q1611" s="38"/>
      <c r="R1611" s="38"/>
      <c r="S1611" s="38"/>
      <c r="T1611" s="39"/>
      <c r="U1611" s="40"/>
      <c r="V1611" s="38"/>
      <c r="W1611" s="38"/>
    </row>
    <row r="1612" spans="1:23" ht="89.25" x14ac:dyDescent="0.25">
      <c r="A1612" s="17">
        <f t="shared" ca="1" si="303"/>
        <v>1608</v>
      </c>
      <c r="B1612" s="18" t="s">
        <v>3076</v>
      </c>
      <c r="C1612" s="18" t="s">
        <v>3188</v>
      </c>
      <c r="D1612" s="18"/>
      <c r="E1612" s="18"/>
      <c r="F1612" s="18"/>
      <c r="G1612" s="18"/>
      <c r="H1612" s="19" t="s">
        <v>3189</v>
      </c>
      <c r="I1612" s="18" t="s">
        <v>161</v>
      </c>
      <c r="J1612" s="20">
        <v>1</v>
      </c>
      <c r="K1612" s="20">
        <v>1.1499999999999999</v>
      </c>
      <c r="L1612" s="21" t="s">
        <v>28</v>
      </c>
      <c r="M1612" s="22">
        <v>0.14280000000000001</v>
      </c>
      <c r="N1612" s="22">
        <v>1.1999999999999999E-3</v>
      </c>
      <c r="O1612" s="22">
        <v>1026.1554267157103</v>
      </c>
      <c r="P1612" s="22">
        <f t="shared" si="298"/>
        <v>168.51524417525397</v>
      </c>
      <c r="Q1612" s="22">
        <v>1602</v>
      </c>
      <c r="R1612" s="22">
        <f t="shared" si="299"/>
        <v>2.2107599999999996</v>
      </c>
      <c r="S1612" s="22">
        <f t="shared" si="300"/>
        <v>170.72600417525396</v>
      </c>
      <c r="T1612" s="23">
        <v>0.55859868298040061</v>
      </c>
      <c r="U1612" s="24">
        <v>0.1</v>
      </c>
      <c r="V1612" s="25">
        <f t="shared" ref="V1612:V1619" si="305">S1612+S1612*T1612+(S1612+S1612*T1612)*U1612</f>
        <v>292.70265778386295</v>
      </c>
      <c r="W1612" s="26" t="s">
        <v>29</v>
      </c>
    </row>
    <row r="1613" spans="1:23" ht="89.25" x14ac:dyDescent="0.25">
      <c r="A1613" s="17">
        <f t="shared" ca="1" si="303"/>
        <v>1609</v>
      </c>
      <c r="B1613" s="18" t="s">
        <v>3076</v>
      </c>
      <c r="C1613" s="18" t="s">
        <v>3190</v>
      </c>
      <c r="D1613" s="18"/>
      <c r="E1613" s="18"/>
      <c r="F1613" s="18"/>
      <c r="G1613" s="18"/>
      <c r="H1613" s="19" t="s">
        <v>3191</v>
      </c>
      <c r="I1613" s="18" t="s">
        <v>161</v>
      </c>
      <c r="J1613" s="20">
        <v>1</v>
      </c>
      <c r="K1613" s="20">
        <v>1.1499999999999999</v>
      </c>
      <c r="L1613" s="21" t="s">
        <v>28</v>
      </c>
      <c r="M1613" s="22">
        <v>0.23379999999999995</v>
      </c>
      <c r="N1613" s="22">
        <v>1.8E-3</v>
      </c>
      <c r="O1613" s="22">
        <v>1026.1554267157103</v>
      </c>
      <c r="P1613" s="22">
        <f t="shared" si="298"/>
        <v>275.90240958105295</v>
      </c>
      <c r="Q1613" s="22">
        <v>1602</v>
      </c>
      <c r="R1613" s="22">
        <f t="shared" si="299"/>
        <v>3.3161399999999999</v>
      </c>
      <c r="S1613" s="22">
        <f t="shared" si="300"/>
        <v>279.21854958105297</v>
      </c>
      <c r="T1613" s="23">
        <v>0.55859868298040061</v>
      </c>
      <c r="U1613" s="24">
        <v>0.1</v>
      </c>
      <c r="V1613" s="25">
        <f t="shared" si="305"/>
        <v>478.70863000479955</v>
      </c>
      <c r="W1613" s="26" t="s">
        <v>29</v>
      </c>
    </row>
    <row r="1614" spans="1:23" ht="89.25" x14ac:dyDescent="0.25">
      <c r="A1614" s="17">
        <f t="shared" ca="1" si="303"/>
        <v>1610</v>
      </c>
      <c r="B1614" s="18" t="s">
        <v>3076</v>
      </c>
      <c r="C1614" s="18" t="s">
        <v>3192</v>
      </c>
      <c r="D1614" s="18"/>
      <c r="E1614" s="18"/>
      <c r="F1614" s="18"/>
      <c r="G1614" s="18"/>
      <c r="H1614" s="19" t="s">
        <v>3193</v>
      </c>
      <c r="I1614" s="18" t="s">
        <v>161</v>
      </c>
      <c r="J1614" s="20">
        <v>1</v>
      </c>
      <c r="K1614" s="20">
        <v>1.1499999999999999</v>
      </c>
      <c r="L1614" s="21" t="s">
        <v>28</v>
      </c>
      <c r="M1614" s="22">
        <v>0.24779999999999996</v>
      </c>
      <c r="N1614" s="22">
        <v>1.8E-3</v>
      </c>
      <c r="O1614" s="22">
        <v>1026.1554267157103</v>
      </c>
      <c r="P1614" s="22">
        <f t="shared" si="298"/>
        <v>292.4235119511759</v>
      </c>
      <c r="Q1614" s="22">
        <v>1602</v>
      </c>
      <c r="R1614" s="22">
        <f t="shared" si="299"/>
        <v>3.3161399999999999</v>
      </c>
      <c r="S1614" s="22">
        <f t="shared" si="300"/>
        <v>295.73965195117592</v>
      </c>
      <c r="T1614" s="23">
        <v>0.55859868298040061</v>
      </c>
      <c r="U1614" s="24">
        <v>0.1</v>
      </c>
      <c r="V1614" s="25">
        <f t="shared" si="305"/>
        <v>507.03337523980332</v>
      </c>
      <c r="W1614" s="26" t="s">
        <v>29</v>
      </c>
    </row>
    <row r="1615" spans="1:23" ht="89.25" x14ac:dyDescent="0.25">
      <c r="A1615" s="17">
        <f t="shared" ca="1" si="303"/>
        <v>1611</v>
      </c>
      <c r="B1615" s="18" t="s">
        <v>3076</v>
      </c>
      <c r="C1615" s="18" t="s">
        <v>3194</v>
      </c>
      <c r="D1615" s="18"/>
      <c r="E1615" s="18"/>
      <c r="F1615" s="18"/>
      <c r="G1615" s="18"/>
      <c r="H1615" s="19" t="s">
        <v>3195</v>
      </c>
      <c r="I1615" s="18" t="s">
        <v>161</v>
      </c>
      <c r="J1615" s="20">
        <v>1</v>
      </c>
      <c r="K1615" s="20">
        <v>1.1499999999999999</v>
      </c>
      <c r="L1615" s="21" t="s">
        <v>28</v>
      </c>
      <c r="M1615" s="22">
        <v>0.42979999999999996</v>
      </c>
      <c r="N1615" s="22">
        <v>3.5999999999999999E-3</v>
      </c>
      <c r="O1615" s="22">
        <v>1026.1554267157103</v>
      </c>
      <c r="P1615" s="22">
        <f t="shared" si="298"/>
        <v>507.19784276277403</v>
      </c>
      <c r="Q1615" s="22">
        <v>1602</v>
      </c>
      <c r="R1615" s="22">
        <f t="shared" si="299"/>
        <v>6.6322799999999997</v>
      </c>
      <c r="S1615" s="22">
        <f t="shared" si="300"/>
        <v>513.83012276277407</v>
      </c>
      <c r="T1615" s="23">
        <v>0.55859868298040061</v>
      </c>
      <c r="U1615" s="24">
        <v>0.1</v>
      </c>
      <c r="V1615" s="25">
        <f t="shared" si="305"/>
        <v>880.94044787508892</v>
      </c>
      <c r="W1615" s="26" t="s">
        <v>29</v>
      </c>
    </row>
    <row r="1616" spans="1:23" ht="89.25" x14ac:dyDescent="0.25">
      <c r="A1616" s="17">
        <f t="shared" ca="1" si="303"/>
        <v>1612</v>
      </c>
      <c r="B1616" s="18" t="s">
        <v>3076</v>
      </c>
      <c r="C1616" s="18" t="s">
        <v>3196</v>
      </c>
      <c r="D1616" s="18"/>
      <c r="E1616" s="18"/>
      <c r="F1616" s="18"/>
      <c r="G1616" s="18"/>
      <c r="H1616" s="19" t="s">
        <v>3197</v>
      </c>
      <c r="I1616" s="18" t="s">
        <v>161</v>
      </c>
      <c r="J1616" s="20">
        <v>1</v>
      </c>
      <c r="K1616" s="20">
        <v>1.1499999999999999</v>
      </c>
      <c r="L1616" s="21" t="s">
        <v>28</v>
      </c>
      <c r="M1616" s="22">
        <v>0.24919999999999998</v>
      </c>
      <c r="N1616" s="22">
        <v>9.1799999999999993E-2</v>
      </c>
      <c r="O1616" s="22">
        <v>1026.1554267157103</v>
      </c>
      <c r="P1616" s="22">
        <f t="shared" si="298"/>
        <v>294.07562218818822</v>
      </c>
      <c r="Q1616" s="22">
        <v>1602</v>
      </c>
      <c r="R1616" s="22">
        <f t="shared" si="299"/>
        <v>169.12313999999995</v>
      </c>
      <c r="S1616" s="22">
        <f t="shared" si="300"/>
        <v>463.1987621881882</v>
      </c>
      <c r="T1616" s="23">
        <v>0.55859868298040061</v>
      </c>
      <c r="U1616" s="24">
        <v>0.1</v>
      </c>
      <c r="V1616" s="25">
        <f t="shared" si="305"/>
        <v>794.13507877512814</v>
      </c>
      <c r="W1616" s="26" t="s">
        <v>29</v>
      </c>
    </row>
    <row r="1617" spans="1:23" ht="89.25" x14ac:dyDescent="0.25">
      <c r="A1617" s="17">
        <f t="shared" ca="1" si="303"/>
        <v>1613</v>
      </c>
      <c r="B1617" s="18" t="s">
        <v>3076</v>
      </c>
      <c r="C1617" s="18" t="s">
        <v>3198</v>
      </c>
      <c r="D1617" s="18"/>
      <c r="E1617" s="18"/>
      <c r="F1617" s="18"/>
      <c r="G1617" s="18"/>
      <c r="H1617" s="19" t="s">
        <v>3199</v>
      </c>
      <c r="I1617" s="18" t="s">
        <v>161</v>
      </c>
      <c r="J1617" s="20">
        <v>1</v>
      </c>
      <c r="K1617" s="20">
        <v>1.1499999999999999</v>
      </c>
      <c r="L1617" s="21" t="s">
        <v>28</v>
      </c>
      <c r="M1617" s="22">
        <v>0.43329999999999996</v>
      </c>
      <c r="N1617" s="22">
        <v>0.17040000000000002</v>
      </c>
      <c r="O1617" s="22">
        <v>1026.1554267157103</v>
      </c>
      <c r="P1617" s="22">
        <f t="shared" si="298"/>
        <v>511.32811835530475</v>
      </c>
      <c r="Q1617" s="22">
        <v>1602</v>
      </c>
      <c r="R1617" s="22">
        <f t="shared" si="299"/>
        <v>313.92792000000003</v>
      </c>
      <c r="S1617" s="22">
        <f t="shared" si="300"/>
        <v>825.25603835530478</v>
      </c>
      <c r="T1617" s="23">
        <v>0.55859868298040061</v>
      </c>
      <c r="U1617" s="24">
        <v>0.1</v>
      </c>
      <c r="V1617" s="25">
        <f t="shared" si="305"/>
        <v>1414.8672719524211</v>
      </c>
      <c r="W1617" s="26" t="s">
        <v>29</v>
      </c>
    </row>
    <row r="1618" spans="1:23" ht="89.25" x14ac:dyDescent="0.25">
      <c r="A1618" s="17">
        <f t="shared" ca="1" si="303"/>
        <v>1614</v>
      </c>
      <c r="B1618" s="18" t="s">
        <v>3076</v>
      </c>
      <c r="C1618" s="18" t="s">
        <v>3200</v>
      </c>
      <c r="D1618" s="18"/>
      <c r="E1618" s="18"/>
      <c r="F1618" s="18"/>
      <c r="G1618" s="18"/>
      <c r="H1618" s="19" t="s">
        <v>3201</v>
      </c>
      <c r="I1618" s="18" t="s">
        <v>161</v>
      </c>
      <c r="J1618" s="20">
        <v>1</v>
      </c>
      <c r="K1618" s="20">
        <v>1.1499999999999999</v>
      </c>
      <c r="L1618" s="21" t="s">
        <v>28</v>
      </c>
      <c r="M1618" s="22">
        <v>0.29119999999999996</v>
      </c>
      <c r="N1618" s="22">
        <v>0.10919999999999999</v>
      </c>
      <c r="O1618" s="22">
        <v>1026.1554267157103</v>
      </c>
      <c r="P1618" s="22">
        <f t="shared" si="298"/>
        <v>343.638929298557</v>
      </c>
      <c r="Q1618" s="22">
        <v>1602</v>
      </c>
      <c r="R1618" s="22">
        <f t="shared" si="299"/>
        <v>201.17915999999997</v>
      </c>
      <c r="S1618" s="22">
        <f t="shared" si="300"/>
        <v>544.81808929855697</v>
      </c>
      <c r="T1618" s="23">
        <v>0.55859868298040061</v>
      </c>
      <c r="U1618" s="24">
        <v>0.1</v>
      </c>
      <c r="V1618" s="25">
        <f t="shared" si="305"/>
        <v>934.06803208909207</v>
      </c>
      <c r="W1618" s="26" t="s">
        <v>29</v>
      </c>
    </row>
    <row r="1619" spans="1:23" ht="89.25" x14ac:dyDescent="0.25">
      <c r="A1619" s="17">
        <f t="shared" ca="1" si="303"/>
        <v>1615</v>
      </c>
      <c r="B1619" s="18" t="s">
        <v>3076</v>
      </c>
      <c r="C1619" s="18" t="s">
        <v>3202</v>
      </c>
      <c r="D1619" s="18"/>
      <c r="E1619" s="18"/>
      <c r="F1619" s="18"/>
      <c r="G1619" s="18"/>
      <c r="H1619" s="19" t="s">
        <v>3203</v>
      </c>
      <c r="I1619" s="18" t="s">
        <v>161</v>
      </c>
      <c r="J1619" s="20">
        <v>1</v>
      </c>
      <c r="K1619" s="20">
        <v>1.1499999999999999</v>
      </c>
      <c r="L1619" s="21" t="s">
        <v>28</v>
      </c>
      <c r="M1619" s="22">
        <v>0.51170000000000004</v>
      </c>
      <c r="N1619" s="22">
        <v>0.20400000000000001</v>
      </c>
      <c r="O1619" s="22">
        <v>1026.1554267157103</v>
      </c>
      <c r="P1619" s="22">
        <f t="shared" si="298"/>
        <v>603.84629162799331</v>
      </c>
      <c r="Q1619" s="22">
        <v>1602</v>
      </c>
      <c r="R1619" s="22">
        <f t="shared" si="299"/>
        <v>375.82920000000001</v>
      </c>
      <c r="S1619" s="22">
        <f t="shared" si="300"/>
        <v>979.67549162799332</v>
      </c>
      <c r="T1619" s="23">
        <v>0.55859868298040061</v>
      </c>
      <c r="U1619" s="24">
        <v>0.1</v>
      </c>
      <c r="V1619" s="25">
        <f t="shared" si="305"/>
        <v>1679.6130240995235</v>
      </c>
      <c r="W1619" s="26" t="s">
        <v>29</v>
      </c>
    </row>
    <row r="1620" spans="1:23" x14ac:dyDescent="0.25">
      <c r="A1620" s="28">
        <f t="shared" ca="1" si="303"/>
        <v>1616</v>
      </c>
      <c r="B1620" s="9" t="s">
        <v>3076</v>
      </c>
      <c r="C1620" s="9" t="s">
        <v>3204</v>
      </c>
      <c r="D1620" s="9"/>
      <c r="E1620" s="9"/>
      <c r="F1620" s="9"/>
      <c r="G1620" s="9"/>
      <c r="H1620" s="10" t="s">
        <v>3205</v>
      </c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29"/>
      <c r="U1620" s="11"/>
      <c r="V1620" s="9"/>
      <c r="W1620" s="9"/>
    </row>
    <row r="1621" spans="1:23" x14ac:dyDescent="0.25">
      <c r="A1621" s="12">
        <f t="shared" ca="1" si="303"/>
        <v>1617</v>
      </c>
      <c r="B1621" s="13" t="s">
        <v>3076</v>
      </c>
      <c r="C1621" s="13" t="s">
        <v>3206</v>
      </c>
      <c r="D1621" s="13"/>
      <c r="E1621" s="13"/>
      <c r="F1621" s="13"/>
      <c r="G1621" s="13"/>
      <c r="H1621" s="15" t="s">
        <v>3207</v>
      </c>
      <c r="I1621" s="15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27"/>
      <c r="U1621" s="16"/>
      <c r="V1621" s="13"/>
      <c r="W1621" s="13"/>
    </row>
    <row r="1622" spans="1:23" x14ac:dyDescent="0.25">
      <c r="A1622" s="37">
        <f t="shared" ca="1" si="303"/>
        <v>1618</v>
      </c>
      <c r="B1622" s="14" t="s">
        <v>3076</v>
      </c>
      <c r="C1622" s="14" t="s">
        <v>3208</v>
      </c>
      <c r="D1622" s="14"/>
      <c r="E1622" s="14"/>
      <c r="F1622" s="14"/>
      <c r="G1622" s="14"/>
      <c r="H1622" s="38" t="s">
        <v>3207</v>
      </c>
      <c r="I1622" s="38"/>
      <c r="J1622" s="38"/>
      <c r="K1622" s="38"/>
      <c r="L1622" s="38"/>
      <c r="M1622" s="13"/>
      <c r="N1622" s="38"/>
      <c r="O1622" s="13"/>
      <c r="P1622" s="38"/>
      <c r="Q1622" s="38"/>
      <c r="R1622" s="38"/>
      <c r="S1622" s="38"/>
      <c r="T1622" s="39"/>
      <c r="U1622" s="40"/>
      <c r="V1622" s="38"/>
      <c r="W1622" s="38"/>
    </row>
    <row r="1623" spans="1:23" x14ac:dyDescent="0.25">
      <c r="A1623" s="17">
        <f t="shared" ca="1" si="303"/>
        <v>1619</v>
      </c>
      <c r="B1623" s="18" t="s">
        <v>3076</v>
      </c>
      <c r="C1623" s="18" t="s">
        <v>3209</v>
      </c>
      <c r="D1623" s="18"/>
      <c r="E1623" s="18"/>
      <c r="F1623" s="18"/>
      <c r="G1623" s="18"/>
      <c r="H1623" s="19" t="s">
        <v>3210</v>
      </c>
      <c r="I1623" s="18" t="s">
        <v>3211</v>
      </c>
      <c r="J1623" s="20">
        <v>1</v>
      </c>
      <c r="K1623" s="20">
        <v>1</v>
      </c>
      <c r="L1623" s="21"/>
      <c r="M1623" s="22">
        <v>0</v>
      </c>
      <c r="N1623" s="22">
        <v>9.5999999999999992E-3</v>
      </c>
      <c r="O1623" s="22">
        <v>1026.1554267157103</v>
      </c>
      <c r="P1623" s="22">
        <f t="shared" si="298"/>
        <v>0</v>
      </c>
      <c r="Q1623" s="22">
        <v>1602</v>
      </c>
      <c r="R1623" s="22">
        <f t="shared" si="299"/>
        <v>15.379199999999999</v>
      </c>
      <c r="S1623" s="22">
        <f t="shared" si="300"/>
        <v>15.379199999999999</v>
      </c>
      <c r="T1623" s="23">
        <v>0.55859868298040061</v>
      </c>
      <c r="U1623" s="24">
        <v>0.1</v>
      </c>
      <c r="V1623" s="25">
        <f t="shared" ref="V1623" si="306">S1623+S1623*T1623+(S1623+S1623*T1623)*U1623</f>
        <v>26.367000951821396</v>
      </c>
      <c r="W1623" s="26" t="s">
        <v>29</v>
      </c>
    </row>
    <row r="1624" spans="1:23" x14ac:dyDescent="0.25">
      <c r="A1624" s="41"/>
      <c r="B1624" s="41"/>
      <c r="C1624" s="41"/>
      <c r="D1624" s="41"/>
      <c r="E1624" s="41"/>
      <c r="F1624" s="41"/>
      <c r="G1624" s="41"/>
      <c r="H1624" s="41"/>
      <c r="I1624" s="41"/>
      <c r="J1624" s="41"/>
      <c r="K1624" s="41"/>
      <c r="L1624" s="42"/>
      <c r="M1624" s="41"/>
      <c r="N1624" s="41"/>
      <c r="O1624" s="41"/>
      <c r="P1624" s="41"/>
      <c r="Q1624" s="41"/>
      <c r="R1624" s="41"/>
      <c r="S1624" s="41"/>
      <c r="T1624" s="41"/>
      <c r="U1624" s="41"/>
      <c r="V1624" s="41"/>
      <c r="W1624" s="43"/>
    </row>
    <row r="1625" spans="1:23" x14ac:dyDescent="0.25">
      <c r="A1625" s="44">
        <f ca="1">A1623+1</f>
        <v>1620</v>
      </c>
      <c r="B1625" s="45"/>
      <c r="C1625" s="45"/>
      <c r="D1625" s="45"/>
      <c r="E1625" s="45"/>
      <c r="F1625" s="45"/>
      <c r="G1625" s="45"/>
      <c r="H1625" s="46" t="s">
        <v>3212</v>
      </c>
      <c r="I1625" s="6"/>
      <c r="J1625" s="6"/>
      <c r="K1625" s="6"/>
      <c r="L1625" s="6"/>
      <c r="M1625" s="47"/>
      <c r="N1625" s="47"/>
      <c r="O1625" s="47"/>
      <c r="P1625" s="47"/>
      <c r="Q1625" s="47"/>
      <c r="R1625" s="47"/>
      <c r="S1625" s="47"/>
      <c r="T1625" s="48"/>
      <c r="U1625" s="48"/>
      <c r="V1625" s="47"/>
      <c r="W1625" s="49"/>
    </row>
    <row r="1626" spans="1:23" ht="25.5" x14ac:dyDescent="0.25">
      <c r="A1626" s="50">
        <f ca="1">A1625+1</f>
        <v>1621</v>
      </c>
      <c r="B1626" s="51" t="s">
        <v>1245</v>
      </c>
      <c r="C1626" s="51" t="s">
        <v>3213</v>
      </c>
      <c r="D1626" s="51"/>
      <c r="E1626" s="51"/>
      <c r="F1626" s="51"/>
      <c r="G1626" s="51"/>
      <c r="H1626" s="52" t="s">
        <v>3214</v>
      </c>
      <c r="I1626" s="53" t="s">
        <v>115</v>
      </c>
      <c r="J1626" s="53">
        <v>1</v>
      </c>
      <c r="K1626" s="53">
        <v>1.1499999999999999</v>
      </c>
      <c r="L1626" s="54" t="s">
        <v>3215</v>
      </c>
      <c r="M1626" s="55">
        <v>155.31100000000001</v>
      </c>
      <c r="N1626" s="55">
        <v>1.653</v>
      </c>
      <c r="O1626" s="55">
        <v>1007.61</v>
      </c>
      <c r="P1626" s="56">
        <f t="shared" ref="P1626:P1707" si="307">O1626*M1626*K1626</f>
        <v>179966.85421650001</v>
      </c>
      <c r="Q1626" s="55">
        <v>2922.65</v>
      </c>
      <c r="R1626" s="56">
        <f t="shared" ref="R1626:R1707" si="308">N1626*Q1626*K1626</f>
        <v>5555.8115174999994</v>
      </c>
      <c r="S1626" s="56">
        <f t="shared" ref="S1626:S1707" si="309">P1626+R1626</f>
        <v>185522.66573400001</v>
      </c>
      <c r="T1626" s="57">
        <f>$T$8</f>
        <v>0.55859868298040061</v>
      </c>
      <c r="U1626" s="57">
        <f>$U$8</f>
        <v>0.1</v>
      </c>
      <c r="V1626" s="55">
        <f t="shared" ref="V1626:V1707" si="310">S1626+S1626*T1626+(S1626+S1626*T1626)*U1626</f>
        <v>318070.92072362802</v>
      </c>
      <c r="W1626" s="58" t="s">
        <v>3216</v>
      </c>
    </row>
    <row r="1627" spans="1:23" x14ac:dyDescent="0.25">
      <c r="A1627" s="50">
        <f t="shared" ref="A1627:A1690" ca="1" si="311">A1626+1</f>
        <v>1622</v>
      </c>
      <c r="B1627" s="51" t="s">
        <v>1245</v>
      </c>
      <c r="C1627" s="51" t="s">
        <v>3217</v>
      </c>
      <c r="D1627" s="51"/>
      <c r="E1627" s="51"/>
      <c r="F1627" s="51"/>
      <c r="G1627" s="51"/>
      <c r="H1627" s="52" t="s">
        <v>3218</v>
      </c>
      <c r="I1627" s="53" t="s">
        <v>104</v>
      </c>
      <c r="J1627" s="53">
        <v>1</v>
      </c>
      <c r="K1627" s="53">
        <v>1.1499999999999999</v>
      </c>
      <c r="L1627" s="54" t="s">
        <v>3215</v>
      </c>
      <c r="M1627" s="55">
        <v>1.3279000000000001</v>
      </c>
      <c r="N1627" s="55">
        <v>2.3400000000000001E-2</v>
      </c>
      <c r="O1627" s="55">
        <v>1007.61</v>
      </c>
      <c r="P1627" s="56">
        <f t="shared" si="307"/>
        <v>1538.7061168499999</v>
      </c>
      <c r="Q1627" s="55">
        <v>2922.65</v>
      </c>
      <c r="R1627" s="56">
        <f t="shared" si="308"/>
        <v>78.648511499999998</v>
      </c>
      <c r="S1627" s="56">
        <f t="shared" si="309"/>
        <v>1617.35462835</v>
      </c>
      <c r="T1627" s="57">
        <f t="shared" ref="T1627:T1707" si="312">$T$8</f>
        <v>0.55859868298040061</v>
      </c>
      <c r="U1627" s="57">
        <f t="shared" ref="U1627:U1707" si="313">$U$8</f>
        <v>0.1</v>
      </c>
      <c r="V1627" s="55">
        <f t="shared" si="310"/>
        <v>2772.887473024422</v>
      </c>
      <c r="W1627" s="58" t="s">
        <v>3216</v>
      </c>
    </row>
    <row r="1628" spans="1:23" x14ac:dyDescent="0.25">
      <c r="A1628" s="50">
        <f t="shared" ca="1" si="311"/>
        <v>1623</v>
      </c>
      <c r="B1628" s="51" t="s">
        <v>1245</v>
      </c>
      <c r="C1628" s="51" t="s">
        <v>3219</v>
      </c>
      <c r="D1628" s="51"/>
      <c r="E1628" s="51"/>
      <c r="F1628" s="51"/>
      <c r="G1628" s="51"/>
      <c r="H1628" s="52" t="s">
        <v>3220</v>
      </c>
      <c r="I1628" s="53" t="s">
        <v>104</v>
      </c>
      <c r="J1628" s="53">
        <v>1</v>
      </c>
      <c r="K1628" s="53">
        <v>1.1499999999999999</v>
      </c>
      <c r="L1628" s="54" t="s">
        <v>3215</v>
      </c>
      <c r="M1628" s="55">
        <v>1.2186999999999999</v>
      </c>
      <c r="N1628" s="55">
        <v>2.3400000000000001E-2</v>
      </c>
      <c r="O1628" s="55">
        <v>1007.61</v>
      </c>
      <c r="P1628" s="56">
        <f t="shared" si="307"/>
        <v>1412.1704530499999</v>
      </c>
      <c r="Q1628" s="55">
        <v>2922.65</v>
      </c>
      <c r="R1628" s="56">
        <f t="shared" si="308"/>
        <v>78.648511499999998</v>
      </c>
      <c r="S1628" s="56">
        <f t="shared" si="309"/>
        <v>1490.8189645499999</v>
      </c>
      <c r="T1628" s="57">
        <f t="shared" si="312"/>
        <v>0.55859868298040061</v>
      </c>
      <c r="U1628" s="57">
        <f t="shared" si="313"/>
        <v>0.1</v>
      </c>
      <c r="V1628" s="55">
        <f t="shared" si="310"/>
        <v>2555.947322180818</v>
      </c>
      <c r="W1628" s="58" t="s">
        <v>3216</v>
      </c>
    </row>
    <row r="1629" spans="1:23" ht="25.5" x14ac:dyDescent="0.25">
      <c r="A1629" s="50">
        <f t="shared" ca="1" si="311"/>
        <v>1624</v>
      </c>
      <c r="B1629" s="51" t="s">
        <v>3221</v>
      </c>
      <c r="C1629" s="51" t="s">
        <v>3222</v>
      </c>
      <c r="D1629" s="51"/>
      <c r="E1629" s="51"/>
      <c r="F1629" s="51"/>
      <c r="G1629" s="51"/>
      <c r="H1629" s="52" t="s">
        <v>3223</v>
      </c>
      <c r="I1629" s="53" t="s">
        <v>2408</v>
      </c>
      <c r="J1629" s="53">
        <v>1</v>
      </c>
      <c r="K1629" s="53">
        <v>1.1499999999999999</v>
      </c>
      <c r="L1629" s="54" t="s">
        <v>3215</v>
      </c>
      <c r="M1629" s="55">
        <v>1.5785</v>
      </c>
      <c r="N1629" s="55">
        <v>0.13139999999999999</v>
      </c>
      <c r="O1629" s="55">
        <v>1056.25</v>
      </c>
      <c r="P1629" s="56">
        <f t="shared" si="307"/>
        <v>1917.3842187499999</v>
      </c>
      <c r="Q1629" s="55">
        <v>1775.6</v>
      </c>
      <c r="R1629" s="56">
        <f t="shared" si="308"/>
        <v>268.31091599999996</v>
      </c>
      <c r="S1629" s="56">
        <f t="shared" si="309"/>
        <v>2185.6951347499999</v>
      </c>
      <c r="T1629" s="57">
        <f t="shared" si="312"/>
        <v>0.55859868298040061</v>
      </c>
      <c r="U1629" s="57">
        <f t="shared" si="313"/>
        <v>0.1</v>
      </c>
      <c r="V1629" s="55">
        <f t="shared" si="310"/>
        <v>3747.283714259821</v>
      </c>
      <c r="W1629" s="58" t="s">
        <v>3216</v>
      </c>
    </row>
    <row r="1630" spans="1:23" x14ac:dyDescent="0.25">
      <c r="A1630" s="50">
        <f t="shared" ca="1" si="311"/>
        <v>1625</v>
      </c>
      <c r="B1630" s="51" t="s">
        <v>3076</v>
      </c>
      <c r="C1630" s="51" t="s">
        <v>3224</v>
      </c>
      <c r="D1630" s="51"/>
      <c r="E1630" s="51"/>
      <c r="F1630" s="51"/>
      <c r="G1630" s="51"/>
      <c r="H1630" s="52" t="s">
        <v>3225</v>
      </c>
      <c r="I1630" s="53" t="s">
        <v>115</v>
      </c>
      <c r="J1630" s="53">
        <v>1</v>
      </c>
      <c r="K1630" s="53">
        <v>1.1499999999999999</v>
      </c>
      <c r="L1630" s="54" t="s">
        <v>3215</v>
      </c>
      <c r="M1630" s="55">
        <v>25.661999999999999</v>
      </c>
      <c r="N1630" s="55">
        <v>8.8919999999999995</v>
      </c>
      <c r="O1630" s="55">
        <v>1026.1600000000001</v>
      </c>
      <c r="P1630" s="56">
        <f t="shared" si="307"/>
        <v>30283.315608000001</v>
      </c>
      <c r="Q1630" s="55">
        <v>1602</v>
      </c>
      <c r="R1630" s="56">
        <f t="shared" si="308"/>
        <v>16381.731599999997</v>
      </c>
      <c r="S1630" s="56">
        <f t="shared" si="309"/>
        <v>46665.047207999996</v>
      </c>
      <c r="T1630" s="57">
        <f t="shared" si="312"/>
        <v>0.55859868298040061</v>
      </c>
      <c r="U1630" s="57">
        <f t="shared" si="313"/>
        <v>0.1</v>
      </c>
      <c r="V1630" s="55">
        <f t="shared" si="310"/>
        <v>80005.289231567716</v>
      </c>
      <c r="W1630" s="58" t="s">
        <v>3216</v>
      </c>
    </row>
    <row r="1631" spans="1:23" ht="38.25" x14ac:dyDescent="0.25">
      <c r="A1631" s="50">
        <f t="shared" ca="1" si="311"/>
        <v>1626</v>
      </c>
      <c r="B1631" s="51" t="s">
        <v>3226</v>
      </c>
      <c r="C1631" s="51" t="s">
        <v>3227</v>
      </c>
      <c r="D1631" s="51"/>
      <c r="E1631" s="51"/>
      <c r="F1631" s="51"/>
      <c r="G1631" s="51"/>
      <c r="H1631" s="52" t="s">
        <v>3228</v>
      </c>
      <c r="I1631" s="53" t="s">
        <v>161</v>
      </c>
      <c r="J1631" s="53">
        <v>1</v>
      </c>
      <c r="K1631" s="53">
        <v>1.1499999999999999</v>
      </c>
      <c r="L1631" s="54" t="s">
        <v>3215</v>
      </c>
      <c r="M1631" s="55">
        <v>4.32</v>
      </c>
      <c r="N1631" s="55">
        <v>0.45</v>
      </c>
      <c r="O1631" s="55">
        <v>1052.3689999999999</v>
      </c>
      <c r="P1631" s="56">
        <f t="shared" si="307"/>
        <v>5228.1691919999994</v>
      </c>
      <c r="Q1631" s="55">
        <v>2757.7041798239825</v>
      </c>
      <c r="R1631" s="56">
        <f t="shared" si="308"/>
        <v>1427.1119130589109</v>
      </c>
      <c r="S1631" s="56">
        <f t="shared" si="309"/>
        <v>6655.2811050589098</v>
      </c>
      <c r="T1631" s="57">
        <f t="shared" si="312"/>
        <v>0.55859868298040061</v>
      </c>
      <c r="U1631" s="57">
        <f t="shared" si="313"/>
        <v>0.1</v>
      </c>
      <c r="V1631" s="55">
        <f t="shared" si="310"/>
        <v>11410.203601730078</v>
      </c>
      <c r="W1631" s="58" t="s">
        <v>3229</v>
      </c>
    </row>
    <row r="1632" spans="1:23" x14ac:dyDescent="0.25">
      <c r="A1632" s="50">
        <f t="shared" ca="1" si="311"/>
        <v>1627</v>
      </c>
      <c r="B1632" s="51" t="s">
        <v>50</v>
      </c>
      <c r="C1632" s="51" t="s">
        <v>3230</v>
      </c>
      <c r="D1632" s="51"/>
      <c r="E1632" s="51"/>
      <c r="F1632" s="51"/>
      <c r="G1632" s="51"/>
      <c r="H1632" s="52" t="s">
        <v>3231</v>
      </c>
      <c r="I1632" s="53" t="s">
        <v>57</v>
      </c>
      <c r="J1632" s="53">
        <v>1</v>
      </c>
      <c r="K1632" s="53">
        <v>1.1499999999999999</v>
      </c>
      <c r="L1632" s="54" t="s">
        <v>3215</v>
      </c>
      <c r="M1632" s="55">
        <v>0.03</v>
      </c>
      <c r="N1632" s="55">
        <v>0</v>
      </c>
      <c r="O1632" s="55">
        <v>1056.2485639227937</v>
      </c>
      <c r="P1632" s="56">
        <f t="shared" si="307"/>
        <v>36.440575455336372</v>
      </c>
      <c r="Q1632" s="55">
        <v>1775.603414585041</v>
      </c>
      <c r="R1632" s="56">
        <f t="shared" si="308"/>
        <v>0</v>
      </c>
      <c r="S1632" s="56">
        <f t="shared" si="309"/>
        <v>36.440575455336372</v>
      </c>
      <c r="T1632" s="57">
        <f t="shared" si="312"/>
        <v>0.55859868298040061</v>
      </c>
      <c r="U1632" s="57">
        <f t="shared" si="313"/>
        <v>0.1</v>
      </c>
      <c r="V1632" s="55">
        <f t="shared" si="310"/>
        <v>62.475856202908702</v>
      </c>
      <c r="W1632" s="58" t="s">
        <v>3232</v>
      </c>
    </row>
    <row r="1633" spans="1:23" ht="25.5" x14ac:dyDescent="0.25">
      <c r="A1633" s="50">
        <f t="shared" ca="1" si="311"/>
        <v>1628</v>
      </c>
      <c r="B1633" s="51" t="s">
        <v>1453</v>
      </c>
      <c r="C1633" s="51" t="s">
        <v>3233</v>
      </c>
      <c r="D1633" s="51"/>
      <c r="E1633" s="51"/>
      <c r="F1633" s="51"/>
      <c r="G1633" s="51"/>
      <c r="H1633" s="52" t="s">
        <v>3234</v>
      </c>
      <c r="I1633" s="53" t="s">
        <v>161</v>
      </c>
      <c r="J1633" s="53">
        <v>1</v>
      </c>
      <c r="K1633" s="53">
        <v>1.1499999999999999</v>
      </c>
      <c r="L1633" s="54" t="s">
        <v>3215</v>
      </c>
      <c r="M1633" s="55">
        <v>1.581</v>
      </c>
      <c r="N1633" s="55">
        <v>6.5000000000000002E-2</v>
      </c>
      <c r="O1633" s="55">
        <v>1052.3689999999999</v>
      </c>
      <c r="P1633" s="56">
        <f t="shared" si="307"/>
        <v>1913.3646973499997</v>
      </c>
      <c r="Q1633" s="55">
        <v>2757.7041798239825</v>
      </c>
      <c r="R1633" s="56">
        <f t="shared" si="308"/>
        <v>206.1383874418427</v>
      </c>
      <c r="S1633" s="56">
        <f t="shared" si="309"/>
        <v>2119.5030847918424</v>
      </c>
      <c r="T1633" s="57">
        <f t="shared" si="312"/>
        <v>0.55859868298040061</v>
      </c>
      <c r="U1633" s="57">
        <f t="shared" si="313"/>
        <v>0.1</v>
      </c>
      <c r="V1633" s="55">
        <f t="shared" si="310"/>
        <v>3633.800188182408</v>
      </c>
      <c r="W1633" s="58" t="s">
        <v>3235</v>
      </c>
    </row>
    <row r="1634" spans="1:23" x14ac:dyDescent="0.25">
      <c r="A1634" s="50">
        <f t="shared" ca="1" si="311"/>
        <v>1629</v>
      </c>
      <c r="B1634" s="51" t="s">
        <v>1453</v>
      </c>
      <c r="C1634" s="51" t="s">
        <v>3236</v>
      </c>
      <c r="D1634" s="51"/>
      <c r="E1634" s="51"/>
      <c r="F1634" s="51"/>
      <c r="G1634" s="51"/>
      <c r="H1634" s="52" t="s">
        <v>3237</v>
      </c>
      <c r="I1634" s="53" t="s">
        <v>104</v>
      </c>
      <c r="J1634" s="53">
        <v>1</v>
      </c>
      <c r="K1634" s="53">
        <v>1.1499999999999999</v>
      </c>
      <c r="L1634" s="54" t="s">
        <v>3215</v>
      </c>
      <c r="M1634" s="55">
        <v>0.19359999999999999</v>
      </c>
      <c r="N1634" s="55">
        <v>2.1000000000000001E-2</v>
      </c>
      <c r="O1634" s="55">
        <v>1052.3689999999999</v>
      </c>
      <c r="P1634" s="56">
        <f t="shared" si="307"/>
        <v>234.29943415999998</v>
      </c>
      <c r="Q1634" s="55">
        <v>2757.7041798239825</v>
      </c>
      <c r="R1634" s="56">
        <f t="shared" si="308"/>
        <v>66.598555942749172</v>
      </c>
      <c r="S1634" s="56">
        <f t="shared" si="309"/>
        <v>300.89799010274913</v>
      </c>
      <c r="T1634" s="57">
        <f t="shared" si="312"/>
        <v>0.55859868298040061</v>
      </c>
      <c r="U1634" s="57">
        <f t="shared" si="313"/>
        <v>0.1</v>
      </c>
      <c r="V1634" s="55">
        <f t="shared" si="310"/>
        <v>515.87713219415389</v>
      </c>
      <c r="W1634" s="58" t="s">
        <v>3235</v>
      </c>
    </row>
    <row r="1635" spans="1:23" x14ac:dyDescent="0.25">
      <c r="A1635" s="50">
        <f t="shared" ca="1" si="311"/>
        <v>1630</v>
      </c>
      <c r="B1635" s="51" t="s">
        <v>1453</v>
      </c>
      <c r="C1635" s="51" t="s">
        <v>3238</v>
      </c>
      <c r="D1635" s="51"/>
      <c r="E1635" s="51"/>
      <c r="F1635" s="51"/>
      <c r="G1635" s="51"/>
      <c r="H1635" s="52" t="s">
        <v>3239</v>
      </c>
      <c r="I1635" s="53" t="s">
        <v>104</v>
      </c>
      <c r="J1635" s="53">
        <v>1</v>
      </c>
      <c r="K1635" s="53">
        <v>1.1499999999999999</v>
      </c>
      <c r="L1635" s="54" t="s">
        <v>3215</v>
      </c>
      <c r="M1635" s="55">
        <v>0.24360000000000001</v>
      </c>
      <c r="N1635" s="55">
        <v>2.4500000000000001E-2</v>
      </c>
      <c r="O1635" s="55">
        <v>1052.3689999999999</v>
      </c>
      <c r="P1635" s="56">
        <f t="shared" si="307"/>
        <v>294.81065165999996</v>
      </c>
      <c r="Q1635" s="55">
        <v>2757.7041798239825</v>
      </c>
      <c r="R1635" s="56">
        <f t="shared" si="308"/>
        <v>77.698315266540718</v>
      </c>
      <c r="S1635" s="56">
        <f t="shared" si="309"/>
        <v>372.50896692654067</v>
      </c>
      <c r="T1635" s="57">
        <f t="shared" si="312"/>
        <v>0.55859868298040061</v>
      </c>
      <c r="U1635" s="57">
        <f t="shared" si="313"/>
        <v>0.1</v>
      </c>
      <c r="V1635" s="55">
        <f t="shared" si="310"/>
        <v>638.65118377510544</v>
      </c>
      <c r="W1635" s="58" t="s">
        <v>3235</v>
      </c>
    </row>
    <row r="1636" spans="1:23" x14ac:dyDescent="0.25">
      <c r="A1636" s="50">
        <f t="shared" ca="1" si="311"/>
        <v>1631</v>
      </c>
      <c r="B1636" s="51" t="s">
        <v>1453</v>
      </c>
      <c r="C1636" s="51" t="s">
        <v>3240</v>
      </c>
      <c r="D1636" s="51"/>
      <c r="E1636" s="51"/>
      <c r="F1636" s="51"/>
      <c r="G1636" s="51"/>
      <c r="H1636" s="52" t="s">
        <v>3241</v>
      </c>
      <c r="I1636" s="53" t="s">
        <v>104</v>
      </c>
      <c r="J1636" s="53">
        <v>1</v>
      </c>
      <c r="K1636" s="53">
        <v>1.1499999999999999</v>
      </c>
      <c r="L1636" s="54" t="s">
        <v>3215</v>
      </c>
      <c r="M1636" s="55">
        <v>0.23760000000000001</v>
      </c>
      <c r="N1636" s="55">
        <v>2.4500000000000001E-2</v>
      </c>
      <c r="O1636" s="55">
        <v>1052.3689999999999</v>
      </c>
      <c r="P1636" s="56">
        <f t="shared" si="307"/>
        <v>287.54930555999994</v>
      </c>
      <c r="Q1636" s="55">
        <v>2757.7041798239825</v>
      </c>
      <c r="R1636" s="56">
        <f t="shared" si="308"/>
        <v>77.698315266540718</v>
      </c>
      <c r="S1636" s="56">
        <f t="shared" si="309"/>
        <v>365.24762082654064</v>
      </c>
      <c r="T1636" s="57">
        <f t="shared" si="312"/>
        <v>0.55859868298040061</v>
      </c>
      <c r="U1636" s="57">
        <f t="shared" si="313"/>
        <v>0.1</v>
      </c>
      <c r="V1636" s="55">
        <f t="shared" si="310"/>
        <v>626.20190686016815</v>
      </c>
      <c r="W1636" s="58" t="s">
        <v>3235</v>
      </c>
    </row>
    <row r="1637" spans="1:23" ht="25.5" x14ac:dyDescent="0.25">
      <c r="A1637" s="50">
        <f t="shared" ca="1" si="311"/>
        <v>1632</v>
      </c>
      <c r="B1637" s="51" t="s">
        <v>1453</v>
      </c>
      <c r="C1637" s="51" t="s">
        <v>3242</v>
      </c>
      <c r="D1637" s="51"/>
      <c r="E1637" s="51"/>
      <c r="F1637" s="51"/>
      <c r="G1637" s="51"/>
      <c r="H1637" s="52" t="s">
        <v>3243</v>
      </c>
      <c r="I1637" s="53" t="s">
        <v>104</v>
      </c>
      <c r="J1637" s="53">
        <v>1</v>
      </c>
      <c r="K1637" s="53">
        <v>1.1499999999999999</v>
      </c>
      <c r="L1637" s="54" t="s">
        <v>3215</v>
      </c>
      <c r="M1637" s="55">
        <v>0.2</v>
      </c>
      <c r="N1637" s="55">
        <v>2.1000000000000001E-2</v>
      </c>
      <c r="O1637" s="55">
        <v>1052.3689999999999</v>
      </c>
      <c r="P1637" s="56">
        <f t="shared" si="307"/>
        <v>242.04486999999997</v>
      </c>
      <c r="Q1637" s="55">
        <v>2757.7041798239825</v>
      </c>
      <c r="R1637" s="56">
        <f t="shared" si="308"/>
        <v>66.598555942749172</v>
      </c>
      <c r="S1637" s="56">
        <f t="shared" si="309"/>
        <v>308.64342594274916</v>
      </c>
      <c r="T1637" s="57">
        <f t="shared" si="312"/>
        <v>0.55859868298040061</v>
      </c>
      <c r="U1637" s="57">
        <f t="shared" si="313"/>
        <v>0.1</v>
      </c>
      <c r="V1637" s="55">
        <f t="shared" si="310"/>
        <v>529.15636090342048</v>
      </c>
      <c r="W1637" s="58" t="s">
        <v>3235</v>
      </c>
    </row>
    <row r="1638" spans="1:23" x14ac:dyDescent="0.25">
      <c r="A1638" s="50">
        <f t="shared" ca="1" si="311"/>
        <v>1633</v>
      </c>
      <c r="B1638" s="51" t="s">
        <v>1453</v>
      </c>
      <c r="C1638" s="51" t="s">
        <v>3244</v>
      </c>
      <c r="D1638" s="51"/>
      <c r="E1638" s="51"/>
      <c r="F1638" s="51"/>
      <c r="G1638" s="51"/>
      <c r="H1638" s="52" t="s">
        <v>3245</v>
      </c>
      <c r="I1638" s="53" t="s">
        <v>104</v>
      </c>
      <c r="J1638" s="53">
        <v>1</v>
      </c>
      <c r="K1638" s="53">
        <v>1.1499999999999999</v>
      </c>
      <c r="L1638" s="54" t="s">
        <v>3215</v>
      </c>
      <c r="M1638" s="55">
        <v>0.2</v>
      </c>
      <c r="N1638" s="55">
        <v>2.1000000000000001E-2</v>
      </c>
      <c r="O1638" s="55">
        <v>1052.3689999999999</v>
      </c>
      <c r="P1638" s="56">
        <f t="shared" si="307"/>
        <v>242.04486999999997</v>
      </c>
      <c r="Q1638" s="55">
        <v>2757.7041798239825</v>
      </c>
      <c r="R1638" s="56">
        <f t="shared" si="308"/>
        <v>66.598555942749172</v>
      </c>
      <c r="S1638" s="56">
        <f t="shared" si="309"/>
        <v>308.64342594274916</v>
      </c>
      <c r="T1638" s="57">
        <f t="shared" si="312"/>
        <v>0.55859868298040061</v>
      </c>
      <c r="U1638" s="57">
        <f t="shared" si="313"/>
        <v>0.1</v>
      </c>
      <c r="V1638" s="55">
        <f t="shared" si="310"/>
        <v>529.15636090342048</v>
      </c>
      <c r="W1638" s="58" t="s">
        <v>3235</v>
      </c>
    </row>
    <row r="1639" spans="1:23" x14ac:dyDescent="0.25">
      <c r="A1639" s="50">
        <f t="shared" ca="1" si="311"/>
        <v>1634</v>
      </c>
      <c r="B1639" s="51" t="s">
        <v>1453</v>
      </c>
      <c r="C1639" s="51" t="s">
        <v>3246</v>
      </c>
      <c r="D1639" s="51"/>
      <c r="E1639" s="51"/>
      <c r="F1639" s="51"/>
      <c r="G1639" s="51"/>
      <c r="H1639" s="52" t="s">
        <v>3247</v>
      </c>
      <c r="I1639" s="53" t="s">
        <v>104</v>
      </c>
      <c r="J1639" s="53">
        <v>1</v>
      </c>
      <c r="K1639" s="53">
        <v>1.1499999999999999</v>
      </c>
      <c r="L1639" s="54" t="s">
        <v>3215</v>
      </c>
      <c r="M1639" s="55">
        <v>0.2</v>
      </c>
      <c r="N1639" s="55">
        <v>2.1000000000000001E-2</v>
      </c>
      <c r="O1639" s="55">
        <v>1052.3689999999999</v>
      </c>
      <c r="P1639" s="56">
        <f t="shared" si="307"/>
        <v>242.04486999999997</v>
      </c>
      <c r="Q1639" s="55">
        <v>2757.7041798239825</v>
      </c>
      <c r="R1639" s="56">
        <f t="shared" si="308"/>
        <v>66.598555942749172</v>
      </c>
      <c r="S1639" s="56">
        <f t="shared" si="309"/>
        <v>308.64342594274916</v>
      </c>
      <c r="T1639" s="57">
        <f t="shared" si="312"/>
        <v>0.55859868298040061</v>
      </c>
      <c r="U1639" s="57">
        <f t="shared" si="313"/>
        <v>0.1</v>
      </c>
      <c r="V1639" s="55">
        <f t="shared" si="310"/>
        <v>529.15636090342048</v>
      </c>
      <c r="W1639" s="58" t="s">
        <v>3235</v>
      </c>
    </row>
    <row r="1640" spans="1:23" ht="25.5" x14ac:dyDescent="0.25">
      <c r="A1640" s="50">
        <f t="shared" ca="1" si="311"/>
        <v>1635</v>
      </c>
      <c r="B1640" s="51" t="s">
        <v>1453</v>
      </c>
      <c r="C1640" s="51" t="s">
        <v>3248</v>
      </c>
      <c r="D1640" s="51"/>
      <c r="E1640" s="51"/>
      <c r="F1640" s="51"/>
      <c r="G1640" s="51"/>
      <c r="H1640" s="52" t="s">
        <v>3249</v>
      </c>
      <c r="I1640" s="53" t="s">
        <v>104</v>
      </c>
      <c r="J1640" s="53">
        <v>1</v>
      </c>
      <c r="K1640" s="53">
        <v>1.1499999999999999</v>
      </c>
      <c r="L1640" s="54" t="s">
        <v>3215</v>
      </c>
      <c r="M1640" s="55">
        <v>0.2</v>
      </c>
      <c r="N1640" s="55">
        <v>2.1000000000000001E-2</v>
      </c>
      <c r="O1640" s="55">
        <v>1052.3689999999999</v>
      </c>
      <c r="P1640" s="56">
        <f t="shared" si="307"/>
        <v>242.04486999999997</v>
      </c>
      <c r="Q1640" s="55">
        <v>2757.7041798239825</v>
      </c>
      <c r="R1640" s="56">
        <f t="shared" si="308"/>
        <v>66.598555942749172</v>
      </c>
      <c r="S1640" s="56">
        <f t="shared" si="309"/>
        <v>308.64342594274916</v>
      </c>
      <c r="T1640" s="57">
        <f t="shared" si="312"/>
        <v>0.55859868298040061</v>
      </c>
      <c r="U1640" s="57">
        <f t="shared" si="313"/>
        <v>0.1</v>
      </c>
      <c r="V1640" s="55">
        <f t="shared" si="310"/>
        <v>529.15636090342048</v>
      </c>
      <c r="W1640" s="58" t="s">
        <v>3235</v>
      </c>
    </row>
    <row r="1641" spans="1:23" x14ac:dyDescent="0.25">
      <c r="A1641" s="50">
        <f t="shared" ca="1" si="311"/>
        <v>1636</v>
      </c>
      <c r="B1641" s="51" t="s">
        <v>139</v>
      </c>
      <c r="C1641" s="51" t="s">
        <v>3250</v>
      </c>
      <c r="D1641" s="51"/>
      <c r="E1641" s="51"/>
      <c r="F1641" s="51"/>
      <c r="G1641" s="51"/>
      <c r="H1641" s="52" t="s">
        <v>3251</v>
      </c>
      <c r="I1641" s="53" t="s">
        <v>104</v>
      </c>
      <c r="J1641" s="53">
        <v>1</v>
      </c>
      <c r="K1641" s="53">
        <v>1.1499999999999999</v>
      </c>
      <c r="L1641" s="54" t="s">
        <v>3215</v>
      </c>
      <c r="M1641" s="55">
        <v>0.12670000000000001</v>
      </c>
      <c r="N1641" s="55">
        <v>8.9999999999999993E-3</v>
      </c>
      <c r="O1641" s="55">
        <v>1017.1985435894751</v>
      </c>
      <c r="P1641" s="56">
        <f t="shared" si="307"/>
        <v>148.21091379370446</v>
      </c>
      <c r="Q1641" s="55">
        <v>2777.0693256854333</v>
      </c>
      <c r="R1641" s="56">
        <f t="shared" si="308"/>
        <v>28.742667520844229</v>
      </c>
      <c r="S1641" s="56">
        <f t="shared" si="309"/>
        <v>176.9535813145487</v>
      </c>
      <c r="T1641" s="57">
        <f t="shared" si="312"/>
        <v>0.55859868298040061</v>
      </c>
      <c r="U1641" s="57">
        <f t="shared" si="313"/>
        <v>0.1</v>
      </c>
      <c r="V1641" s="55">
        <f t="shared" si="310"/>
        <v>303.37958066407288</v>
      </c>
      <c r="W1641" s="58" t="s">
        <v>3235</v>
      </c>
    </row>
    <row r="1642" spans="1:23" x14ac:dyDescent="0.25">
      <c r="A1642" s="50">
        <f t="shared" ca="1" si="311"/>
        <v>1637</v>
      </c>
      <c r="B1642" s="51" t="s">
        <v>1453</v>
      </c>
      <c r="C1642" s="51" t="s">
        <v>3252</v>
      </c>
      <c r="D1642" s="51"/>
      <c r="E1642" s="51"/>
      <c r="F1642" s="51"/>
      <c r="G1642" s="51"/>
      <c r="H1642" s="52" t="s">
        <v>3253</v>
      </c>
      <c r="I1642" s="53" t="s">
        <v>161</v>
      </c>
      <c r="J1642" s="53">
        <v>1</v>
      </c>
      <c r="K1642" s="53">
        <v>1.1499999999999999</v>
      </c>
      <c r="L1642" s="54" t="s">
        <v>3215</v>
      </c>
      <c r="M1642" s="55">
        <v>0.873</v>
      </c>
      <c r="N1642" s="55">
        <v>0.02</v>
      </c>
      <c r="O1642" s="55">
        <v>1052.3689999999999</v>
      </c>
      <c r="P1642" s="56">
        <f t="shared" si="307"/>
        <v>1056.52585755</v>
      </c>
      <c r="Q1642" s="55">
        <v>2757.7041798239825</v>
      </c>
      <c r="R1642" s="56">
        <f t="shared" si="308"/>
        <v>63.427196135951597</v>
      </c>
      <c r="S1642" s="56">
        <f t="shared" si="309"/>
        <v>1119.9530536859515</v>
      </c>
      <c r="T1642" s="57">
        <f t="shared" si="312"/>
        <v>0.55859868298040061</v>
      </c>
      <c r="U1642" s="57">
        <f t="shared" si="313"/>
        <v>0.1</v>
      </c>
      <c r="V1642" s="55">
        <f t="shared" si="310"/>
        <v>1920.1130899222821</v>
      </c>
      <c r="W1642" s="58" t="s">
        <v>3235</v>
      </c>
    </row>
    <row r="1643" spans="1:23" ht="25.5" x14ac:dyDescent="0.25">
      <c r="A1643" s="50">
        <f t="shared" ca="1" si="311"/>
        <v>1638</v>
      </c>
      <c r="B1643" s="51" t="s">
        <v>1245</v>
      </c>
      <c r="C1643" s="51" t="s">
        <v>3254</v>
      </c>
      <c r="D1643" s="51"/>
      <c r="E1643" s="51"/>
      <c r="F1643" s="51"/>
      <c r="G1643" s="51"/>
      <c r="H1643" s="52" t="s">
        <v>3255</v>
      </c>
      <c r="I1643" s="53" t="s">
        <v>104</v>
      </c>
      <c r="J1643" s="53">
        <v>1</v>
      </c>
      <c r="K1643" s="53">
        <v>1.1499999999999999</v>
      </c>
      <c r="L1643" s="54" t="s">
        <v>3215</v>
      </c>
      <c r="M1643" s="55">
        <v>1.222</v>
      </c>
      <c r="N1643" s="55">
        <v>0.03</v>
      </c>
      <c r="O1643" s="55">
        <v>1007.6071541501975</v>
      </c>
      <c r="P1643" s="56">
        <f t="shared" si="307"/>
        <v>1415.9903337272724</v>
      </c>
      <c r="Q1643" s="55">
        <v>2922.65</v>
      </c>
      <c r="R1643" s="56">
        <f t="shared" si="308"/>
        <v>100.831425</v>
      </c>
      <c r="S1643" s="56">
        <f t="shared" si="309"/>
        <v>1516.8217587272725</v>
      </c>
      <c r="T1643" s="57">
        <f t="shared" si="312"/>
        <v>0.55859868298040061</v>
      </c>
      <c r="U1643" s="57">
        <f t="shared" si="313"/>
        <v>0.1</v>
      </c>
      <c r="V1643" s="55">
        <f t="shared" si="310"/>
        <v>2600.5280350151756</v>
      </c>
      <c r="W1643" s="58" t="s">
        <v>3235</v>
      </c>
    </row>
    <row r="1644" spans="1:23" ht="25.5" x14ac:dyDescent="0.25">
      <c r="A1644" s="50">
        <f t="shared" ca="1" si="311"/>
        <v>1639</v>
      </c>
      <c r="B1644" s="51" t="s">
        <v>1245</v>
      </c>
      <c r="C1644" s="51" t="s">
        <v>3256</v>
      </c>
      <c r="D1644" s="51"/>
      <c r="E1644" s="51"/>
      <c r="F1644" s="51"/>
      <c r="G1644" s="51"/>
      <c r="H1644" s="52" t="s">
        <v>3257</v>
      </c>
      <c r="I1644" s="53" t="s">
        <v>104</v>
      </c>
      <c r="J1644" s="53">
        <v>1</v>
      </c>
      <c r="K1644" s="53">
        <v>1.1499999999999999</v>
      </c>
      <c r="L1644" s="54" t="s">
        <v>3215</v>
      </c>
      <c r="M1644" s="55">
        <v>1.24</v>
      </c>
      <c r="N1644" s="55">
        <v>0.03</v>
      </c>
      <c r="O1644" s="55">
        <v>1007.6071541501975</v>
      </c>
      <c r="P1644" s="56">
        <f t="shared" si="307"/>
        <v>1436.8478018181816</v>
      </c>
      <c r="Q1644" s="55">
        <v>2922.65</v>
      </c>
      <c r="R1644" s="56">
        <f t="shared" si="308"/>
        <v>100.831425</v>
      </c>
      <c r="S1644" s="56">
        <f t="shared" si="309"/>
        <v>1537.6792268181816</v>
      </c>
      <c r="T1644" s="57">
        <f t="shared" si="312"/>
        <v>0.55859868298040061</v>
      </c>
      <c r="U1644" s="57">
        <f t="shared" si="313"/>
        <v>0.1</v>
      </c>
      <c r="V1644" s="55">
        <f t="shared" si="310"/>
        <v>2636.2872995416524</v>
      </c>
      <c r="W1644" s="58" t="s">
        <v>3235</v>
      </c>
    </row>
    <row r="1645" spans="1:23" ht="25.5" x14ac:dyDescent="0.25">
      <c r="A1645" s="50">
        <f t="shared" ca="1" si="311"/>
        <v>1640</v>
      </c>
      <c r="B1645" s="51" t="s">
        <v>1245</v>
      </c>
      <c r="C1645" s="51" t="s">
        <v>3258</v>
      </c>
      <c r="D1645" s="51"/>
      <c r="E1645" s="51"/>
      <c r="F1645" s="51"/>
      <c r="G1645" s="51"/>
      <c r="H1645" s="52" t="s">
        <v>3259</v>
      </c>
      <c r="I1645" s="53" t="s">
        <v>161</v>
      </c>
      <c r="J1645" s="53">
        <v>1</v>
      </c>
      <c r="K1645" s="53">
        <v>1.1499999999999999</v>
      </c>
      <c r="L1645" s="54" t="s">
        <v>3215</v>
      </c>
      <c r="M1645" s="55">
        <v>0.36499999999999999</v>
      </c>
      <c r="N1645" s="55">
        <v>0.02</v>
      </c>
      <c r="O1645" s="55">
        <v>1007.6071541501975</v>
      </c>
      <c r="P1645" s="56">
        <f t="shared" si="307"/>
        <v>422.94310295454534</v>
      </c>
      <c r="Q1645" s="55">
        <v>2922.65</v>
      </c>
      <c r="R1645" s="56">
        <f t="shared" si="308"/>
        <v>67.220950000000002</v>
      </c>
      <c r="S1645" s="56">
        <f t="shared" si="309"/>
        <v>490.16405295454535</v>
      </c>
      <c r="T1645" s="57">
        <f t="shared" si="312"/>
        <v>0.55859868298040061</v>
      </c>
      <c r="U1645" s="57">
        <f t="shared" si="313"/>
        <v>0.1</v>
      </c>
      <c r="V1645" s="55">
        <f t="shared" si="310"/>
        <v>840.36595211721874</v>
      </c>
      <c r="W1645" s="58" t="s">
        <v>3235</v>
      </c>
    </row>
    <row r="1646" spans="1:23" ht="25.5" x14ac:dyDescent="0.25">
      <c r="A1646" s="17">
        <f t="shared" ca="1" si="311"/>
        <v>1641</v>
      </c>
      <c r="B1646" s="18" t="s">
        <v>1245</v>
      </c>
      <c r="C1646" s="18" t="s">
        <v>3260</v>
      </c>
      <c r="D1646" s="18"/>
      <c r="E1646" s="18"/>
      <c r="F1646" s="18"/>
      <c r="G1646" s="18"/>
      <c r="H1646" s="59" t="s">
        <v>3261</v>
      </c>
      <c r="I1646" s="60" t="s">
        <v>161</v>
      </c>
      <c r="J1646" s="60">
        <v>1</v>
      </c>
      <c r="K1646" s="60">
        <v>1.1499999999999999</v>
      </c>
      <c r="L1646" s="54" t="s">
        <v>3215</v>
      </c>
      <c r="M1646" s="55">
        <v>0.41799999999999998</v>
      </c>
      <c r="N1646" s="55">
        <v>0.02</v>
      </c>
      <c r="O1646" s="55">
        <v>1007.6071541501975</v>
      </c>
      <c r="P1646" s="56">
        <f t="shared" si="307"/>
        <v>484.3567589999999</v>
      </c>
      <c r="Q1646" s="55">
        <v>2922.65</v>
      </c>
      <c r="R1646" s="56">
        <f t="shared" si="308"/>
        <v>67.220950000000002</v>
      </c>
      <c r="S1646" s="56">
        <f t="shared" si="309"/>
        <v>551.57770899999991</v>
      </c>
      <c r="T1646" s="57">
        <f t="shared" si="312"/>
        <v>0.55859868298040061</v>
      </c>
      <c r="U1646" s="57">
        <f t="shared" si="313"/>
        <v>0.1</v>
      </c>
      <c r="V1646" s="55">
        <f t="shared" si="310"/>
        <v>945.65711988962119</v>
      </c>
      <c r="W1646" s="58" t="s">
        <v>3235</v>
      </c>
    </row>
    <row r="1647" spans="1:23" ht="25.5" x14ac:dyDescent="0.25">
      <c r="A1647" s="17">
        <f t="shared" ca="1" si="311"/>
        <v>1642</v>
      </c>
      <c r="B1647" s="18" t="s">
        <v>1453</v>
      </c>
      <c r="C1647" s="18" t="s">
        <v>3262</v>
      </c>
      <c r="D1647" s="18"/>
      <c r="E1647" s="18"/>
      <c r="F1647" s="18"/>
      <c r="G1647" s="18"/>
      <c r="H1647" s="59" t="s">
        <v>3263</v>
      </c>
      <c r="I1647" s="60" t="s">
        <v>161</v>
      </c>
      <c r="J1647" s="60">
        <v>1</v>
      </c>
      <c r="K1647" s="60">
        <v>1.1499999999999999</v>
      </c>
      <c r="L1647" s="54" t="s">
        <v>3215</v>
      </c>
      <c r="M1647" s="55">
        <v>0.61799999999999999</v>
      </c>
      <c r="N1647" s="55">
        <v>5.2999999999999999E-2</v>
      </c>
      <c r="O1647" s="55">
        <v>1052.3689999999999</v>
      </c>
      <c r="P1647" s="56">
        <f t="shared" si="307"/>
        <v>747.91864829999986</v>
      </c>
      <c r="Q1647" s="55">
        <v>2757.7041798239825</v>
      </c>
      <c r="R1647" s="56">
        <f t="shared" si="308"/>
        <v>168.08206976027171</v>
      </c>
      <c r="S1647" s="56">
        <f t="shared" si="309"/>
        <v>916.00071806027154</v>
      </c>
      <c r="T1647" s="57">
        <f t="shared" si="312"/>
        <v>0.55859868298040061</v>
      </c>
      <c r="U1647" s="57">
        <f t="shared" si="313"/>
        <v>0.1</v>
      </c>
      <c r="V1647" s="55">
        <f t="shared" si="310"/>
        <v>1570.4452640556246</v>
      </c>
      <c r="W1647" s="58" t="s">
        <v>3235</v>
      </c>
    </row>
    <row r="1648" spans="1:23" ht="25.5" x14ac:dyDescent="0.25">
      <c r="A1648" s="17">
        <f t="shared" ca="1" si="311"/>
        <v>1643</v>
      </c>
      <c r="B1648" s="18" t="s">
        <v>1453</v>
      </c>
      <c r="C1648" s="18" t="s">
        <v>3264</v>
      </c>
      <c r="D1648" s="18"/>
      <c r="E1648" s="18"/>
      <c r="F1648" s="18"/>
      <c r="G1648" s="18"/>
      <c r="H1648" s="59" t="s">
        <v>3265</v>
      </c>
      <c r="I1648" s="60" t="s">
        <v>161</v>
      </c>
      <c r="J1648" s="60">
        <v>1</v>
      </c>
      <c r="K1648" s="60">
        <v>1.1499999999999999</v>
      </c>
      <c r="L1648" s="54" t="s">
        <v>3215</v>
      </c>
      <c r="M1648" s="55">
        <v>1.016</v>
      </c>
      <c r="N1648" s="55">
        <v>1.6E-2</v>
      </c>
      <c r="O1648" s="55">
        <v>1052.3689999999999</v>
      </c>
      <c r="P1648" s="56">
        <f t="shared" si="307"/>
        <v>1229.5879395999998</v>
      </c>
      <c r="Q1648" s="55">
        <v>2757.7041798239825</v>
      </c>
      <c r="R1648" s="56">
        <f t="shared" si="308"/>
        <v>50.741756908761282</v>
      </c>
      <c r="S1648" s="56">
        <f t="shared" si="309"/>
        <v>1280.3296965087611</v>
      </c>
      <c r="T1648" s="57">
        <f t="shared" si="312"/>
        <v>0.55859868298040061</v>
      </c>
      <c r="U1648" s="57">
        <f t="shared" si="313"/>
        <v>0.1</v>
      </c>
      <c r="V1648" s="55">
        <f t="shared" si="310"/>
        <v>2195.0721966351762</v>
      </c>
      <c r="W1648" s="58" t="s">
        <v>3235</v>
      </c>
    </row>
    <row r="1649" spans="1:23" ht="25.5" x14ac:dyDescent="0.25">
      <c r="A1649" s="17">
        <f t="shared" ca="1" si="311"/>
        <v>1644</v>
      </c>
      <c r="B1649" s="18" t="s">
        <v>1453</v>
      </c>
      <c r="C1649" s="18" t="s">
        <v>3266</v>
      </c>
      <c r="D1649" s="18"/>
      <c r="E1649" s="18"/>
      <c r="F1649" s="18"/>
      <c r="G1649" s="18"/>
      <c r="H1649" s="59" t="s">
        <v>3267</v>
      </c>
      <c r="I1649" s="60" t="s">
        <v>161</v>
      </c>
      <c r="J1649" s="60">
        <v>1</v>
      </c>
      <c r="K1649" s="60">
        <v>1.1499999999999999</v>
      </c>
      <c r="L1649" s="54" t="s">
        <v>3215</v>
      </c>
      <c r="M1649" s="55">
        <v>4.2359999999999998</v>
      </c>
      <c r="N1649" s="55">
        <v>1.6E-2</v>
      </c>
      <c r="O1649" s="55">
        <v>1052.3689999999999</v>
      </c>
      <c r="P1649" s="56">
        <f t="shared" si="307"/>
        <v>5126.5103465999991</v>
      </c>
      <c r="Q1649" s="55">
        <v>2757.7041798239825</v>
      </c>
      <c r="R1649" s="56">
        <f t="shared" si="308"/>
        <v>50.741756908761282</v>
      </c>
      <c r="S1649" s="56">
        <f t="shared" si="309"/>
        <v>5177.2521035087602</v>
      </c>
      <c r="T1649" s="57">
        <f t="shared" si="312"/>
        <v>0.55859868298040061</v>
      </c>
      <c r="U1649" s="57">
        <f t="shared" si="313"/>
        <v>0.1</v>
      </c>
      <c r="V1649" s="55">
        <f t="shared" si="310"/>
        <v>8876.1841409848894</v>
      </c>
      <c r="W1649" s="58" t="s">
        <v>3235</v>
      </c>
    </row>
    <row r="1650" spans="1:23" ht="25.5" x14ac:dyDescent="0.25">
      <c r="A1650" s="17">
        <f t="shared" ca="1" si="311"/>
        <v>1645</v>
      </c>
      <c r="B1650" s="18" t="s">
        <v>1453</v>
      </c>
      <c r="C1650" s="18" t="s">
        <v>3268</v>
      </c>
      <c r="D1650" s="18"/>
      <c r="E1650" s="18"/>
      <c r="F1650" s="18"/>
      <c r="G1650" s="18"/>
      <c r="H1650" s="59" t="s">
        <v>3269</v>
      </c>
      <c r="I1650" s="60" t="s">
        <v>161</v>
      </c>
      <c r="J1650" s="60">
        <v>1</v>
      </c>
      <c r="K1650" s="60">
        <v>1.1499999999999999</v>
      </c>
      <c r="L1650" s="54" t="s">
        <v>3215</v>
      </c>
      <c r="M1650" s="55">
        <v>0.58699999999999997</v>
      </c>
      <c r="N1650" s="55">
        <v>1.6E-2</v>
      </c>
      <c r="O1650" s="55">
        <v>1052.3689999999999</v>
      </c>
      <c r="P1650" s="56">
        <f t="shared" si="307"/>
        <v>710.40169344999993</v>
      </c>
      <c r="Q1650" s="55">
        <v>2757.7041798239825</v>
      </c>
      <c r="R1650" s="56">
        <f t="shared" si="308"/>
        <v>50.741756908761282</v>
      </c>
      <c r="S1650" s="56">
        <f t="shared" si="309"/>
        <v>761.14345035876124</v>
      </c>
      <c r="T1650" s="57">
        <f t="shared" si="312"/>
        <v>0.55859868298040061</v>
      </c>
      <c r="U1650" s="57">
        <f t="shared" si="313"/>
        <v>0.1</v>
      </c>
      <c r="V1650" s="55">
        <f t="shared" si="310"/>
        <v>1304.9488972171555</v>
      </c>
      <c r="W1650" s="58" t="s">
        <v>3235</v>
      </c>
    </row>
    <row r="1651" spans="1:23" ht="25.5" x14ac:dyDescent="0.25">
      <c r="A1651" s="50">
        <f t="shared" ca="1" si="311"/>
        <v>1646</v>
      </c>
      <c r="B1651" s="51" t="s">
        <v>1453</v>
      </c>
      <c r="C1651" s="51" t="s">
        <v>3270</v>
      </c>
      <c r="D1651" s="51"/>
      <c r="E1651" s="51"/>
      <c r="F1651" s="51"/>
      <c r="G1651" s="51"/>
      <c r="H1651" s="52" t="s">
        <v>3271</v>
      </c>
      <c r="I1651" s="53" t="s">
        <v>161</v>
      </c>
      <c r="J1651" s="53">
        <v>1</v>
      </c>
      <c r="K1651" s="53">
        <v>1.1499999999999999</v>
      </c>
      <c r="L1651" s="54" t="s">
        <v>3215</v>
      </c>
      <c r="M1651" s="55">
        <v>3.01</v>
      </c>
      <c r="N1651" s="55">
        <v>1.6E-2</v>
      </c>
      <c r="O1651" s="55">
        <v>1052.3689999999999</v>
      </c>
      <c r="P1651" s="56">
        <f t="shared" si="307"/>
        <v>3642.775293499999</v>
      </c>
      <c r="Q1651" s="55">
        <v>2757.7041798239825</v>
      </c>
      <c r="R1651" s="56">
        <f t="shared" si="308"/>
        <v>50.741756908761282</v>
      </c>
      <c r="S1651" s="56">
        <f t="shared" si="309"/>
        <v>3693.51705040876</v>
      </c>
      <c r="T1651" s="57">
        <f t="shared" si="312"/>
        <v>0.55859868298040061</v>
      </c>
      <c r="U1651" s="57">
        <f t="shared" si="313"/>
        <v>0.1</v>
      </c>
      <c r="V1651" s="55">
        <f t="shared" si="310"/>
        <v>6332.3818913660216</v>
      </c>
      <c r="W1651" s="58" t="s">
        <v>3235</v>
      </c>
    </row>
    <row r="1652" spans="1:23" ht="25.5" x14ac:dyDescent="0.25">
      <c r="A1652" s="50">
        <f t="shared" ca="1" si="311"/>
        <v>1647</v>
      </c>
      <c r="B1652" s="51" t="s">
        <v>1453</v>
      </c>
      <c r="C1652" s="51" t="s">
        <v>3272</v>
      </c>
      <c r="D1652" s="51"/>
      <c r="E1652" s="51"/>
      <c r="F1652" s="51"/>
      <c r="G1652" s="51"/>
      <c r="H1652" s="52" t="s">
        <v>3273</v>
      </c>
      <c r="I1652" s="53" t="s">
        <v>161</v>
      </c>
      <c r="J1652" s="53">
        <v>1</v>
      </c>
      <c r="K1652" s="53">
        <v>1.1499999999999999</v>
      </c>
      <c r="L1652" s="54" t="s">
        <v>3215</v>
      </c>
      <c r="M1652" s="55">
        <v>1.8140000000000001</v>
      </c>
      <c r="N1652" s="55">
        <v>1.6E-2</v>
      </c>
      <c r="O1652" s="55">
        <v>1052.3689999999999</v>
      </c>
      <c r="P1652" s="56">
        <f t="shared" si="307"/>
        <v>2195.3469708999996</v>
      </c>
      <c r="Q1652" s="55">
        <v>2757.7041798239825</v>
      </c>
      <c r="R1652" s="56">
        <f t="shared" si="308"/>
        <v>50.741756908761282</v>
      </c>
      <c r="S1652" s="56">
        <f t="shared" si="309"/>
        <v>2246.0887278087607</v>
      </c>
      <c r="T1652" s="57">
        <f t="shared" si="312"/>
        <v>0.55859868298040061</v>
      </c>
      <c r="U1652" s="57">
        <f t="shared" si="313"/>
        <v>0.1</v>
      </c>
      <c r="V1652" s="55">
        <f t="shared" si="310"/>
        <v>3850.826026321844</v>
      </c>
      <c r="W1652" s="58" t="s">
        <v>3235</v>
      </c>
    </row>
    <row r="1653" spans="1:23" ht="25.5" x14ac:dyDescent="0.25">
      <c r="A1653" s="50">
        <f t="shared" ca="1" si="311"/>
        <v>1648</v>
      </c>
      <c r="B1653" s="51" t="s">
        <v>1453</v>
      </c>
      <c r="C1653" s="51" t="s">
        <v>3274</v>
      </c>
      <c r="D1653" s="51"/>
      <c r="E1653" s="51"/>
      <c r="F1653" s="51"/>
      <c r="G1653" s="51"/>
      <c r="H1653" s="52" t="s">
        <v>3275</v>
      </c>
      <c r="I1653" s="53" t="s">
        <v>161</v>
      </c>
      <c r="J1653" s="53">
        <v>1</v>
      </c>
      <c r="K1653" s="53">
        <v>1.1499999999999999</v>
      </c>
      <c r="L1653" s="54" t="s">
        <v>3215</v>
      </c>
      <c r="M1653" s="55">
        <v>0.98599999999999999</v>
      </c>
      <c r="N1653" s="55">
        <v>1.6E-2</v>
      </c>
      <c r="O1653" s="55">
        <v>1052.3689999999999</v>
      </c>
      <c r="P1653" s="56">
        <f t="shared" si="307"/>
        <v>1193.2812090999998</v>
      </c>
      <c r="Q1653" s="55">
        <v>2757.7041798239825</v>
      </c>
      <c r="R1653" s="56">
        <f t="shared" si="308"/>
        <v>50.741756908761282</v>
      </c>
      <c r="S1653" s="56">
        <f t="shared" si="309"/>
        <v>1244.0229660087612</v>
      </c>
      <c r="T1653" s="57">
        <f t="shared" si="312"/>
        <v>0.55859868298040061</v>
      </c>
      <c r="U1653" s="57">
        <f t="shared" si="313"/>
        <v>0.1</v>
      </c>
      <c r="V1653" s="55">
        <f t="shared" si="310"/>
        <v>2132.8258120604896</v>
      </c>
      <c r="W1653" s="58" t="s">
        <v>3235</v>
      </c>
    </row>
    <row r="1654" spans="1:23" x14ac:dyDescent="0.25">
      <c r="A1654" s="50">
        <f t="shared" ca="1" si="311"/>
        <v>1649</v>
      </c>
      <c r="B1654" s="51" t="s">
        <v>139</v>
      </c>
      <c r="C1654" s="51" t="s">
        <v>3276</v>
      </c>
      <c r="D1654" s="51"/>
      <c r="E1654" s="51"/>
      <c r="F1654" s="51"/>
      <c r="G1654" s="51"/>
      <c r="H1654" s="52" t="s">
        <v>3277</v>
      </c>
      <c r="I1654" s="53" t="s">
        <v>161</v>
      </c>
      <c r="J1654" s="53">
        <v>1</v>
      </c>
      <c r="K1654" s="53">
        <v>1.1499999999999999</v>
      </c>
      <c r="L1654" s="54" t="s">
        <v>3215</v>
      </c>
      <c r="M1654" s="55">
        <v>0.14799999999999999</v>
      </c>
      <c r="N1654" s="55">
        <v>1.4E-2</v>
      </c>
      <c r="O1654" s="55">
        <v>1017.1985435894751</v>
      </c>
      <c r="P1654" s="56">
        <f t="shared" si="307"/>
        <v>173.12719211892863</v>
      </c>
      <c r="Q1654" s="55">
        <v>2777.0693256854333</v>
      </c>
      <c r="R1654" s="56">
        <f t="shared" si="308"/>
        <v>44.710816143535475</v>
      </c>
      <c r="S1654" s="56">
        <f t="shared" si="309"/>
        <v>217.83800826246411</v>
      </c>
      <c r="T1654" s="57">
        <f t="shared" si="312"/>
        <v>0.55859868298040061</v>
      </c>
      <c r="U1654" s="57">
        <f t="shared" si="313"/>
        <v>0.1</v>
      </c>
      <c r="V1654" s="55">
        <f t="shared" si="310"/>
        <v>373.47423605904521</v>
      </c>
      <c r="W1654" s="58" t="s">
        <v>3235</v>
      </c>
    </row>
    <row r="1655" spans="1:23" x14ac:dyDescent="0.25">
      <c r="A1655" s="50">
        <f t="shared" ca="1" si="311"/>
        <v>1650</v>
      </c>
      <c r="B1655" s="51" t="s">
        <v>1245</v>
      </c>
      <c r="C1655" s="51" t="s">
        <v>3278</v>
      </c>
      <c r="D1655" s="51"/>
      <c r="E1655" s="51"/>
      <c r="F1655" s="51"/>
      <c r="G1655" s="51"/>
      <c r="H1655" s="52" t="s">
        <v>3279</v>
      </c>
      <c r="I1655" s="53" t="s">
        <v>104</v>
      </c>
      <c r="J1655" s="53">
        <v>1</v>
      </c>
      <c r="K1655" s="53">
        <v>1.1499999999999999</v>
      </c>
      <c r="L1655" s="54" t="s">
        <v>3215</v>
      </c>
      <c r="M1655" s="55">
        <v>0.15609999999999999</v>
      </c>
      <c r="N1655" s="55">
        <v>1.9E-2</v>
      </c>
      <c r="O1655" s="55">
        <v>1007.6071541501975</v>
      </c>
      <c r="P1655" s="56">
        <f t="shared" si="307"/>
        <v>180.88059827727267</v>
      </c>
      <c r="Q1655" s="55">
        <v>2922.65</v>
      </c>
      <c r="R1655" s="56">
        <f t="shared" si="308"/>
        <v>63.859902499999997</v>
      </c>
      <c r="S1655" s="56">
        <f t="shared" si="309"/>
        <v>244.74050077727267</v>
      </c>
      <c r="T1655" s="57">
        <f t="shared" si="312"/>
        <v>0.55859868298040061</v>
      </c>
      <c r="U1655" s="57">
        <f t="shared" si="313"/>
        <v>0.1</v>
      </c>
      <c r="V1655" s="55">
        <f t="shared" si="310"/>
        <v>419.59744440176297</v>
      </c>
      <c r="W1655" s="58" t="s">
        <v>3235</v>
      </c>
    </row>
    <row r="1656" spans="1:23" x14ac:dyDescent="0.25">
      <c r="A1656" s="50">
        <f t="shared" ca="1" si="311"/>
        <v>1651</v>
      </c>
      <c r="B1656" s="51" t="s">
        <v>1245</v>
      </c>
      <c r="C1656" s="51" t="s">
        <v>3280</v>
      </c>
      <c r="D1656" s="51"/>
      <c r="E1656" s="51"/>
      <c r="F1656" s="51"/>
      <c r="G1656" s="51"/>
      <c r="H1656" s="52" t="s">
        <v>3281</v>
      </c>
      <c r="I1656" s="53" t="s">
        <v>161</v>
      </c>
      <c r="J1656" s="53">
        <v>1</v>
      </c>
      <c r="K1656" s="53">
        <v>1.1499999999999999</v>
      </c>
      <c r="L1656" s="54" t="s">
        <v>3215</v>
      </c>
      <c r="M1656" s="55">
        <v>0.26900000000000002</v>
      </c>
      <c r="N1656" s="55">
        <v>1.7299999999999999E-2</v>
      </c>
      <c r="O1656" s="55">
        <v>1007.6071541501975</v>
      </c>
      <c r="P1656" s="56">
        <f t="shared" si="307"/>
        <v>311.70327313636358</v>
      </c>
      <c r="Q1656" s="55">
        <v>2922.65</v>
      </c>
      <c r="R1656" s="56">
        <f t="shared" si="308"/>
        <v>58.146121749999992</v>
      </c>
      <c r="S1656" s="56">
        <f t="shared" si="309"/>
        <v>369.8493948863636</v>
      </c>
      <c r="T1656" s="57">
        <f t="shared" si="312"/>
        <v>0.55859868298040061</v>
      </c>
      <c r="U1656" s="57">
        <f t="shared" si="313"/>
        <v>0.1</v>
      </c>
      <c r="V1656" s="55">
        <f t="shared" si="310"/>
        <v>634.09145774808292</v>
      </c>
      <c r="W1656" s="58" t="s">
        <v>3235</v>
      </c>
    </row>
    <row r="1657" spans="1:23" ht="25.5" x14ac:dyDescent="0.25">
      <c r="A1657" s="50">
        <f t="shared" ca="1" si="311"/>
        <v>1652</v>
      </c>
      <c r="B1657" s="51" t="s">
        <v>1245</v>
      </c>
      <c r="C1657" s="51" t="s">
        <v>3282</v>
      </c>
      <c r="D1657" s="51"/>
      <c r="E1657" s="51"/>
      <c r="F1657" s="51"/>
      <c r="G1657" s="51"/>
      <c r="H1657" s="52" t="s">
        <v>3283</v>
      </c>
      <c r="I1657" s="53" t="s">
        <v>161</v>
      </c>
      <c r="J1657" s="53">
        <v>1</v>
      </c>
      <c r="K1657" s="53">
        <v>1.1499999999999999</v>
      </c>
      <c r="L1657" s="54" t="s">
        <v>3215</v>
      </c>
      <c r="M1657" s="55">
        <v>0.4788</v>
      </c>
      <c r="N1657" s="55">
        <v>1.5599999999999999E-2</v>
      </c>
      <c r="O1657" s="55">
        <v>1007.6071541501975</v>
      </c>
      <c r="P1657" s="56">
        <f t="shared" si="307"/>
        <v>554.80865121818169</v>
      </c>
      <c r="Q1657" s="55">
        <v>2922.65</v>
      </c>
      <c r="R1657" s="56">
        <f t="shared" si="308"/>
        <v>52.432340999999994</v>
      </c>
      <c r="S1657" s="56">
        <f t="shared" si="309"/>
        <v>607.24099221818165</v>
      </c>
      <c r="T1657" s="57">
        <f t="shared" si="312"/>
        <v>0.55859868298040061</v>
      </c>
      <c r="U1657" s="57">
        <f t="shared" si="313"/>
        <v>0.1</v>
      </c>
      <c r="V1657" s="55">
        <f t="shared" si="310"/>
        <v>1041.0895117952664</v>
      </c>
      <c r="W1657" s="58" t="s">
        <v>3235</v>
      </c>
    </row>
    <row r="1658" spans="1:23" x14ac:dyDescent="0.25">
      <c r="A1658" s="50">
        <f t="shared" ca="1" si="311"/>
        <v>1653</v>
      </c>
      <c r="B1658" s="51" t="s">
        <v>1245</v>
      </c>
      <c r="C1658" s="51" t="s">
        <v>3284</v>
      </c>
      <c r="D1658" s="51"/>
      <c r="E1658" s="51"/>
      <c r="F1658" s="51"/>
      <c r="G1658" s="51"/>
      <c r="H1658" s="52" t="s">
        <v>3285</v>
      </c>
      <c r="I1658" s="53" t="s">
        <v>161</v>
      </c>
      <c r="J1658" s="53">
        <v>1</v>
      </c>
      <c r="K1658" s="53">
        <v>1.1499999999999999</v>
      </c>
      <c r="L1658" s="54" t="s">
        <v>3215</v>
      </c>
      <c r="M1658" s="55">
        <v>0.1031</v>
      </c>
      <c r="N1658" s="55">
        <v>1.7299999999999999E-2</v>
      </c>
      <c r="O1658" s="55">
        <v>1007.6071541501975</v>
      </c>
      <c r="P1658" s="56">
        <f t="shared" si="307"/>
        <v>119.46694223181815</v>
      </c>
      <c r="Q1658" s="55">
        <v>2922.65</v>
      </c>
      <c r="R1658" s="56">
        <f t="shared" si="308"/>
        <v>58.146121749999992</v>
      </c>
      <c r="S1658" s="56">
        <f t="shared" si="309"/>
        <v>177.61306398181813</v>
      </c>
      <c r="T1658" s="57">
        <f t="shared" si="312"/>
        <v>0.55859868298040061</v>
      </c>
      <c r="U1658" s="57">
        <f t="shared" si="313"/>
        <v>0.1</v>
      </c>
      <c r="V1658" s="55">
        <f t="shared" si="310"/>
        <v>304.5102363623929</v>
      </c>
      <c r="W1658" s="58" t="s">
        <v>3235</v>
      </c>
    </row>
    <row r="1659" spans="1:23" x14ac:dyDescent="0.25">
      <c r="A1659" s="50">
        <f t="shared" ca="1" si="311"/>
        <v>1654</v>
      </c>
      <c r="B1659" s="51" t="s">
        <v>1245</v>
      </c>
      <c r="C1659" s="51" t="s">
        <v>3286</v>
      </c>
      <c r="D1659" s="51"/>
      <c r="E1659" s="51"/>
      <c r="F1659" s="51"/>
      <c r="G1659" s="51"/>
      <c r="H1659" s="52" t="s">
        <v>1307</v>
      </c>
      <c r="I1659" s="53" t="s">
        <v>104</v>
      </c>
      <c r="J1659" s="53">
        <v>1</v>
      </c>
      <c r="K1659" s="53">
        <v>1.1499999999999999</v>
      </c>
      <c r="L1659" s="54" t="s">
        <v>3215</v>
      </c>
      <c r="M1659" s="55">
        <v>0.1288</v>
      </c>
      <c r="N1659" s="55">
        <v>1.9E-2</v>
      </c>
      <c r="O1659" s="55">
        <v>1007.6071541501975</v>
      </c>
      <c r="P1659" s="56">
        <f t="shared" si="307"/>
        <v>149.24677167272725</v>
      </c>
      <c r="Q1659" s="55">
        <v>2922.65</v>
      </c>
      <c r="R1659" s="56">
        <f t="shared" si="308"/>
        <v>63.859902499999997</v>
      </c>
      <c r="S1659" s="56">
        <f t="shared" si="309"/>
        <v>213.10667417272725</v>
      </c>
      <c r="T1659" s="57">
        <f t="shared" si="312"/>
        <v>0.55859868298040061</v>
      </c>
      <c r="U1659" s="57">
        <f t="shared" si="313"/>
        <v>0.1</v>
      </c>
      <c r="V1659" s="55">
        <f t="shared" si="310"/>
        <v>365.36255986994064</v>
      </c>
      <c r="W1659" s="58" t="s">
        <v>3235</v>
      </c>
    </row>
    <row r="1660" spans="1:23" x14ac:dyDescent="0.25">
      <c r="A1660" s="50">
        <f t="shared" ca="1" si="311"/>
        <v>1655</v>
      </c>
      <c r="B1660" s="51" t="s">
        <v>1245</v>
      </c>
      <c r="C1660" s="51" t="s">
        <v>3287</v>
      </c>
      <c r="D1660" s="51"/>
      <c r="E1660" s="51"/>
      <c r="F1660" s="51"/>
      <c r="G1660" s="51"/>
      <c r="H1660" s="52" t="s">
        <v>3288</v>
      </c>
      <c r="I1660" s="53" t="s">
        <v>104</v>
      </c>
      <c r="J1660" s="53">
        <v>1</v>
      </c>
      <c r="K1660" s="53">
        <v>1.1499999999999999</v>
      </c>
      <c r="L1660" s="54"/>
      <c r="M1660" s="55">
        <v>0.57799999999999996</v>
      </c>
      <c r="N1660" s="55">
        <v>1.9800000000000002E-2</v>
      </c>
      <c r="O1660" s="55">
        <v>1007.6071541501975</v>
      </c>
      <c r="P1660" s="56">
        <f t="shared" si="307"/>
        <v>669.75647536363613</v>
      </c>
      <c r="Q1660" s="55">
        <v>2922.65</v>
      </c>
      <c r="R1660" s="56">
        <f t="shared" si="308"/>
        <v>66.548740500000008</v>
      </c>
      <c r="S1660" s="56">
        <f t="shared" si="309"/>
        <v>736.30521586363614</v>
      </c>
      <c r="T1660" s="57">
        <f t="shared" si="312"/>
        <v>0.55859868298040061</v>
      </c>
      <c r="U1660" s="57">
        <f t="shared" si="313"/>
        <v>0.1</v>
      </c>
      <c r="V1660" s="55">
        <f t="shared" si="310"/>
        <v>1262.3647736883293</v>
      </c>
      <c r="W1660" s="58" t="s">
        <v>3235</v>
      </c>
    </row>
    <row r="1661" spans="1:23" x14ac:dyDescent="0.25">
      <c r="A1661" s="50">
        <f t="shared" ca="1" si="311"/>
        <v>1656</v>
      </c>
      <c r="B1661" s="51" t="s">
        <v>3076</v>
      </c>
      <c r="C1661" s="51" t="s">
        <v>3289</v>
      </c>
      <c r="D1661" s="51"/>
      <c r="E1661" s="51"/>
      <c r="F1661" s="51"/>
      <c r="G1661" s="51"/>
      <c r="H1661" s="52" t="s">
        <v>3290</v>
      </c>
      <c r="I1661" s="53" t="s">
        <v>3211</v>
      </c>
      <c r="J1661" s="53">
        <v>1</v>
      </c>
      <c r="K1661" s="53">
        <v>1.1499999999999999</v>
      </c>
      <c r="L1661" s="54" t="s">
        <v>3215</v>
      </c>
      <c r="M1661" s="55">
        <v>0</v>
      </c>
      <c r="N1661" s="55">
        <v>1.0999999999999999E-2</v>
      </c>
      <c r="O1661" s="55">
        <v>1026.1554267157103</v>
      </c>
      <c r="P1661" s="56">
        <f t="shared" si="307"/>
        <v>0</v>
      </c>
      <c r="Q1661" s="55">
        <v>1602</v>
      </c>
      <c r="R1661" s="56">
        <f t="shared" si="308"/>
        <v>20.2653</v>
      </c>
      <c r="S1661" s="56">
        <f t="shared" si="309"/>
        <v>20.2653</v>
      </c>
      <c r="T1661" s="57">
        <f t="shared" si="312"/>
        <v>0.55859868298040061</v>
      </c>
      <c r="U1661" s="57">
        <f t="shared" si="313"/>
        <v>0.1</v>
      </c>
      <c r="V1661" s="55">
        <f t="shared" si="310"/>
        <v>34.744016879222983</v>
      </c>
      <c r="W1661" s="58" t="s">
        <v>3235</v>
      </c>
    </row>
    <row r="1662" spans="1:23" x14ac:dyDescent="0.25">
      <c r="A1662" s="50">
        <f t="shared" ca="1" si="311"/>
        <v>1657</v>
      </c>
      <c r="B1662" s="51" t="s">
        <v>139</v>
      </c>
      <c r="C1662" s="51" t="s">
        <v>3291</v>
      </c>
      <c r="D1662" s="51"/>
      <c r="E1662" s="51"/>
      <c r="F1662" s="51"/>
      <c r="G1662" s="51"/>
      <c r="H1662" s="52" t="s">
        <v>3292</v>
      </c>
      <c r="I1662" s="53" t="s">
        <v>104</v>
      </c>
      <c r="J1662" s="53">
        <v>1</v>
      </c>
      <c r="K1662" s="53">
        <v>1.1499999999999999</v>
      </c>
      <c r="L1662" s="54" t="s">
        <v>3215</v>
      </c>
      <c r="M1662" s="55">
        <v>0.18060000000000001</v>
      </c>
      <c r="N1662" s="55">
        <v>1.9800000000000002E-2</v>
      </c>
      <c r="O1662" s="55">
        <v>1017.1985435894751</v>
      </c>
      <c r="P1662" s="56">
        <f t="shared" si="307"/>
        <v>211.26196551809807</v>
      </c>
      <c r="Q1662" s="55">
        <v>2777.0693256854333</v>
      </c>
      <c r="R1662" s="56">
        <f t="shared" si="308"/>
        <v>63.233868545857312</v>
      </c>
      <c r="S1662" s="56">
        <f t="shared" si="309"/>
        <v>274.49583406395539</v>
      </c>
      <c r="T1662" s="57">
        <f t="shared" si="312"/>
        <v>0.55859868298040061</v>
      </c>
      <c r="U1662" s="57">
        <f t="shared" si="313"/>
        <v>0.1</v>
      </c>
      <c r="V1662" s="55">
        <f t="shared" si="310"/>
        <v>470.61173000125621</v>
      </c>
      <c r="W1662" s="58" t="s">
        <v>3235</v>
      </c>
    </row>
    <row r="1663" spans="1:23" ht="25.5" x14ac:dyDescent="0.25">
      <c r="A1663" s="50">
        <f t="shared" ca="1" si="311"/>
        <v>1658</v>
      </c>
      <c r="B1663" s="51" t="s">
        <v>139</v>
      </c>
      <c r="C1663" s="51" t="s">
        <v>3293</v>
      </c>
      <c r="D1663" s="51"/>
      <c r="E1663" s="51"/>
      <c r="F1663" s="51"/>
      <c r="G1663" s="51"/>
      <c r="H1663" s="52" t="s">
        <v>3294</v>
      </c>
      <c r="I1663" s="53" t="s">
        <v>161</v>
      </c>
      <c r="J1663" s="53">
        <v>1</v>
      </c>
      <c r="K1663" s="53">
        <v>1.1499999999999999</v>
      </c>
      <c r="L1663" s="54" t="s">
        <v>3215</v>
      </c>
      <c r="M1663" s="55">
        <v>0.628</v>
      </c>
      <c r="N1663" s="55">
        <v>1.4E-2</v>
      </c>
      <c r="O1663" s="55">
        <v>1017.1985435894751</v>
      </c>
      <c r="P1663" s="56">
        <f t="shared" si="307"/>
        <v>734.62078818031887</v>
      </c>
      <c r="Q1663" s="55">
        <v>2777.0693256854333</v>
      </c>
      <c r="R1663" s="56">
        <f t="shared" si="308"/>
        <v>44.710816143535475</v>
      </c>
      <c r="S1663" s="56">
        <f t="shared" si="309"/>
        <v>779.33160432385432</v>
      </c>
      <c r="T1663" s="57">
        <f t="shared" si="312"/>
        <v>0.55859868298040061</v>
      </c>
      <c r="U1663" s="57">
        <f t="shared" si="313"/>
        <v>0.1</v>
      </c>
      <c r="V1663" s="55">
        <f t="shared" si="310"/>
        <v>1336.1317333145782</v>
      </c>
      <c r="W1663" s="58" t="s">
        <v>3235</v>
      </c>
    </row>
    <row r="1664" spans="1:23" x14ac:dyDescent="0.25">
      <c r="A1664" s="50">
        <f t="shared" ca="1" si="311"/>
        <v>1659</v>
      </c>
      <c r="B1664" s="51" t="s">
        <v>139</v>
      </c>
      <c r="C1664" s="51" t="s">
        <v>3295</v>
      </c>
      <c r="D1664" s="51"/>
      <c r="E1664" s="51"/>
      <c r="F1664" s="51"/>
      <c r="G1664" s="51"/>
      <c r="H1664" s="52" t="s">
        <v>3296</v>
      </c>
      <c r="I1664" s="53" t="s">
        <v>161</v>
      </c>
      <c r="J1664" s="53">
        <v>1</v>
      </c>
      <c r="K1664" s="53">
        <v>1.1499999999999999</v>
      </c>
      <c r="L1664" s="54" t="s">
        <v>3215</v>
      </c>
      <c r="M1664" s="55">
        <v>3.7090000000000001</v>
      </c>
      <c r="N1664" s="55">
        <v>0.56499999999999995</v>
      </c>
      <c r="O1664" s="55">
        <v>1017.1985435894751</v>
      </c>
      <c r="P1664" s="56">
        <f t="shared" si="307"/>
        <v>4338.7078078993673</v>
      </c>
      <c r="Q1664" s="55">
        <v>2777.0693256854333</v>
      </c>
      <c r="R1664" s="56">
        <f t="shared" si="308"/>
        <v>1804.4007943641102</v>
      </c>
      <c r="S1664" s="56">
        <f t="shared" si="309"/>
        <v>6143.1086022634772</v>
      </c>
      <c r="T1664" s="57">
        <f t="shared" si="312"/>
        <v>0.55859868298040061</v>
      </c>
      <c r="U1664" s="57">
        <f t="shared" si="313"/>
        <v>0.1</v>
      </c>
      <c r="V1664" s="55">
        <f t="shared" si="310"/>
        <v>10532.105074582767</v>
      </c>
      <c r="W1664" s="58" t="s">
        <v>3235</v>
      </c>
    </row>
    <row r="1665" spans="1:23" ht="25.5" x14ac:dyDescent="0.25">
      <c r="A1665" s="50">
        <f t="shared" ca="1" si="311"/>
        <v>1660</v>
      </c>
      <c r="B1665" s="51" t="s">
        <v>2503</v>
      </c>
      <c r="C1665" s="51" t="s">
        <v>3297</v>
      </c>
      <c r="D1665" s="51"/>
      <c r="E1665" s="51"/>
      <c r="F1665" s="51"/>
      <c r="G1665" s="51"/>
      <c r="H1665" s="52" t="s">
        <v>3298</v>
      </c>
      <c r="I1665" s="53" t="s">
        <v>161</v>
      </c>
      <c r="J1665" s="53">
        <v>1</v>
      </c>
      <c r="K1665" s="53">
        <v>1.1499999999999999</v>
      </c>
      <c r="L1665" s="54" t="s">
        <v>3215</v>
      </c>
      <c r="M1665" s="55">
        <v>162.184</v>
      </c>
      <c r="N1665" s="55">
        <v>0</v>
      </c>
      <c r="O1665" s="55">
        <v>1324.54</v>
      </c>
      <c r="P1665" s="56">
        <f t="shared" si="307"/>
        <v>247042.07466399996</v>
      </c>
      <c r="Q1665" s="55">
        <v>0</v>
      </c>
      <c r="R1665" s="56">
        <f t="shared" si="308"/>
        <v>0</v>
      </c>
      <c r="S1665" s="56">
        <f t="shared" si="309"/>
        <v>247042.07466399996</v>
      </c>
      <c r="T1665" s="57">
        <f t="shared" si="312"/>
        <v>0.55859868298040061</v>
      </c>
      <c r="U1665" s="57">
        <f t="shared" si="313"/>
        <v>0.1</v>
      </c>
      <c r="V1665" s="55">
        <f t="shared" si="310"/>
        <v>423543.39743326174</v>
      </c>
      <c r="W1665" s="58" t="s">
        <v>3235</v>
      </c>
    </row>
    <row r="1666" spans="1:23" ht="25.5" x14ac:dyDescent="0.25">
      <c r="A1666" s="50">
        <f t="shared" ca="1" si="311"/>
        <v>1661</v>
      </c>
      <c r="B1666" s="51" t="s">
        <v>2854</v>
      </c>
      <c r="C1666" s="51" t="s">
        <v>3299</v>
      </c>
      <c r="D1666" s="51"/>
      <c r="E1666" s="51"/>
      <c r="F1666" s="51"/>
      <c r="G1666" s="51"/>
      <c r="H1666" s="52" t="s">
        <v>3300</v>
      </c>
      <c r="I1666" s="53" t="s">
        <v>161</v>
      </c>
      <c r="J1666" s="53">
        <v>1</v>
      </c>
      <c r="K1666" s="53">
        <v>1.1499999999999999</v>
      </c>
      <c r="L1666" s="54" t="s">
        <v>3215</v>
      </c>
      <c r="M1666" s="55">
        <v>69.495999999999995</v>
      </c>
      <c r="N1666" s="55">
        <v>0</v>
      </c>
      <c r="O1666" s="55">
        <v>1324.54</v>
      </c>
      <c r="P1666" s="56">
        <f t="shared" si="307"/>
        <v>105857.76661599998</v>
      </c>
      <c r="Q1666" s="55">
        <v>0</v>
      </c>
      <c r="R1666" s="56">
        <f t="shared" si="308"/>
        <v>0</v>
      </c>
      <c r="S1666" s="56">
        <f t="shared" si="309"/>
        <v>105857.76661599998</v>
      </c>
      <c r="T1666" s="57">
        <f t="shared" si="312"/>
        <v>0.55859868298040061</v>
      </c>
      <c r="U1666" s="57">
        <f t="shared" si="313"/>
        <v>0.1</v>
      </c>
      <c r="V1666" s="55">
        <f t="shared" si="310"/>
        <v>181488.75319403858</v>
      </c>
      <c r="W1666" s="58" t="s">
        <v>3235</v>
      </c>
    </row>
    <row r="1667" spans="1:23" x14ac:dyDescent="0.25">
      <c r="A1667" s="50">
        <f t="shared" ca="1" si="311"/>
        <v>1662</v>
      </c>
      <c r="B1667" s="51" t="s">
        <v>139</v>
      </c>
      <c r="C1667" s="51" t="s">
        <v>3301</v>
      </c>
      <c r="D1667" s="51"/>
      <c r="E1667" s="51"/>
      <c r="F1667" s="51"/>
      <c r="G1667" s="51"/>
      <c r="H1667" s="52" t="s">
        <v>3302</v>
      </c>
      <c r="I1667" s="53" t="s">
        <v>104</v>
      </c>
      <c r="J1667" s="53">
        <v>1</v>
      </c>
      <c r="K1667" s="53">
        <v>1.1499999999999999</v>
      </c>
      <c r="L1667" s="54" t="s">
        <v>3215</v>
      </c>
      <c r="M1667" s="55">
        <v>0.182</v>
      </c>
      <c r="N1667" s="55">
        <v>1.7000000000000001E-2</v>
      </c>
      <c r="O1667" s="55">
        <v>1017.1985435894751</v>
      </c>
      <c r="P1667" s="56">
        <f t="shared" si="307"/>
        <v>212.89965517327713</v>
      </c>
      <c r="Q1667" s="55">
        <v>2777.0693256854333</v>
      </c>
      <c r="R1667" s="56">
        <f t="shared" si="308"/>
        <v>54.291705317150225</v>
      </c>
      <c r="S1667" s="56">
        <f t="shared" si="309"/>
        <v>267.19136049042737</v>
      </c>
      <c r="T1667" s="57">
        <f t="shared" si="312"/>
        <v>0.55859868298040061</v>
      </c>
      <c r="U1667" s="57">
        <f t="shared" si="313"/>
        <v>0.1</v>
      </c>
      <c r="V1667" s="55">
        <f t="shared" si="310"/>
        <v>458.08851282053365</v>
      </c>
      <c r="W1667" s="58" t="s">
        <v>3235</v>
      </c>
    </row>
    <row r="1668" spans="1:23" x14ac:dyDescent="0.25">
      <c r="A1668" s="50">
        <f t="shared" ca="1" si="311"/>
        <v>1663</v>
      </c>
      <c r="B1668" s="51" t="s">
        <v>139</v>
      </c>
      <c r="C1668" s="51" t="s">
        <v>3303</v>
      </c>
      <c r="D1668" s="51"/>
      <c r="E1668" s="51"/>
      <c r="F1668" s="51"/>
      <c r="G1668" s="51"/>
      <c r="H1668" s="52" t="s">
        <v>3304</v>
      </c>
      <c r="I1668" s="53" t="s">
        <v>161</v>
      </c>
      <c r="J1668" s="53">
        <v>1</v>
      </c>
      <c r="K1668" s="53">
        <v>1.1499999999999999</v>
      </c>
      <c r="L1668" s="54" t="s">
        <v>3215</v>
      </c>
      <c r="M1668" s="55">
        <v>0.27800000000000002</v>
      </c>
      <c r="N1668" s="55">
        <v>1.4E-2</v>
      </c>
      <c r="O1668" s="55">
        <v>1017.1985435894751</v>
      </c>
      <c r="P1668" s="56">
        <f t="shared" si="307"/>
        <v>325.19837438555521</v>
      </c>
      <c r="Q1668" s="55">
        <v>2777.0693256854333</v>
      </c>
      <c r="R1668" s="56">
        <f t="shared" si="308"/>
        <v>44.710816143535475</v>
      </c>
      <c r="S1668" s="56">
        <f t="shared" si="309"/>
        <v>369.90919052909067</v>
      </c>
      <c r="T1668" s="57">
        <f t="shared" si="312"/>
        <v>0.55859868298040061</v>
      </c>
      <c r="U1668" s="57">
        <f t="shared" si="313"/>
        <v>0.1</v>
      </c>
      <c r="V1668" s="55">
        <f t="shared" si="310"/>
        <v>634.19397489908556</v>
      </c>
      <c r="W1668" s="58" t="s">
        <v>3235</v>
      </c>
    </row>
    <row r="1669" spans="1:23" x14ac:dyDescent="0.25">
      <c r="A1669" s="50">
        <f ca="1">A1668+1</f>
        <v>1664</v>
      </c>
      <c r="B1669" s="51" t="s">
        <v>3305</v>
      </c>
      <c r="C1669" s="51" t="s">
        <v>3306</v>
      </c>
      <c r="D1669" s="51"/>
      <c r="E1669" s="51"/>
      <c r="F1669" s="51"/>
      <c r="G1669" s="51"/>
      <c r="H1669" s="52" t="s">
        <v>3307</v>
      </c>
      <c r="I1669" s="53" t="s">
        <v>161</v>
      </c>
      <c r="J1669" s="53">
        <v>1</v>
      </c>
      <c r="K1669" s="53">
        <v>1.1499999999999999</v>
      </c>
      <c r="L1669" s="54" t="s">
        <v>3215</v>
      </c>
      <c r="M1669" s="55">
        <v>1.03</v>
      </c>
      <c r="N1669" s="55">
        <v>0.01</v>
      </c>
      <c r="O1669" s="55">
        <v>1050.00512485276</v>
      </c>
      <c r="P1669" s="56">
        <f t="shared" si="307"/>
        <v>1243.7310703880942</v>
      </c>
      <c r="Q1669" s="55">
        <v>2740.6203936571947</v>
      </c>
      <c r="R1669" s="56">
        <f t="shared" si="308"/>
        <v>31.517134527057738</v>
      </c>
      <c r="S1669" s="56">
        <f t="shared" si="309"/>
        <v>1275.248204915152</v>
      </c>
      <c r="T1669" s="57">
        <f t="shared" si="312"/>
        <v>0.55859868298040061</v>
      </c>
      <c r="U1669" s="57">
        <f t="shared" si="313"/>
        <v>0.1</v>
      </c>
      <c r="V1669" s="55">
        <f t="shared" si="310"/>
        <v>2186.3601899192636</v>
      </c>
      <c r="W1669" s="58" t="s">
        <v>3308</v>
      </c>
    </row>
    <row r="1670" spans="1:23" x14ac:dyDescent="0.25">
      <c r="A1670" s="50">
        <f t="shared" ca="1" si="311"/>
        <v>1665</v>
      </c>
      <c r="B1670" s="51" t="s">
        <v>1453</v>
      </c>
      <c r="C1670" s="51" t="s">
        <v>3309</v>
      </c>
      <c r="D1670" s="51"/>
      <c r="E1670" s="51"/>
      <c r="F1670" s="51"/>
      <c r="G1670" s="51"/>
      <c r="H1670" s="52" t="s">
        <v>3310</v>
      </c>
      <c r="I1670" s="53" t="s">
        <v>104</v>
      </c>
      <c r="J1670" s="53">
        <v>1</v>
      </c>
      <c r="K1670" s="53">
        <v>1.1499999999999999</v>
      </c>
      <c r="L1670" s="54" t="s">
        <v>3215</v>
      </c>
      <c r="M1670" s="55">
        <v>0.2</v>
      </c>
      <c r="N1670" s="55">
        <v>2.1000000000000001E-2</v>
      </c>
      <c r="O1670" s="55">
        <v>1052.3689999999999</v>
      </c>
      <c r="P1670" s="56">
        <f t="shared" si="307"/>
        <v>242.04486999999997</v>
      </c>
      <c r="Q1670" s="55">
        <v>2757.7041798239825</v>
      </c>
      <c r="R1670" s="56">
        <f t="shared" si="308"/>
        <v>66.598555942749172</v>
      </c>
      <c r="S1670" s="56">
        <f t="shared" si="309"/>
        <v>308.64342594274916</v>
      </c>
      <c r="T1670" s="57">
        <f t="shared" si="312"/>
        <v>0.55859868298040061</v>
      </c>
      <c r="U1670" s="57">
        <f t="shared" si="313"/>
        <v>0.1</v>
      </c>
      <c r="V1670" s="55">
        <f t="shared" si="310"/>
        <v>529.15636090342048</v>
      </c>
      <c r="W1670" s="58" t="s">
        <v>3308</v>
      </c>
    </row>
    <row r="1671" spans="1:23" ht="25.5" x14ac:dyDescent="0.25">
      <c r="A1671" s="50">
        <f t="shared" ca="1" si="311"/>
        <v>1666</v>
      </c>
      <c r="B1671" s="51" t="s">
        <v>1453</v>
      </c>
      <c r="C1671" s="51" t="s">
        <v>3311</v>
      </c>
      <c r="D1671" s="51"/>
      <c r="E1671" s="51"/>
      <c r="F1671" s="51"/>
      <c r="G1671" s="51"/>
      <c r="H1671" s="52" t="s">
        <v>3312</v>
      </c>
      <c r="I1671" s="53" t="s">
        <v>161</v>
      </c>
      <c r="J1671" s="53">
        <v>1</v>
      </c>
      <c r="K1671" s="53">
        <v>1.1499999999999999</v>
      </c>
      <c r="L1671" s="54" t="s">
        <v>3215</v>
      </c>
      <c r="M1671" s="55">
        <v>1.8140000000000001</v>
      </c>
      <c r="N1671" s="55">
        <v>1.6E-2</v>
      </c>
      <c r="O1671" s="55">
        <v>1052.3689999999999</v>
      </c>
      <c r="P1671" s="56">
        <f t="shared" si="307"/>
        <v>2195.3469708999996</v>
      </c>
      <c r="Q1671" s="55">
        <v>2757.7041798239825</v>
      </c>
      <c r="R1671" s="56">
        <f t="shared" si="308"/>
        <v>50.741756908761282</v>
      </c>
      <c r="S1671" s="56">
        <f t="shared" si="309"/>
        <v>2246.0887278087607</v>
      </c>
      <c r="T1671" s="57">
        <f t="shared" si="312"/>
        <v>0.55859868298040061</v>
      </c>
      <c r="U1671" s="57">
        <f t="shared" si="313"/>
        <v>0.1</v>
      </c>
      <c r="V1671" s="55">
        <f t="shared" si="310"/>
        <v>3850.826026321844</v>
      </c>
      <c r="W1671" s="58" t="s">
        <v>3308</v>
      </c>
    </row>
    <row r="1672" spans="1:23" x14ac:dyDescent="0.25">
      <c r="A1672" s="50">
        <f t="shared" ca="1" si="311"/>
        <v>1667</v>
      </c>
      <c r="B1672" s="51" t="s">
        <v>139</v>
      </c>
      <c r="C1672" s="51" t="s">
        <v>3313</v>
      </c>
      <c r="D1672" s="51"/>
      <c r="E1672" s="51"/>
      <c r="F1672" s="51"/>
      <c r="G1672" s="51"/>
      <c r="H1672" s="52" t="s">
        <v>3314</v>
      </c>
      <c r="I1672" s="53" t="s">
        <v>104</v>
      </c>
      <c r="J1672" s="53">
        <v>1</v>
      </c>
      <c r="K1672" s="53">
        <v>1.1499999999999999</v>
      </c>
      <c r="L1672" s="54" t="s">
        <v>3215</v>
      </c>
      <c r="M1672" s="55">
        <v>0.18340000000000001</v>
      </c>
      <c r="N1672" s="55">
        <v>1.7999999999999999E-2</v>
      </c>
      <c r="O1672" s="55">
        <v>1017.1985435894751</v>
      </c>
      <c r="P1672" s="56">
        <f t="shared" si="307"/>
        <v>214.53734482845618</v>
      </c>
      <c r="Q1672" s="55">
        <v>2777.0693256854333</v>
      </c>
      <c r="R1672" s="56">
        <f t="shared" si="308"/>
        <v>57.485335041688458</v>
      </c>
      <c r="S1672" s="56">
        <f t="shared" si="309"/>
        <v>272.02267987014466</v>
      </c>
      <c r="T1672" s="57">
        <f t="shared" si="312"/>
        <v>0.55859868298040061</v>
      </c>
      <c r="U1672" s="57">
        <f t="shared" si="313"/>
        <v>0.1</v>
      </c>
      <c r="V1672" s="55">
        <f t="shared" si="310"/>
        <v>466.37160964504727</v>
      </c>
      <c r="W1672" s="58" t="s">
        <v>3308</v>
      </c>
    </row>
    <row r="1673" spans="1:23" ht="25.5" x14ac:dyDescent="0.25">
      <c r="A1673" s="50">
        <f t="shared" ca="1" si="311"/>
        <v>1668</v>
      </c>
      <c r="B1673" s="51" t="s">
        <v>139</v>
      </c>
      <c r="C1673" s="51" t="s">
        <v>3315</v>
      </c>
      <c r="D1673" s="51"/>
      <c r="E1673" s="51"/>
      <c r="F1673" s="51"/>
      <c r="G1673" s="51"/>
      <c r="H1673" s="52" t="s">
        <v>3316</v>
      </c>
      <c r="I1673" s="53" t="s">
        <v>161</v>
      </c>
      <c r="J1673" s="53">
        <v>1</v>
      </c>
      <c r="K1673" s="53">
        <v>1.1499999999999999</v>
      </c>
      <c r="L1673" s="54" t="s">
        <v>3215</v>
      </c>
      <c r="M1673" s="55">
        <v>0.2429</v>
      </c>
      <c r="N1673" s="55">
        <v>1.2E-2</v>
      </c>
      <c r="O1673" s="55">
        <v>1017.1985435894751</v>
      </c>
      <c r="P1673" s="56">
        <f t="shared" si="307"/>
        <v>284.139155173566</v>
      </c>
      <c r="Q1673" s="55">
        <v>2777.0693256854333</v>
      </c>
      <c r="R1673" s="56">
        <f t="shared" si="308"/>
        <v>38.323556694458979</v>
      </c>
      <c r="S1673" s="56">
        <f t="shared" si="309"/>
        <v>322.462711868025</v>
      </c>
      <c r="T1673" s="57">
        <f t="shared" si="312"/>
        <v>0.55859868298040061</v>
      </c>
      <c r="U1673" s="57">
        <f t="shared" si="313"/>
        <v>0.1</v>
      </c>
      <c r="V1673" s="55">
        <f t="shared" si="310"/>
        <v>552.8489538305713</v>
      </c>
      <c r="W1673" s="58" t="s">
        <v>3308</v>
      </c>
    </row>
    <row r="1674" spans="1:23" ht="25.5" x14ac:dyDescent="0.25">
      <c r="A1674" s="50">
        <f t="shared" ca="1" si="311"/>
        <v>1669</v>
      </c>
      <c r="B1674" s="51" t="s">
        <v>3317</v>
      </c>
      <c r="C1674" s="51" t="s">
        <v>3318</v>
      </c>
      <c r="D1674" s="51"/>
      <c r="E1674" s="51"/>
      <c r="F1674" s="51"/>
      <c r="G1674" s="51"/>
      <c r="H1674" s="52" t="s">
        <v>3319</v>
      </c>
      <c r="I1674" s="53" t="s">
        <v>2408</v>
      </c>
      <c r="J1674" s="53">
        <v>1</v>
      </c>
      <c r="K1674" s="53">
        <v>1.1499999999999999</v>
      </c>
      <c r="L1674" s="54" t="s">
        <v>3215</v>
      </c>
      <c r="M1674" s="55">
        <v>2.8504999999999998</v>
      </c>
      <c r="N1674" s="55">
        <v>3.9100000000000003E-2</v>
      </c>
      <c r="O1674" s="55">
        <v>1050.00512485276</v>
      </c>
      <c r="P1674" s="56">
        <f t="shared" si="307"/>
        <v>3441.9955496517109</v>
      </c>
      <c r="Q1674" s="55">
        <v>2740.6203936571947</v>
      </c>
      <c r="R1674" s="56">
        <f t="shared" si="308"/>
        <v>123.23199600079575</v>
      </c>
      <c r="S1674" s="56">
        <f t="shared" si="309"/>
        <v>3565.2275456525067</v>
      </c>
      <c r="T1674" s="57">
        <f t="shared" si="312"/>
        <v>0.55859868298040061</v>
      </c>
      <c r="U1674" s="57">
        <f t="shared" si="313"/>
        <v>0.1</v>
      </c>
      <c r="V1674" s="55">
        <f t="shared" si="310"/>
        <v>6112.4348528973878</v>
      </c>
      <c r="W1674" s="58" t="s">
        <v>3308</v>
      </c>
    </row>
    <row r="1675" spans="1:23" ht="25.5" x14ac:dyDescent="0.25">
      <c r="A1675" s="50">
        <f t="shared" ca="1" si="311"/>
        <v>1670</v>
      </c>
      <c r="B1675" s="51" t="s">
        <v>1245</v>
      </c>
      <c r="C1675" s="51" t="s">
        <v>3320</v>
      </c>
      <c r="D1675" s="51"/>
      <c r="E1675" s="51"/>
      <c r="F1675" s="51"/>
      <c r="G1675" s="51"/>
      <c r="H1675" s="52" t="s">
        <v>3321</v>
      </c>
      <c r="I1675" s="53" t="s">
        <v>115</v>
      </c>
      <c r="J1675" s="53">
        <v>1</v>
      </c>
      <c r="K1675" s="53">
        <v>1.1499999999999999</v>
      </c>
      <c r="L1675" s="54" t="s">
        <v>3215</v>
      </c>
      <c r="M1675" s="55">
        <v>116.9392</v>
      </c>
      <c r="N1675" s="55">
        <v>1.7634000000000001</v>
      </c>
      <c r="O1675" s="55">
        <v>1007.6071541501975</v>
      </c>
      <c r="P1675" s="56">
        <f t="shared" si="307"/>
        <v>135503.09069869088</v>
      </c>
      <c r="Q1675" s="55">
        <v>2922.65</v>
      </c>
      <c r="R1675" s="56">
        <f t="shared" si="308"/>
        <v>5926.8711614999993</v>
      </c>
      <c r="S1675" s="56">
        <f t="shared" si="309"/>
        <v>141429.96186019087</v>
      </c>
      <c r="T1675" s="57">
        <f t="shared" si="312"/>
        <v>0.55859868298040061</v>
      </c>
      <c r="U1675" s="57">
        <f t="shared" si="313"/>
        <v>0.1</v>
      </c>
      <c r="V1675" s="55">
        <f t="shared" si="310"/>
        <v>242475.80751818797</v>
      </c>
      <c r="W1675" s="58" t="s">
        <v>3308</v>
      </c>
    </row>
    <row r="1676" spans="1:23" ht="25.5" x14ac:dyDescent="0.25">
      <c r="A1676" s="50">
        <f t="shared" ca="1" si="311"/>
        <v>1671</v>
      </c>
      <c r="B1676" s="51" t="s">
        <v>139</v>
      </c>
      <c r="C1676" s="51" t="s">
        <v>3322</v>
      </c>
      <c r="D1676" s="51"/>
      <c r="E1676" s="51"/>
      <c r="F1676" s="51"/>
      <c r="G1676" s="51"/>
      <c r="H1676" s="52" t="s">
        <v>3323</v>
      </c>
      <c r="I1676" s="53" t="s">
        <v>104</v>
      </c>
      <c r="J1676" s="53">
        <v>1</v>
      </c>
      <c r="K1676" s="53">
        <v>1.1499999999999999</v>
      </c>
      <c r="L1676" s="54" t="s">
        <v>3215</v>
      </c>
      <c r="M1676" s="55">
        <v>0.2954</v>
      </c>
      <c r="N1676" s="55">
        <v>3.3000000000000002E-2</v>
      </c>
      <c r="O1676" s="55">
        <v>1017.1985435894751</v>
      </c>
      <c r="P1676" s="56">
        <f t="shared" si="307"/>
        <v>345.55251724278054</v>
      </c>
      <c r="Q1676" s="55">
        <v>2777.0693256854333</v>
      </c>
      <c r="R1676" s="56">
        <f t="shared" si="308"/>
        <v>105.38978090976219</v>
      </c>
      <c r="S1676" s="56">
        <f t="shared" si="309"/>
        <v>450.94229815254272</v>
      </c>
      <c r="T1676" s="57">
        <f t="shared" si="312"/>
        <v>0.55859868298040061</v>
      </c>
      <c r="U1676" s="57">
        <f t="shared" si="313"/>
        <v>0.1</v>
      </c>
      <c r="V1676" s="55">
        <f t="shared" si="310"/>
        <v>773.12187920077906</v>
      </c>
      <c r="W1676" s="58" t="s">
        <v>3324</v>
      </c>
    </row>
    <row r="1677" spans="1:23" ht="25.5" x14ac:dyDescent="0.25">
      <c r="A1677" s="50">
        <f t="shared" ca="1" si="311"/>
        <v>1672</v>
      </c>
      <c r="B1677" s="51" t="s">
        <v>139</v>
      </c>
      <c r="C1677" s="51" t="s">
        <v>3325</v>
      </c>
      <c r="D1677" s="51"/>
      <c r="E1677" s="51"/>
      <c r="F1677" s="51"/>
      <c r="G1677" s="51"/>
      <c r="H1677" s="52" t="s">
        <v>3326</v>
      </c>
      <c r="I1677" s="53" t="s">
        <v>161</v>
      </c>
      <c r="J1677" s="53">
        <v>1</v>
      </c>
      <c r="K1677" s="53">
        <v>1.1499999999999999</v>
      </c>
      <c r="L1677" s="54" t="s">
        <v>3215</v>
      </c>
      <c r="M1677" s="55">
        <v>2.75</v>
      </c>
      <c r="N1677" s="55">
        <v>0.01</v>
      </c>
      <c r="O1677" s="55">
        <v>1017.1985435894751</v>
      </c>
      <c r="P1677" s="56">
        <f t="shared" si="307"/>
        <v>3216.8903941017147</v>
      </c>
      <c r="Q1677" s="55">
        <v>2777.0693256854333</v>
      </c>
      <c r="R1677" s="56">
        <f t="shared" si="308"/>
        <v>31.93629724538248</v>
      </c>
      <c r="S1677" s="56">
        <f t="shared" si="309"/>
        <v>3248.826691347097</v>
      </c>
      <c r="T1677" s="57">
        <f t="shared" si="312"/>
        <v>0.55859868298040061</v>
      </c>
      <c r="U1677" s="57">
        <f t="shared" si="313"/>
        <v>0.1</v>
      </c>
      <c r="V1677" s="55">
        <f t="shared" si="310"/>
        <v>5569.9787026016729</v>
      </c>
      <c r="W1677" s="58" t="s">
        <v>3324</v>
      </c>
    </row>
    <row r="1678" spans="1:23" ht="25.5" x14ac:dyDescent="0.25">
      <c r="A1678" s="50">
        <f t="shared" ca="1" si="311"/>
        <v>1673</v>
      </c>
      <c r="B1678" s="51" t="s">
        <v>1245</v>
      </c>
      <c r="C1678" s="51" t="s">
        <v>3327</v>
      </c>
      <c r="D1678" s="51"/>
      <c r="E1678" s="51"/>
      <c r="F1678" s="51"/>
      <c r="G1678" s="51"/>
      <c r="H1678" s="52" t="s">
        <v>3328</v>
      </c>
      <c r="I1678" s="53" t="s">
        <v>104</v>
      </c>
      <c r="J1678" s="53">
        <v>1</v>
      </c>
      <c r="K1678" s="53">
        <v>1.1499999999999999</v>
      </c>
      <c r="L1678" s="54" t="s">
        <v>3215</v>
      </c>
      <c r="M1678" s="55">
        <v>0.61799999999999999</v>
      </c>
      <c r="N1678" s="55">
        <v>5.2999999999999999E-2</v>
      </c>
      <c r="O1678" s="55">
        <v>1007.6071541501975</v>
      </c>
      <c r="P1678" s="56">
        <f t="shared" si="307"/>
        <v>716.10640445454533</v>
      </c>
      <c r="Q1678" s="55">
        <v>2922.65</v>
      </c>
      <c r="R1678" s="56">
        <f t="shared" si="308"/>
        <v>178.13551749999999</v>
      </c>
      <c r="S1678" s="56">
        <f t="shared" si="309"/>
        <v>894.24192195454532</v>
      </c>
      <c r="T1678" s="57">
        <f t="shared" si="312"/>
        <v>0.55859868298040061</v>
      </c>
      <c r="U1678" s="57">
        <f t="shared" si="313"/>
        <v>0.1</v>
      </c>
      <c r="V1678" s="55">
        <f t="shared" si="310"/>
        <v>1533.1407100066383</v>
      </c>
      <c r="W1678" s="58" t="s">
        <v>3324</v>
      </c>
    </row>
    <row r="1679" spans="1:23" x14ac:dyDescent="0.25">
      <c r="A1679" s="50">
        <f t="shared" ca="1" si="311"/>
        <v>1674</v>
      </c>
      <c r="B1679" s="51" t="s">
        <v>1245</v>
      </c>
      <c r="C1679" s="51" t="s">
        <v>3329</v>
      </c>
      <c r="D1679" s="51"/>
      <c r="E1679" s="51"/>
      <c r="F1679" s="51"/>
      <c r="G1679" s="51"/>
      <c r="H1679" s="52" t="s">
        <v>3330</v>
      </c>
      <c r="I1679" s="53" t="s">
        <v>104</v>
      </c>
      <c r="J1679" s="53">
        <v>1</v>
      </c>
      <c r="K1679" s="53">
        <v>1.1499999999999999</v>
      </c>
      <c r="L1679" s="54" t="s">
        <v>3215</v>
      </c>
      <c r="M1679" s="55">
        <v>0.12670000000000001</v>
      </c>
      <c r="N1679" s="55">
        <v>8.9999999999999993E-3</v>
      </c>
      <c r="O1679" s="55">
        <v>1007.6071541501975</v>
      </c>
      <c r="P1679" s="56">
        <f t="shared" si="307"/>
        <v>146.81340039545452</v>
      </c>
      <c r="Q1679" s="55">
        <v>2922.65</v>
      </c>
      <c r="R1679" s="56">
        <f t="shared" si="308"/>
        <v>30.249427499999996</v>
      </c>
      <c r="S1679" s="56">
        <f t="shared" si="309"/>
        <v>177.06282789545452</v>
      </c>
      <c r="T1679" s="57">
        <f t="shared" si="312"/>
        <v>0.55859868298040061</v>
      </c>
      <c r="U1679" s="57">
        <f t="shared" si="313"/>
        <v>0.1</v>
      </c>
      <c r="V1679" s="55">
        <f t="shared" si="310"/>
        <v>303.5668793989048</v>
      </c>
      <c r="W1679" s="58" t="s">
        <v>3324</v>
      </c>
    </row>
    <row r="1680" spans="1:23" ht="25.5" x14ac:dyDescent="0.25">
      <c r="A1680" s="50">
        <f t="shared" ca="1" si="311"/>
        <v>1675</v>
      </c>
      <c r="B1680" s="51" t="s">
        <v>1245</v>
      </c>
      <c r="C1680" s="51" t="s">
        <v>3331</v>
      </c>
      <c r="D1680" s="51"/>
      <c r="E1680" s="51"/>
      <c r="F1680" s="51"/>
      <c r="G1680" s="51"/>
      <c r="H1680" s="52" t="s">
        <v>3332</v>
      </c>
      <c r="I1680" s="53" t="s">
        <v>161</v>
      </c>
      <c r="J1680" s="53">
        <v>1</v>
      </c>
      <c r="K1680" s="53">
        <v>1.1499999999999999</v>
      </c>
      <c r="L1680" s="54" t="s">
        <v>3215</v>
      </c>
      <c r="M1680" s="55">
        <v>0.47</v>
      </c>
      <c r="N1680" s="55">
        <v>1.5599999999999999E-2</v>
      </c>
      <c r="O1680" s="55">
        <v>1007.6071541501975</v>
      </c>
      <c r="P1680" s="56">
        <f t="shared" si="307"/>
        <v>544.61166681818167</v>
      </c>
      <c r="Q1680" s="55">
        <v>2922.65</v>
      </c>
      <c r="R1680" s="56">
        <f t="shared" si="308"/>
        <v>52.432340999999994</v>
      </c>
      <c r="S1680" s="56">
        <f t="shared" si="309"/>
        <v>597.04400781818163</v>
      </c>
      <c r="T1680" s="57">
        <f t="shared" si="312"/>
        <v>0.55859868298040061</v>
      </c>
      <c r="U1680" s="57">
        <f t="shared" si="313"/>
        <v>0.1</v>
      </c>
      <c r="V1680" s="55">
        <f t="shared" si="310"/>
        <v>1023.6072046934337</v>
      </c>
      <c r="W1680" s="58" t="s">
        <v>3324</v>
      </c>
    </row>
    <row r="1681" spans="1:23" x14ac:dyDescent="0.25">
      <c r="A1681" s="50">
        <f t="shared" ca="1" si="311"/>
        <v>1676</v>
      </c>
      <c r="B1681" s="51" t="s">
        <v>1245</v>
      </c>
      <c r="C1681" s="51" t="s">
        <v>3333</v>
      </c>
      <c r="D1681" s="51"/>
      <c r="E1681" s="51"/>
      <c r="F1681" s="51"/>
      <c r="G1681" s="51"/>
      <c r="H1681" s="52" t="s">
        <v>3334</v>
      </c>
      <c r="I1681" s="53" t="s">
        <v>161</v>
      </c>
      <c r="J1681" s="53">
        <v>1</v>
      </c>
      <c r="K1681" s="53">
        <v>1.1499999999999999</v>
      </c>
      <c r="L1681" s="54" t="s">
        <v>3215</v>
      </c>
      <c r="M1681" s="55">
        <v>0.24299999999999999</v>
      </c>
      <c r="N1681" s="55">
        <v>0.02</v>
      </c>
      <c r="O1681" s="55">
        <v>1007.6071541501975</v>
      </c>
      <c r="P1681" s="56">
        <f t="shared" si="307"/>
        <v>281.57581922727263</v>
      </c>
      <c r="Q1681" s="55">
        <v>2922.65</v>
      </c>
      <c r="R1681" s="56">
        <f t="shared" si="308"/>
        <v>67.220950000000002</v>
      </c>
      <c r="S1681" s="56">
        <f t="shared" si="309"/>
        <v>348.79676922727265</v>
      </c>
      <c r="T1681" s="57">
        <f t="shared" si="312"/>
        <v>0.55859868298040061</v>
      </c>
      <c r="U1681" s="57">
        <f t="shared" si="313"/>
        <v>0.1</v>
      </c>
      <c r="V1681" s="55">
        <f t="shared" si="310"/>
        <v>597.99760365999043</v>
      </c>
      <c r="W1681" s="58" t="s">
        <v>3324</v>
      </c>
    </row>
    <row r="1682" spans="1:23" x14ac:dyDescent="0.25">
      <c r="A1682" s="50">
        <f t="shared" ca="1" si="311"/>
        <v>1677</v>
      </c>
      <c r="B1682" s="51" t="s">
        <v>1245</v>
      </c>
      <c r="C1682" s="51" t="s">
        <v>3335</v>
      </c>
      <c r="D1682" s="51"/>
      <c r="E1682" s="51"/>
      <c r="F1682" s="51"/>
      <c r="G1682" s="51"/>
      <c r="H1682" s="52" t="s">
        <v>1294</v>
      </c>
      <c r="I1682" s="53" t="s">
        <v>104</v>
      </c>
      <c r="J1682" s="53">
        <v>1</v>
      </c>
      <c r="K1682" s="53">
        <v>1.1499999999999999</v>
      </c>
      <c r="L1682" s="54" t="s">
        <v>3215</v>
      </c>
      <c r="M1682" s="55">
        <v>0.14000000000000001</v>
      </c>
      <c r="N1682" s="55">
        <v>0.02</v>
      </c>
      <c r="O1682" s="55">
        <v>1007.6071541501975</v>
      </c>
      <c r="P1682" s="56">
        <f t="shared" si="307"/>
        <v>162.2247518181818</v>
      </c>
      <c r="Q1682" s="55">
        <v>2922.65</v>
      </c>
      <c r="R1682" s="56">
        <f t="shared" si="308"/>
        <v>67.220950000000002</v>
      </c>
      <c r="S1682" s="56">
        <f t="shared" si="309"/>
        <v>229.44570181818182</v>
      </c>
      <c r="T1682" s="57">
        <f t="shared" si="312"/>
        <v>0.55859868298040061</v>
      </c>
      <c r="U1682" s="57">
        <f t="shared" si="313"/>
        <v>0.1</v>
      </c>
      <c r="V1682" s="55">
        <f t="shared" si="310"/>
        <v>393.37514553626505</v>
      </c>
      <c r="W1682" s="58" t="s">
        <v>3324</v>
      </c>
    </row>
    <row r="1683" spans="1:23" ht="25.5" x14ac:dyDescent="0.25">
      <c r="A1683" s="50">
        <f t="shared" ca="1" si="311"/>
        <v>1678</v>
      </c>
      <c r="B1683" s="51" t="s">
        <v>3336</v>
      </c>
      <c r="C1683" s="51" t="s">
        <v>3337</v>
      </c>
      <c r="D1683" s="51"/>
      <c r="E1683" s="51"/>
      <c r="F1683" s="51"/>
      <c r="G1683" s="51"/>
      <c r="H1683" s="52" t="s">
        <v>3338</v>
      </c>
      <c r="I1683" s="53" t="s">
        <v>161</v>
      </c>
      <c r="J1683" s="53">
        <v>1</v>
      </c>
      <c r="K1683" s="53">
        <v>1.1499999999999999</v>
      </c>
      <c r="L1683" s="54" t="s">
        <v>3215</v>
      </c>
      <c r="M1683" s="55">
        <v>4.0759999999999996</v>
      </c>
      <c r="N1683" s="55">
        <v>0.15</v>
      </c>
      <c r="O1683" s="55">
        <v>1050.00512485276</v>
      </c>
      <c r="P1683" s="56">
        <f t="shared" si="307"/>
        <v>4921.794022234827</v>
      </c>
      <c r="Q1683" s="55">
        <v>2740.6203936571947</v>
      </c>
      <c r="R1683" s="56">
        <f t="shared" si="308"/>
        <v>472.75701790586601</v>
      </c>
      <c r="S1683" s="56">
        <f t="shared" si="309"/>
        <v>5394.5510401406927</v>
      </c>
      <c r="T1683" s="57">
        <f t="shared" si="312"/>
        <v>0.55859868298040061</v>
      </c>
      <c r="U1683" s="57">
        <f t="shared" si="313"/>
        <v>0.1</v>
      </c>
      <c r="V1683" s="55">
        <f t="shared" si="310"/>
        <v>9248.7341610772164</v>
      </c>
      <c r="W1683" s="58" t="s">
        <v>3339</v>
      </c>
    </row>
    <row r="1684" spans="1:23" x14ac:dyDescent="0.25">
      <c r="A1684" s="50">
        <f t="shared" ca="1" si="311"/>
        <v>1679</v>
      </c>
      <c r="B1684" s="51" t="s">
        <v>3336</v>
      </c>
      <c r="C1684" s="51" t="s">
        <v>3340</v>
      </c>
      <c r="D1684" s="51"/>
      <c r="E1684" s="51"/>
      <c r="F1684" s="51"/>
      <c r="G1684" s="51"/>
      <c r="H1684" s="52" t="s">
        <v>3341</v>
      </c>
      <c r="I1684" s="53" t="s">
        <v>161</v>
      </c>
      <c r="J1684" s="53">
        <v>1</v>
      </c>
      <c r="K1684" s="53">
        <v>1.1499999999999999</v>
      </c>
      <c r="L1684" s="54" t="s">
        <v>3215</v>
      </c>
      <c r="M1684" s="55">
        <v>0.55000000000000004</v>
      </c>
      <c r="N1684" s="55">
        <v>0.08</v>
      </c>
      <c r="O1684" s="55">
        <v>1050.00512485276</v>
      </c>
      <c r="P1684" s="56">
        <f t="shared" si="307"/>
        <v>664.12824146937078</v>
      </c>
      <c r="Q1684" s="55">
        <v>2740.6203936571947</v>
      </c>
      <c r="R1684" s="56">
        <f t="shared" si="308"/>
        <v>252.13707621646191</v>
      </c>
      <c r="S1684" s="56">
        <f t="shared" si="309"/>
        <v>916.26531768583266</v>
      </c>
      <c r="T1684" s="57">
        <f t="shared" si="312"/>
        <v>0.55859868298040061</v>
      </c>
      <c r="U1684" s="57">
        <f t="shared" si="313"/>
        <v>0.1</v>
      </c>
      <c r="V1684" s="55">
        <f t="shared" si="310"/>
        <v>1570.8989091463329</v>
      </c>
      <c r="W1684" s="58" t="s">
        <v>3339</v>
      </c>
    </row>
    <row r="1685" spans="1:23" x14ac:dyDescent="0.25">
      <c r="A1685" s="50">
        <f t="shared" ca="1" si="311"/>
        <v>1680</v>
      </c>
      <c r="B1685" s="51" t="s">
        <v>3336</v>
      </c>
      <c r="C1685" s="51" t="s">
        <v>3342</v>
      </c>
      <c r="D1685" s="51"/>
      <c r="E1685" s="51"/>
      <c r="F1685" s="51"/>
      <c r="G1685" s="51"/>
      <c r="H1685" s="52" t="s">
        <v>3343</v>
      </c>
      <c r="I1685" s="53" t="s">
        <v>161</v>
      </c>
      <c r="J1685" s="53">
        <v>1</v>
      </c>
      <c r="K1685" s="53">
        <v>1.1499999999999999</v>
      </c>
      <c r="L1685" s="54" t="s">
        <v>3215</v>
      </c>
      <c r="M1685" s="55">
        <v>4.01</v>
      </c>
      <c r="N1685" s="55">
        <v>0.13700000000000001</v>
      </c>
      <c r="O1685" s="55">
        <v>1050.00512485276</v>
      </c>
      <c r="P1685" s="56">
        <f t="shared" si="307"/>
        <v>4842.0986332585026</v>
      </c>
      <c r="Q1685" s="55">
        <v>2740.6203936571947</v>
      </c>
      <c r="R1685" s="56">
        <f t="shared" si="308"/>
        <v>431.784743020691</v>
      </c>
      <c r="S1685" s="56">
        <f t="shared" si="309"/>
        <v>5273.8833762791937</v>
      </c>
      <c r="T1685" s="57">
        <f t="shared" si="312"/>
        <v>0.55859868298040061</v>
      </c>
      <c r="U1685" s="57">
        <f t="shared" si="313"/>
        <v>0.1</v>
      </c>
      <c r="V1685" s="55">
        <f t="shared" si="310"/>
        <v>9041.8544529070787</v>
      </c>
      <c r="W1685" s="58" t="s">
        <v>3339</v>
      </c>
    </row>
    <row r="1686" spans="1:23" ht="25.5" x14ac:dyDescent="0.25">
      <c r="A1686" s="50">
        <f t="shared" ca="1" si="311"/>
        <v>1681</v>
      </c>
      <c r="B1686" s="51" t="s">
        <v>3226</v>
      </c>
      <c r="C1686" s="51" t="s">
        <v>3344</v>
      </c>
      <c r="D1686" s="51"/>
      <c r="E1686" s="51"/>
      <c r="F1686" s="51"/>
      <c r="G1686" s="51"/>
      <c r="H1686" s="52" t="s">
        <v>3345</v>
      </c>
      <c r="I1686" s="53" t="s">
        <v>104</v>
      </c>
      <c r="J1686" s="53">
        <v>1</v>
      </c>
      <c r="K1686" s="53">
        <v>1.1499999999999999</v>
      </c>
      <c r="L1686" s="54" t="s">
        <v>3215</v>
      </c>
      <c r="M1686" s="55">
        <v>2.86</v>
      </c>
      <c r="N1686" s="55">
        <v>7.0000000000000007E-2</v>
      </c>
      <c r="O1686" s="55">
        <v>1050.00512485276</v>
      </c>
      <c r="P1686" s="56">
        <f t="shared" si="307"/>
        <v>3453.4668556407273</v>
      </c>
      <c r="Q1686" s="55">
        <v>2740.6203936571947</v>
      </c>
      <c r="R1686" s="56">
        <f t="shared" si="308"/>
        <v>220.61994168940416</v>
      </c>
      <c r="S1686" s="56">
        <f t="shared" si="309"/>
        <v>3674.0867973301315</v>
      </c>
      <c r="T1686" s="57">
        <f t="shared" si="312"/>
        <v>0.55859868298040061</v>
      </c>
      <c r="U1686" s="57">
        <f t="shared" si="313"/>
        <v>0.1</v>
      </c>
      <c r="V1686" s="55">
        <f t="shared" si="310"/>
        <v>6299.0695278218627</v>
      </c>
      <c r="W1686" s="58" t="s">
        <v>3339</v>
      </c>
    </row>
    <row r="1687" spans="1:23" ht="25.5" x14ac:dyDescent="0.25">
      <c r="A1687" s="50">
        <f t="shared" ca="1" si="311"/>
        <v>1682</v>
      </c>
      <c r="B1687" s="51" t="s">
        <v>1245</v>
      </c>
      <c r="C1687" s="51" t="s">
        <v>3346</v>
      </c>
      <c r="D1687" s="51"/>
      <c r="E1687" s="51"/>
      <c r="F1687" s="51"/>
      <c r="G1687" s="51"/>
      <c r="H1687" s="52" t="s">
        <v>3347</v>
      </c>
      <c r="I1687" s="53" t="s">
        <v>115</v>
      </c>
      <c r="J1687" s="53">
        <v>1</v>
      </c>
      <c r="K1687" s="53">
        <v>1.1499999999999999</v>
      </c>
      <c r="L1687" s="54" t="s">
        <v>3215</v>
      </c>
      <c r="M1687" s="55">
        <v>39.85</v>
      </c>
      <c r="N1687" s="55">
        <v>1.65</v>
      </c>
      <c r="O1687" s="55">
        <v>1007.6071541501975</v>
      </c>
      <c r="P1687" s="56">
        <f t="shared" si="307"/>
        <v>46176.116856818175</v>
      </c>
      <c r="Q1687" s="55">
        <v>2922.65</v>
      </c>
      <c r="R1687" s="56">
        <f t="shared" si="308"/>
        <v>5545.7283749999988</v>
      </c>
      <c r="S1687" s="56">
        <f t="shared" si="309"/>
        <v>51721.845231818173</v>
      </c>
      <c r="T1687" s="57">
        <f t="shared" si="312"/>
        <v>0.55859868298040061</v>
      </c>
      <c r="U1687" s="57">
        <f t="shared" si="313"/>
        <v>0.1</v>
      </c>
      <c r="V1687" s="55">
        <f t="shared" si="310"/>
        <v>88674.959845590711</v>
      </c>
      <c r="W1687" s="58" t="s">
        <v>3339</v>
      </c>
    </row>
    <row r="1688" spans="1:23" ht="25.5" x14ac:dyDescent="0.25">
      <c r="A1688" s="50">
        <f t="shared" ca="1" si="311"/>
        <v>1683</v>
      </c>
      <c r="B1688" s="51" t="s">
        <v>2459</v>
      </c>
      <c r="C1688" s="51" t="s">
        <v>3348</v>
      </c>
      <c r="D1688" s="51"/>
      <c r="E1688" s="51"/>
      <c r="F1688" s="51"/>
      <c r="G1688" s="51"/>
      <c r="H1688" s="52" t="s">
        <v>3349</v>
      </c>
      <c r="I1688" s="53" t="s">
        <v>104</v>
      </c>
      <c r="J1688" s="53">
        <v>1</v>
      </c>
      <c r="K1688" s="53">
        <v>1.1499999999999999</v>
      </c>
      <c r="L1688" s="54" t="s">
        <v>3215</v>
      </c>
      <c r="M1688" s="55">
        <v>2.4300000000000002</v>
      </c>
      <c r="N1688" s="55">
        <v>0.7</v>
      </c>
      <c r="O1688" s="55">
        <v>1064.2277765411266</v>
      </c>
      <c r="P1688" s="56">
        <f t="shared" si="307"/>
        <v>2973.9845215441778</v>
      </c>
      <c r="Q1688" s="55">
        <v>2387.5299999999997</v>
      </c>
      <c r="R1688" s="56">
        <f t="shared" si="308"/>
        <v>1921.9616499999995</v>
      </c>
      <c r="S1688" s="56">
        <f t="shared" si="309"/>
        <v>4895.9461715441776</v>
      </c>
      <c r="T1688" s="57">
        <f t="shared" si="312"/>
        <v>0.55859868298040061</v>
      </c>
      <c r="U1688" s="57">
        <f t="shared" si="313"/>
        <v>0.1</v>
      </c>
      <c r="V1688" s="55">
        <f t="shared" si="310"/>
        <v>8393.896780402858</v>
      </c>
      <c r="W1688" s="58" t="s">
        <v>3339</v>
      </c>
    </row>
    <row r="1689" spans="1:23" ht="25.5" x14ac:dyDescent="0.25">
      <c r="A1689" s="50">
        <f t="shared" ca="1" si="311"/>
        <v>1684</v>
      </c>
      <c r="B1689" s="51" t="s">
        <v>1245</v>
      </c>
      <c r="C1689" s="51" t="s">
        <v>3350</v>
      </c>
      <c r="D1689" s="51"/>
      <c r="E1689" s="51"/>
      <c r="F1689" s="51"/>
      <c r="G1689" s="51"/>
      <c r="H1689" s="52" t="s">
        <v>3351</v>
      </c>
      <c r="I1689" s="53" t="s">
        <v>104</v>
      </c>
      <c r="J1689" s="53">
        <v>1</v>
      </c>
      <c r="K1689" s="53">
        <v>1.1499999999999999</v>
      </c>
      <c r="L1689" s="54" t="s">
        <v>3215</v>
      </c>
      <c r="M1689" s="55">
        <v>0.57799999999999996</v>
      </c>
      <c r="N1689" s="55">
        <v>6.0999999999999999E-2</v>
      </c>
      <c r="O1689" s="55">
        <v>1007.6071541501975</v>
      </c>
      <c r="P1689" s="56">
        <f t="shared" si="307"/>
        <v>669.75647536363613</v>
      </c>
      <c r="Q1689" s="55">
        <v>2922.65</v>
      </c>
      <c r="R1689" s="56">
        <f t="shared" si="308"/>
        <v>205.0238975</v>
      </c>
      <c r="S1689" s="56">
        <f t="shared" si="309"/>
        <v>874.7803728636361</v>
      </c>
      <c r="T1689" s="57">
        <f t="shared" si="312"/>
        <v>0.55859868298040061</v>
      </c>
      <c r="U1689" s="57">
        <f t="shared" si="313"/>
        <v>0.1</v>
      </c>
      <c r="V1689" s="55">
        <f t="shared" si="310"/>
        <v>1499.7746907466037</v>
      </c>
      <c r="W1689" s="58" t="s">
        <v>3339</v>
      </c>
    </row>
    <row r="1690" spans="1:23" x14ac:dyDescent="0.25">
      <c r="A1690" s="50">
        <f t="shared" ca="1" si="311"/>
        <v>1685</v>
      </c>
      <c r="B1690" s="51" t="s">
        <v>3076</v>
      </c>
      <c r="C1690" s="51" t="s">
        <v>3352</v>
      </c>
      <c r="D1690" s="51"/>
      <c r="E1690" s="51"/>
      <c r="F1690" s="51"/>
      <c r="G1690" s="51"/>
      <c r="H1690" s="52" t="s">
        <v>3353</v>
      </c>
      <c r="I1690" s="53" t="s">
        <v>27</v>
      </c>
      <c r="J1690" s="53">
        <v>1</v>
      </c>
      <c r="K1690" s="53">
        <v>1.1499999999999999</v>
      </c>
      <c r="L1690" s="54" t="s">
        <v>3215</v>
      </c>
      <c r="M1690" s="55">
        <v>1.232</v>
      </c>
      <c r="N1690" s="55">
        <v>0.70799999999999996</v>
      </c>
      <c r="O1690" s="55">
        <v>1026.1554267157103</v>
      </c>
      <c r="P1690" s="56">
        <f t="shared" si="307"/>
        <v>1453.8570085708182</v>
      </c>
      <c r="Q1690" s="55">
        <v>1602</v>
      </c>
      <c r="R1690" s="56">
        <f t="shared" si="308"/>
        <v>1304.3483999999999</v>
      </c>
      <c r="S1690" s="56">
        <f t="shared" si="309"/>
        <v>2758.2054085708178</v>
      </c>
      <c r="T1690" s="57">
        <f t="shared" si="312"/>
        <v>0.55859868298040061</v>
      </c>
      <c r="U1690" s="57">
        <f t="shared" si="313"/>
        <v>0.1</v>
      </c>
      <c r="V1690" s="55">
        <f t="shared" si="310"/>
        <v>4728.8288489066836</v>
      </c>
      <c r="W1690" s="58" t="s">
        <v>3339</v>
      </c>
    </row>
    <row r="1691" spans="1:23" ht="38.25" x14ac:dyDescent="0.25">
      <c r="A1691" s="50">
        <f t="shared" ref="A1691:A1707" ca="1" si="314">A1690+1</f>
        <v>1686</v>
      </c>
      <c r="B1691" s="51" t="s">
        <v>19</v>
      </c>
      <c r="C1691" s="51" t="s">
        <v>3354</v>
      </c>
      <c r="D1691" s="51"/>
      <c r="E1691" s="51"/>
      <c r="F1691" s="51"/>
      <c r="G1691" s="51"/>
      <c r="H1691" s="52" t="s">
        <v>3355</v>
      </c>
      <c r="I1691" s="53" t="s">
        <v>27</v>
      </c>
      <c r="J1691" s="53">
        <v>1</v>
      </c>
      <c r="K1691" s="53">
        <v>1.1499999999999999</v>
      </c>
      <c r="L1691" s="54" t="s">
        <v>3215</v>
      </c>
      <c r="M1691" s="55">
        <v>0.253</v>
      </c>
      <c r="N1691" s="55">
        <v>0.106</v>
      </c>
      <c r="O1691" s="55">
        <v>1056.2485639227937</v>
      </c>
      <c r="P1691" s="56">
        <f t="shared" si="307"/>
        <v>307.31551967333678</v>
      </c>
      <c r="Q1691" s="55">
        <v>1775.603414585041</v>
      </c>
      <c r="R1691" s="56">
        <f t="shared" si="308"/>
        <v>216.44605623791648</v>
      </c>
      <c r="S1691" s="56">
        <f t="shared" si="309"/>
        <v>523.7615759112532</v>
      </c>
      <c r="T1691" s="57">
        <f t="shared" si="312"/>
        <v>0.55859868298040061</v>
      </c>
      <c r="U1691" s="57">
        <f t="shared" si="313"/>
        <v>0.1</v>
      </c>
      <c r="V1691" s="55">
        <f t="shared" si="310"/>
        <v>897.96751265212026</v>
      </c>
      <c r="W1691" s="58" t="s">
        <v>3339</v>
      </c>
    </row>
    <row r="1692" spans="1:23" x14ac:dyDescent="0.25">
      <c r="A1692" s="50">
        <f t="shared" ca="1" si="314"/>
        <v>1687</v>
      </c>
      <c r="B1692" s="51" t="s">
        <v>19</v>
      </c>
      <c r="C1692" s="51" t="s">
        <v>3356</v>
      </c>
      <c r="D1692" s="51"/>
      <c r="E1692" s="51"/>
      <c r="F1692" s="51"/>
      <c r="G1692" s="51"/>
      <c r="H1692" s="52" t="s">
        <v>3357</v>
      </c>
      <c r="I1692" s="53" t="s">
        <v>27</v>
      </c>
      <c r="J1692" s="53">
        <v>1</v>
      </c>
      <c r="K1692" s="53">
        <v>1.1499999999999999</v>
      </c>
      <c r="L1692" s="54" t="s">
        <v>3215</v>
      </c>
      <c r="M1692" s="55">
        <v>0.33800000000000002</v>
      </c>
      <c r="N1692" s="55">
        <v>0.252</v>
      </c>
      <c r="O1692" s="55">
        <v>1056.2485639227937</v>
      </c>
      <c r="P1692" s="56">
        <f t="shared" si="307"/>
        <v>410.56381679678987</v>
      </c>
      <c r="Q1692" s="55">
        <v>1775.603414585041</v>
      </c>
      <c r="R1692" s="56">
        <f t="shared" si="308"/>
        <v>514.56986954674483</v>
      </c>
      <c r="S1692" s="56">
        <f t="shared" si="309"/>
        <v>925.13368634353469</v>
      </c>
      <c r="T1692" s="57">
        <f t="shared" si="312"/>
        <v>0.55859868298040061</v>
      </c>
      <c r="U1692" s="57">
        <f t="shared" si="313"/>
        <v>0.1</v>
      </c>
      <c r="V1692" s="55">
        <f t="shared" si="310"/>
        <v>1586.1033596274199</v>
      </c>
      <c r="W1692" s="58" t="s">
        <v>3339</v>
      </c>
    </row>
    <row r="1693" spans="1:23" x14ac:dyDescent="0.25">
      <c r="A1693" s="50">
        <f t="shared" ca="1" si="314"/>
        <v>1688</v>
      </c>
      <c r="B1693" s="51" t="s">
        <v>19</v>
      </c>
      <c r="C1693" s="51" t="s">
        <v>3358</v>
      </c>
      <c r="D1693" s="51"/>
      <c r="E1693" s="51"/>
      <c r="F1693" s="51"/>
      <c r="G1693" s="51"/>
      <c r="H1693" s="52" t="s">
        <v>3359</v>
      </c>
      <c r="I1693" s="53" t="s">
        <v>27</v>
      </c>
      <c r="J1693" s="53">
        <v>1</v>
      </c>
      <c r="K1693" s="53">
        <v>1.1499999999999999</v>
      </c>
      <c r="L1693" s="54" t="s">
        <v>3215</v>
      </c>
      <c r="M1693" s="55">
        <v>0.44900000000000001</v>
      </c>
      <c r="N1693" s="55">
        <v>0.36959999999999998</v>
      </c>
      <c r="O1693" s="55">
        <v>0</v>
      </c>
      <c r="P1693" s="56">
        <f t="shared" si="307"/>
        <v>0</v>
      </c>
      <c r="Q1693" s="55">
        <v>0</v>
      </c>
      <c r="R1693" s="56">
        <f t="shared" si="308"/>
        <v>0</v>
      </c>
      <c r="S1693" s="56">
        <f t="shared" si="309"/>
        <v>0</v>
      </c>
      <c r="T1693" s="57">
        <f t="shared" si="312"/>
        <v>0.55859868298040061</v>
      </c>
      <c r="U1693" s="57">
        <f t="shared" si="313"/>
        <v>0.1</v>
      </c>
      <c r="V1693" s="55">
        <f t="shared" si="310"/>
        <v>0</v>
      </c>
      <c r="W1693" s="58" t="s">
        <v>3339</v>
      </c>
    </row>
    <row r="1694" spans="1:23" ht="25.5" x14ac:dyDescent="0.25">
      <c r="A1694" s="50">
        <f t="shared" ca="1" si="314"/>
        <v>1689</v>
      </c>
      <c r="B1694" s="51" t="s">
        <v>19</v>
      </c>
      <c r="C1694" s="51" t="s">
        <v>3360</v>
      </c>
      <c r="D1694" s="51"/>
      <c r="E1694" s="51"/>
      <c r="F1694" s="51"/>
      <c r="G1694" s="51"/>
      <c r="H1694" s="52" t="s">
        <v>3361</v>
      </c>
      <c r="I1694" s="53" t="s">
        <v>2408</v>
      </c>
      <c r="J1694" s="53">
        <v>1</v>
      </c>
      <c r="K1694" s="53">
        <v>1.1499999999999999</v>
      </c>
      <c r="L1694" s="54" t="s">
        <v>3215</v>
      </c>
      <c r="M1694" s="55">
        <v>0.216</v>
      </c>
      <c r="N1694" s="55">
        <v>0.13200000000000001</v>
      </c>
      <c r="O1694" s="55">
        <v>1056.2485639227937</v>
      </c>
      <c r="P1694" s="56">
        <f t="shared" si="307"/>
        <v>262.3721432784219</v>
      </c>
      <c r="Q1694" s="55">
        <v>1775.603414585041</v>
      </c>
      <c r="R1694" s="56">
        <f t="shared" si="308"/>
        <v>269.53659833400923</v>
      </c>
      <c r="S1694" s="56">
        <f t="shared" si="309"/>
        <v>531.90874161243119</v>
      </c>
      <c r="T1694" s="57">
        <f t="shared" si="312"/>
        <v>0.55859868298040061</v>
      </c>
      <c r="U1694" s="57">
        <f t="shared" si="313"/>
        <v>0.1</v>
      </c>
      <c r="V1694" s="55">
        <f t="shared" si="310"/>
        <v>911.93549055718722</v>
      </c>
      <c r="W1694" s="58" t="s">
        <v>3339</v>
      </c>
    </row>
    <row r="1695" spans="1:23" x14ac:dyDescent="0.25">
      <c r="A1695" s="50">
        <f t="shared" ca="1" si="314"/>
        <v>1690</v>
      </c>
      <c r="B1695" s="51" t="s">
        <v>1245</v>
      </c>
      <c r="C1695" s="51" t="s">
        <v>3362</v>
      </c>
      <c r="D1695" s="51"/>
      <c r="E1695" s="51"/>
      <c r="F1695" s="51"/>
      <c r="G1695" s="51"/>
      <c r="H1695" s="52" t="s">
        <v>3363</v>
      </c>
      <c r="I1695" s="53" t="s">
        <v>104</v>
      </c>
      <c r="J1695" s="53">
        <v>1</v>
      </c>
      <c r="K1695" s="53">
        <v>1.1499999999999999</v>
      </c>
      <c r="L1695" s="54" t="s">
        <v>3215</v>
      </c>
      <c r="M1695" s="55">
        <v>1.24</v>
      </c>
      <c r="N1695" s="55">
        <v>2.3E-2</v>
      </c>
      <c r="O1695" s="55">
        <v>1007.6071541501975</v>
      </c>
      <c r="P1695" s="56">
        <f t="shared" si="307"/>
        <v>1436.8478018181816</v>
      </c>
      <c r="Q1695" s="55">
        <v>2922.65</v>
      </c>
      <c r="R1695" s="56">
        <f t="shared" si="308"/>
        <v>77.304092499999996</v>
      </c>
      <c r="S1695" s="56">
        <f t="shared" si="309"/>
        <v>1514.1518943181816</v>
      </c>
      <c r="T1695" s="57">
        <f t="shared" si="312"/>
        <v>0.55859868298040061</v>
      </c>
      <c r="U1695" s="57">
        <f t="shared" si="313"/>
        <v>0.1</v>
      </c>
      <c r="V1695" s="55">
        <f t="shared" si="310"/>
        <v>2595.9506631482564</v>
      </c>
      <c r="W1695" s="58" t="s">
        <v>3364</v>
      </c>
    </row>
    <row r="1696" spans="1:23" x14ac:dyDescent="0.25">
      <c r="A1696" s="50">
        <f t="shared" ca="1" si="314"/>
        <v>1691</v>
      </c>
      <c r="B1696" s="51" t="s">
        <v>1245</v>
      </c>
      <c r="C1696" s="51" t="s">
        <v>3365</v>
      </c>
      <c r="D1696" s="51"/>
      <c r="E1696" s="51"/>
      <c r="F1696" s="51"/>
      <c r="G1696" s="51"/>
      <c r="H1696" s="52" t="s">
        <v>3366</v>
      </c>
      <c r="I1696" s="53" t="s">
        <v>104</v>
      </c>
      <c r="J1696" s="53">
        <v>1</v>
      </c>
      <c r="K1696" s="53">
        <v>1.1499999999999999</v>
      </c>
      <c r="L1696" s="54" t="s">
        <v>3215</v>
      </c>
      <c r="M1696" s="55">
        <v>1.24</v>
      </c>
      <c r="N1696" s="55">
        <v>2.3E-2</v>
      </c>
      <c r="O1696" s="55">
        <v>1007.6071541501975</v>
      </c>
      <c r="P1696" s="56">
        <f t="shared" si="307"/>
        <v>1436.8478018181816</v>
      </c>
      <c r="Q1696" s="55">
        <v>2922.65</v>
      </c>
      <c r="R1696" s="56">
        <f t="shared" si="308"/>
        <v>77.304092499999996</v>
      </c>
      <c r="S1696" s="56">
        <f t="shared" si="309"/>
        <v>1514.1518943181816</v>
      </c>
      <c r="T1696" s="57">
        <f t="shared" si="312"/>
        <v>0.55859868298040061</v>
      </c>
      <c r="U1696" s="57">
        <f t="shared" si="313"/>
        <v>0.1</v>
      </c>
      <c r="V1696" s="55">
        <f t="shared" si="310"/>
        <v>2595.9506631482564</v>
      </c>
      <c r="W1696" s="58" t="s">
        <v>3364</v>
      </c>
    </row>
    <row r="1697" spans="1:23" x14ac:dyDescent="0.25">
      <c r="A1697" s="50">
        <f t="shared" ca="1" si="314"/>
        <v>1692</v>
      </c>
      <c r="B1697" s="51" t="s">
        <v>1245</v>
      </c>
      <c r="C1697" s="51" t="s">
        <v>3367</v>
      </c>
      <c r="D1697" s="51"/>
      <c r="E1697" s="51"/>
      <c r="F1697" s="51"/>
      <c r="G1697" s="51"/>
      <c r="H1697" s="52" t="s">
        <v>3368</v>
      </c>
      <c r="I1697" s="53" t="s">
        <v>104</v>
      </c>
      <c r="J1697" s="53">
        <v>1</v>
      </c>
      <c r="K1697" s="53">
        <v>1.1499999999999999</v>
      </c>
      <c r="L1697" s="54" t="s">
        <v>3215</v>
      </c>
      <c r="M1697" s="55">
        <v>1.306</v>
      </c>
      <c r="N1697" s="55">
        <v>2.3E-2</v>
      </c>
      <c r="O1697" s="55">
        <v>1007.6071541501975</v>
      </c>
      <c r="P1697" s="56">
        <f t="shared" si="307"/>
        <v>1513.3251848181817</v>
      </c>
      <c r="Q1697" s="55">
        <v>2922.65</v>
      </c>
      <c r="R1697" s="56">
        <f t="shared" si="308"/>
        <v>77.304092499999996</v>
      </c>
      <c r="S1697" s="56">
        <f t="shared" si="309"/>
        <v>1590.6292773181817</v>
      </c>
      <c r="T1697" s="57">
        <f t="shared" si="312"/>
        <v>0.55859868298040061</v>
      </c>
      <c r="U1697" s="57">
        <f t="shared" si="313"/>
        <v>0.1</v>
      </c>
      <c r="V1697" s="55">
        <f t="shared" si="310"/>
        <v>2727.0679664120025</v>
      </c>
      <c r="W1697" s="58" t="s">
        <v>3364</v>
      </c>
    </row>
    <row r="1698" spans="1:23" ht="25.5" x14ac:dyDescent="0.25">
      <c r="A1698" s="50">
        <f t="shared" ca="1" si="314"/>
        <v>1693</v>
      </c>
      <c r="B1698" s="51" t="s">
        <v>1453</v>
      </c>
      <c r="C1698" s="51" t="s">
        <v>3369</v>
      </c>
      <c r="D1698" s="51"/>
      <c r="E1698" s="51"/>
      <c r="F1698" s="51"/>
      <c r="G1698" s="51"/>
      <c r="H1698" s="52" t="s">
        <v>3370</v>
      </c>
      <c r="I1698" s="53" t="s">
        <v>104</v>
      </c>
      <c r="J1698" s="53">
        <v>1</v>
      </c>
      <c r="K1698" s="53">
        <v>1.1499999999999999</v>
      </c>
      <c r="L1698" s="54" t="s">
        <v>3215</v>
      </c>
      <c r="M1698" s="55">
        <v>0.20599999999999999</v>
      </c>
      <c r="N1698" s="55">
        <v>0.02</v>
      </c>
      <c r="O1698" s="55">
        <v>1052.3689999999999</v>
      </c>
      <c r="P1698" s="56">
        <f t="shared" si="307"/>
        <v>249.30621609999994</v>
      </c>
      <c r="Q1698" s="55">
        <v>2757.7041798239825</v>
      </c>
      <c r="R1698" s="56">
        <f t="shared" si="308"/>
        <v>63.427196135951597</v>
      </c>
      <c r="S1698" s="56">
        <f t="shared" si="309"/>
        <v>312.73341223595156</v>
      </c>
      <c r="T1698" s="57">
        <f t="shared" si="312"/>
        <v>0.55859868298040061</v>
      </c>
      <c r="U1698" s="57">
        <f t="shared" si="313"/>
        <v>0.1</v>
      </c>
      <c r="V1698" s="55">
        <f t="shared" si="310"/>
        <v>536.1684728784129</v>
      </c>
      <c r="W1698" s="58" t="s">
        <v>3371</v>
      </c>
    </row>
    <row r="1699" spans="1:23" ht="25.5" x14ac:dyDescent="0.25">
      <c r="A1699" s="50">
        <f t="shared" ca="1" si="314"/>
        <v>1694</v>
      </c>
      <c r="B1699" s="51" t="s">
        <v>1453</v>
      </c>
      <c r="C1699" s="51" t="s">
        <v>3372</v>
      </c>
      <c r="D1699" s="51"/>
      <c r="E1699" s="51"/>
      <c r="F1699" s="51"/>
      <c r="G1699" s="51"/>
      <c r="H1699" s="52" t="s">
        <v>3373</v>
      </c>
      <c r="I1699" s="53" t="s">
        <v>104</v>
      </c>
      <c r="J1699" s="53">
        <v>1</v>
      </c>
      <c r="K1699" s="53">
        <v>1.1499999999999999</v>
      </c>
      <c r="L1699" s="54" t="s">
        <v>3215</v>
      </c>
      <c r="M1699" s="55">
        <v>0.2</v>
      </c>
      <c r="N1699" s="55">
        <v>0.02</v>
      </c>
      <c r="O1699" s="55">
        <v>1052.3689999999999</v>
      </c>
      <c r="P1699" s="56">
        <f t="shared" si="307"/>
        <v>242.04486999999997</v>
      </c>
      <c r="Q1699" s="55">
        <v>2757.7041798239825</v>
      </c>
      <c r="R1699" s="56">
        <f t="shared" si="308"/>
        <v>63.427196135951597</v>
      </c>
      <c r="S1699" s="56">
        <f t="shared" si="309"/>
        <v>305.47206613595159</v>
      </c>
      <c r="T1699" s="57">
        <f t="shared" si="312"/>
        <v>0.55859868298040061</v>
      </c>
      <c r="U1699" s="57">
        <f t="shared" si="313"/>
        <v>0.1</v>
      </c>
      <c r="V1699" s="55">
        <f t="shared" si="310"/>
        <v>523.71919596347561</v>
      </c>
      <c r="W1699" s="58" t="s">
        <v>3371</v>
      </c>
    </row>
    <row r="1700" spans="1:23" ht="25.5" x14ac:dyDescent="0.25">
      <c r="A1700" s="50">
        <f t="shared" ca="1" si="314"/>
        <v>1695</v>
      </c>
      <c r="B1700" s="51" t="s">
        <v>1453</v>
      </c>
      <c r="C1700" s="51" t="s">
        <v>3374</v>
      </c>
      <c r="D1700" s="51"/>
      <c r="E1700" s="51"/>
      <c r="F1700" s="51"/>
      <c r="G1700" s="51"/>
      <c r="H1700" s="52" t="s">
        <v>3375</v>
      </c>
      <c r="I1700" s="53" t="s">
        <v>104</v>
      </c>
      <c r="J1700" s="53">
        <v>1</v>
      </c>
      <c r="K1700" s="53">
        <v>1.1499999999999999</v>
      </c>
      <c r="L1700" s="54" t="s">
        <v>3215</v>
      </c>
      <c r="M1700" s="55">
        <v>0.19800000000000001</v>
      </c>
      <c r="N1700" s="55">
        <v>0.02</v>
      </c>
      <c r="O1700" s="55">
        <v>1052.3689999999999</v>
      </c>
      <c r="P1700" s="56">
        <f t="shared" si="307"/>
        <v>239.62442129999997</v>
      </c>
      <c r="Q1700" s="55">
        <v>2757.7041798239825</v>
      </c>
      <c r="R1700" s="56">
        <f t="shared" si="308"/>
        <v>63.427196135951597</v>
      </c>
      <c r="S1700" s="56">
        <f t="shared" si="309"/>
        <v>303.05161743595158</v>
      </c>
      <c r="T1700" s="57">
        <f t="shared" si="312"/>
        <v>0.55859868298040061</v>
      </c>
      <c r="U1700" s="57">
        <f t="shared" si="313"/>
        <v>0.1</v>
      </c>
      <c r="V1700" s="55">
        <f t="shared" si="310"/>
        <v>519.56943699182978</v>
      </c>
      <c r="W1700" s="58" t="s">
        <v>3371</v>
      </c>
    </row>
    <row r="1701" spans="1:23" ht="25.5" x14ac:dyDescent="0.25">
      <c r="A1701" s="50">
        <f t="shared" ca="1" si="314"/>
        <v>1696</v>
      </c>
      <c r="B1701" s="51" t="s">
        <v>1453</v>
      </c>
      <c r="C1701" s="51" t="s">
        <v>3376</v>
      </c>
      <c r="D1701" s="51"/>
      <c r="E1701" s="51"/>
      <c r="F1701" s="51"/>
      <c r="G1701" s="51"/>
      <c r="H1701" s="52" t="s">
        <v>3377</v>
      </c>
      <c r="I1701" s="53" t="s">
        <v>104</v>
      </c>
      <c r="J1701" s="53">
        <v>1</v>
      </c>
      <c r="K1701" s="53">
        <v>1.1499999999999999</v>
      </c>
      <c r="L1701" s="54" t="s">
        <v>3215</v>
      </c>
      <c r="M1701" s="55">
        <v>0.22600000000000001</v>
      </c>
      <c r="N1701" s="55">
        <v>0.02</v>
      </c>
      <c r="O1701" s="55">
        <v>1052.3689999999999</v>
      </c>
      <c r="P1701" s="56">
        <f t="shared" si="307"/>
        <v>273.51070309999994</v>
      </c>
      <c r="Q1701" s="55">
        <v>2757.7041798239825</v>
      </c>
      <c r="R1701" s="56">
        <f t="shared" si="308"/>
        <v>63.427196135951597</v>
      </c>
      <c r="S1701" s="56">
        <f t="shared" si="309"/>
        <v>336.93789923595153</v>
      </c>
      <c r="T1701" s="57">
        <f t="shared" si="312"/>
        <v>0.55859868298040061</v>
      </c>
      <c r="U1701" s="57">
        <f t="shared" si="313"/>
        <v>0.1</v>
      </c>
      <c r="V1701" s="55">
        <f t="shared" si="310"/>
        <v>577.6660625948706</v>
      </c>
      <c r="W1701" s="58" t="s">
        <v>3371</v>
      </c>
    </row>
    <row r="1702" spans="1:23" x14ac:dyDescent="0.25">
      <c r="A1702" s="50">
        <f t="shared" ca="1" si="314"/>
        <v>1697</v>
      </c>
      <c r="B1702" s="51"/>
      <c r="C1702" s="51"/>
      <c r="D1702" s="51"/>
      <c r="E1702" s="51"/>
      <c r="F1702" s="51"/>
      <c r="G1702" s="51"/>
      <c r="H1702" s="52"/>
      <c r="I1702" s="53" t="s">
        <v>104</v>
      </c>
      <c r="J1702" s="53">
        <v>1</v>
      </c>
      <c r="K1702" s="53">
        <v>1.1499999999999999</v>
      </c>
      <c r="L1702" s="54" t="s">
        <v>3215</v>
      </c>
      <c r="M1702" s="55"/>
      <c r="N1702" s="55"/>
      <c r="O1702" s="55"/>
      <c r="P1702" s="56">
        <f t="shared" si="307"/>
        <v>0</v>
      </c>
      <c r="Q1702" s="55"/>
      <c r="R1702" s="56">
        <f t="shared" si="308"/>
        <v>0</v>
      </c>
      <c r="S1702" s="56">
        <f t="shared" si="309"/>
        <v>0</v>
      </c>
      <c r="T1702" s="57">
        <f t="shared" si="312"/>
        <v>0.55859868298040061</v>
      </c>
      <c r="U1702" s="57">
        <f t="shared" si="313"/>
        <v>0.1</v>
      </c>
      <c r="V1702" s="55">
        <f t="shared" si="310"/>
        <v>0</v>
      </c>
      <c r="W1702" s="58"/>
    </row>
    <row r="1703" spans="1:23" x14ac:dyDescent="0.25">
      <c r="A1703" s="50">
        <f t="shared" ca="1" si="314"/>
        <v>1698</v>
      </c>
      <c r="B1703" s="51"/>
      <c r="C1703" s="51"/>
      <c r="D1703" s="51"/>
      <c r="E1703" s="51"/>
      <c r="F1703" s="51"/>
      <c r="G1703" s="51"/>
      <c r="H1703" s="52"/>
      <c r="I1703" s="53" t="s">
        <v>104</v>
      </c>
      <c r="J1703" s="53">
        <v>1</v>
      </c>
      <c r="K1703" s="53">
        <v>1.1499999999999999</v>
      </c>
      <c r="L1703" s="54" t="s">
        <v>3215</v>
      </c>
      <c r="M1703" s="55"/>
      <c r="N1703" s="55"/>
      <c r="O1703" s="55"/>
      <c r="P1703" s="56">
        <f t="shared" si="307"/>
        <v>0</v>
      </c>
      <c r="Q1703" s="55"/>
      <c r="R1703" s="56">
        <f t="shared" si="308"/>
        <v>0</v>
      </c>
      <c r="S1703" s="56">
        <f t="shared" si="309"/>
        <v>0</v>
      </c>
      <c r="T1703" s="57">
        <f t="shared" si="312"/>
        <v>0.55859868298040061</v>
      </c>
      <c r="U1703" s="57">
        <f t="shared" si="313"/>
        <v>0.1</v>
      </c>
      <c r="V1703" s="55">
        <f t="shared" si="310"/>
        <v>0</v>
      </c>
      <c r="W1703" s="58"/>
    </row>
    <row r="1704" spans="1:23" x14ac:dyDescent="0.25">
      <c r="A1704" s="50">
        <f t="shared" ca="1" si="314"/>
        <v>1699</v>
      </c>
      <c r="B1704" s="51"/>
      <c r="C1704" s="51"/>
      <c r="D1704" s="51"/>
      <c r="E1704" s="51"/>
      <c r="F1704" s="51"/>
      <c r="G1704" s="51"/>
      <c r="H1704" s="52"/>
      <c r="I1704" s="53" t="s">
        <v>104</v>
      </c>
      <c r="J1704" s="53">
        <v>1</v>
      </c>
      <c r="K1704" s="53">
        <v>1.1499999999999999</v>
      </c>
      <c r="L1704" s="54" t="s">
        <v>3215</v>
      </c>
      <c r="M1704" s="55"/>
      <c r="N1704" s="55"/>
      <c r="O1704" s="55"/>
      <c r="P1704" s="56">
        <f t="shared" si="307"/>
        <v>0</v>
      </c>
      <c r="Q1704" s="55"/>
      <c r="R1704" s="56">
        <f t="shared" si="308"/>
        <v>0</v>
      </c>
      <c r="S1704" s="56">
        <f t="shared" si="309"/>
        <v>0</v>
      </c>
      <c r="T1704" s="57">
        <f t="shared" si="312"/>
        <v>0.55859868298040061</v>
      </c>
      <c r="U1704" s="57">
        <f t="shared" si="313"/>
        <v>0.1</v>
      </c>
      <c r="V1704" s="55">
        <f t="shared" si="310"/>
        <v>0</v>
      </c>
      <c r="W1704" s="58"/>
    </row>
    <row r="1705" spans="1:23" x14ac:dyDescent="0.25">
      <c r="A1705" s="50">
        <f t="shared" ca="1" si="314"/>
        <v>1700</v>
      </c>
      <c r="B1705" s="51"/>
      <c r="C1705" s="51"/>
      <c r="D1705" s="51"/>
      <c r="E1705" s="51"/>
      <c r="F1705" s="51"/>
      <c r="G1705" s="51"/>
      <c r="H1705" s="52"/>
      <c r="I1705" s="53" t="s">
        <v>104</v>
      </c>
      <c r="J1705" s="53">
        <v>1</v>
      </c>
      <c r="K1705" s="53">
        <v>1.1499999999999999</v>
      </c>
      <c r="L1705" s="54" t="s">
        <v>3215</v>
      </c>
      <c r="M1705" s="55"/>
      <c r="N1705" s="55"/>
      <c r="O1705" s="55"/>
      <c r="P1705" s="56">
        <f t="shared" si="307"/>
        <v>0</v>
      </c>
      <c r="Q1705" s="55"/>
      <c r="R1705" s="56">
        <f t="shared" si="308"/>
        <v>0</v>
      </c>
      <c r="S1705" s="56">
        <f t="shared" si="309"/>
        <v>0</v>
      </c>
      <c r="T1705" s="57">
        <f t="shared" si="312"/>
        <v>0.55859868298040061</v>
      </c>
      <c r="U1705" s="57">
        <f t="shared" si="313"/>
        <v>0.1</v>
      </c>
      <c r="V1705" s="55">
        <f t="shared" si="310"/>
        <v>0</v>
      </c>
      <c r="W1705" s="58"/>
    </row>
    <row r="1706" spans="1:23" x14ac:dyDescent="0.25">
      <c r="A1706" s="50">
        <f t="shared" ca="1" si="314"/>
        <v>1701</v>
      </c>
      <c r="B1706" s="51"/>
      <c r="C1706" s="51"/>
      <c r="D1706" s="51"/>
      <c r="E1706" s="51"/>
      <c r="F1706" s="51"/>
      <c r="G1706" s="51"/>
      <c r="H1706" s="52"/>
      <c r="I1706" s="53"/>
      <c r="J1706" s="53">
        <v>1</v>
      </c>
      <c r="K1706" s="53">
        <v>1.1499999999999999</v>
      </c>
      <c r="L1706" s="54" t="s">
        <v>3215</v>
      </c>
      <c r="M1706" s="55"/>
      <c r="N1706" s="55"/>
      <c r="O1706" s="55"/>
      <c r="P1706" s="56">
        <f t="shared" si="307"/>
        <v>0</v>
      </c>
      <c r="Q1706" s="55"/>
      <c r="R1706" s="56">
        <f t="shared" si="308"/>
        <v>0</v>
      </c>
      <c r="S1706" s="56">
        <f t="shared" si="309"/>
        <v>0</v>
      </c>
      <c r="T1706" s="57">
        <f t="shared" si="312"/>
        <v>0.55859868298040061</v>
      </c>
      <c r="U1706" s="57">
        <f t="shared" si="313"/>
        <v>0.1</v>
      </c>
      <c r="V1706" s="55">
        <f t="shared" si="310"/>
        <v>0</v>
      </c>
      <c r="W1706" s="58"/>
    </row>
    <row r="1707" spans="1:23" x14ac:dyDescent="0.25">
      <c r="A1707" s="50">
        <f t="shared" ca="1" si="314"/>
        <v>1702</v>
      </c>
      <c r="B1707" s="51"/>
      <c r="C1707" s="51"/>
      <c r="D1707" s="51"/>
      <c r="E1707" s="51"/>
      <c r="F1707" s="51"/>
      <c r="G1707" s="51"/>
      <c r="H1707" s="52"/>
      <c r="I1707" s="53"/>
      <c r="J1707" s="53">
        <v>1</v>
      </c>
      <c r="K1707" s="53">
        <v>1.1499999999999999</v>
      </c>
      <c r="L1707" s="54" t="s">
        <v>3215</v>
      </c>
      <c r="M1707" s="55"/>
      <c r="N1707" s="55"/>
      <c r="O1707" s="55"/>
      <c r="P1707" s="56">
        <f t="shared" si="307"/>
        <v>0</v>
      </c>
      <c r="Q1707" s="55"/>
      <c r="R1707" s="56">
        <f t="shared" si="308"/>
        <v>0</v>
      </c>
      <c r="S1707" s="56">
        <f t="shared" si="309"/>
        <v>0</v>
      </c>
      <c r="T1707" s="57">
        <f t="shared" si="312"/>
        <v>0.55859868298040061</v>
      </c>
      <c r="U1707" s="57">
        <f t="shared" si="313"/>
        <v>0.1</v>
      </c>
      <c r="V1707" s="55">
        <f t="shared" si="310"/>
        <v>0</v>
      </c>
      <c r="W1707" s="58"/>
    </row>
    <row r="1708" spans="1:23" x14ac:dyDescent="0.25">
      <c r="A1708" s="41"/>
      <c r="B1708" s="41"/>
      <c r="C1708" s="41"/>
      <c r="D1708" s="41"/>
      <c r="E1708" s="41"/>
      <c r="F1708" s="41"/>
      <c r="G1708" s="41"/>
      <c r="H1708" s="41"/>
      <c r="I1708" s="41"/>
      <c r="J1708" s="41"/>
      <c r="K1708" s="41"/>
      <c r="L1708" s="42"/>
      <c r="M1708" s="41"/>
      <c r="N1708" s="41"/>
      <c r="O1708" s="41"/>
      <c r="P1708" s="41"/>
      <c r="Q1708" s="41"/>
      <c r="R1708" s="41"/>
      <c r="S1708" s="41"/>
      <c r="T1708" s="41"/>
      <c r="U1708" s="41"/>
      <c r="V1708" s="41"/>
      <c r="W1708" s="43"/>
    </row>
    <row r="1709" spans="1:23" x14ac:dyDescent="0.25">
      <c r="A1709" s="44">
        <f ca="1">A1707+1</f>
        <v>1703</v>
      </c>
      <c r="B1709" s="45"/>
      <c r="C1709" s="45"/>
      <c r="D1709" s="45"/>
      <c r="E1709" s="45"/>
      <c r="F1709" s="45"/>
      <c r="G1709" s="45"/>
      <c r="H1709" s="46" t="s">
        <v>3378</v>
      </c>
      <c r="I1709" s="6"/>
      <c r="J1709" s="6"/>
      <c r="K1709" s="6"/>
      <c r="L1709" s="6"/>
      <c r="M1709" s="47"/>
      <c r="N1709" s="47"/>
      <c r="O1709" s="47"/>
      <c r="P1709" s="47"/>
      <c r="Q1709" s="47"/>
      <c r="R1709" s="47"/>
      <c r="S1709" s="47"/>
      <c r="T1709" s="48"/>
      <c r="U1709" s="48"/>
      <c r="V1709" s="47"/>
      <c r="W1709" s="49"/>
    </row>
    <row r="1710" spans="1:23" x14ac:dyDescent="0.25">
      <c r="A1710" s="61">
        <f ca="1">A1709+1</f>
        <v>1704</v>
      </c>
      <c r="B1710" s="62"/>
      <c r="C1710" s="18"/>
      <c r="D1710" s="18"/>
      <c r="E1710" s="18"/>
      <c r="F1710" s="18"/>
      <c r="G1710" s="18"/>
      <c r="H1710" s="63"/>
      <c r="I1710" s="64"/>
      <c r="J1710" s="65">
        <v>1</v>
      </c>
      <c r="K1710" s="65">
        <v>1.1499999999999999</v>
      </c>
      <c r="L1710" s="66" t="s">
        <v>3379</v>
      </c>
      <c r="M1710" s="67"/>
      <c r="N1710" s="67"/>
      <c r="O1710" s="68">
        <v>0</v>
      </c>
      <c r="P1710" s="25">
        <f>IFERROR(O1710*M1710*K1710,0)</f>
        <v>0</v>
      </c>
      <c r="Q1710" s="68">
        <v>0</v>
      </c>
      <c r="R1710" s="25">
        <f>IFERROR(N1710*Q1710*K1710,0)</f>
        <v>0</v>
      </c>
      <c r="S1710" s="25">
        <f>P1710+R1710</f>
        <v>0</v>
      </c>
      <c r="T1710" s="57">
        <f t="shared" ref="T1710:T1751" si="315">$T$8</f>
        <v>0.55859868298040061</v>
      </c>
      <c r="U1710" s="57">
        <f t="shared" ref="U1710:U1751" si="316">$U$8</f>
        <v>0.1</v>
      </c>
      <c r="V1710" s="25">
        <f>S1710+S1710*T1710+(S1710+S1710*T1710)*U1710</f>
        <v>0</v>
      </c>
      <c r="W1710" s="69" t="s">
        <v>3380</v>
      </c>
    </row>
    <row r="1711" spans="1:23" x14ac:dyDescent="0.25">
      <c r="A1711" s="61">
        <f t="shared" ref="A1711:A1751" ca="1" si="317">A1710+1</f>
        <v>1705</v>
      </c>
      <c r="B1711" s="62"/>
      <c r="C1711" s="18"/>
      <c r="D1711" s="18"/>
      <c r="E1711" s="18"/>
      <c r="F1711" s="18"/>
      <c r="G1711" s="18"/>
      <c r="H1711" s="63"/>
      <c r="I1711" s="64"/>
      <c r="J1711" s="65">
        <v>1</v>
      </c>
      <c r="K1711" s="65">
        <v>1.1499999999999999</v>
      </c>
      <c r="L1711" s="66" t="s">
        <v>3379</v>
      </c>
      <c r="M1711" s="67"/>
      <c r="N1711" s="67"/>
      <c r="O1711" s="68">
        <v>0</v>
      </c>
      <c r="P1711" s="25">
        <f t="shared" ref="P1711:P1751" si="318">IFERROR(O1711*M1711*K1711,0)</f>
        <v>0</v>
      </c>
      <c r="Q1711" s="68">
        <v>0</v>
      </c>
      <c r="R1711" s="25">
        <f t="shared" ref="R1711:R1751" si="319">IFERROR(N1711*Q1711*K1711,0)</f>
        <v>0</v>
      </c>
      <c r="S1711" s="25">
        <f>P1711+R1711</f>
        <v>0</v>
      </c>
      <c r="T1711" s="57">
        <f t="shared" si="315"/>
        <v>0.55859868298040061</v>
      </c>
      <c r="U1711" s="57">
        <f t="shared" si="316"/>
        <v>0.1</v>
      </c>
      <c r="V1711" s="25">
        <f t="shared" ref="V1711:V1751" si="320">S1711+S1711*T1711+(S1711+S1711*T1711)*U1711</f>
        <v>0</v>
      </c>
      <c r="W1711" s="69" t="s">
        <v>3380</v>
      </c>
    </row>
    <row r="1712" spans="1:23" x14ac:dyDescent="0.25">
      <c r="A1712" s="61">
        <f t="shared" ca="1" si="317"/>
        <v>1706</v>
      </c>
      <c r="B1712" s="62"/>
      <c r="C1712" s="18"/>
      <c r="D1712" s="18"/>
      <c r="E1712" s="18"/>
      <c r="F1712" s="18"/>
      <c r="G1712" s="18"/>
      <c r="H1712" s="63"/>
      <c r="I1712" s="64"/>
      <c r="J1712" s="65">
        <v>1</v>
      </c>
      <c r="K1712" s="65">
        <v>1.1499999999999999</v>
      </c>
      <c r="L1712" s="66" t="s">
        <v>3379</v>
      </c>
      <c r="M1712" s="67"/>
      <c r="N1712" s="67"/>
      <c r="O1712" s="68">
        <v>0</v>
      </c>
      <c r="P1712" s="25">
        <f t="shared" si="318"/>
        <v>0</v>
      </c>
      <c r="Q1712" s="68">
        <v>0</v>
      </c>
      <c r="R1712" s="25">
        <f t="shared" si="319"/>
        <v>0</v>
      </c>
      <c r="S1712" s="25">
        <f t="shared" ref="S1712:S1751" si="321">P1712+R1712</f>
        <v>0</v>
      </c>
      <c r="T1712" s="57">
        <f t="shared" si="315"/>
        <v>0.55859868298040061</v>
      </c>
      <c r="U1712" s="57">
        <f t="shared" si="316"/>
        <v>0.1</v>
      </c>
      <c r="V1712" s="25">
        <f t="shared" si="320"/>
        <v>0</v>
      </c>
      <c r="W1712" s="69" t="s">
        <v>3380</v>
      </c>
    </row>
    <row r="1713" spans="1:23" x14ac:dyDescent="0.25">
      <c r="A1713" s="61">
        <f t="shared" ca="1" si="317"/>
        <v>1707</v>
      </c>
      <c r="B1713" s="62"/>
      <c r="C1713" s="18"/>
      <c r="D1713" s="18"/>
      <c r="E1713" s="18"/>
      <c r="F1713" s="18"/>
      <c r="G1713" s="18"/>
      <c r="H1713" s="63"/>
      <c r="I1713" s="64"/>
      <c r="J1713" s="65">
        <v>1</v>
      </c>
      <c r="K1713" s="65">
        <v>1.1499999999999999</v>
      </c>
      <c r="L1713" s="66" t="s">
        <v>3379</v>
      </c>
      <c r="M1713" s="67"/>
      <c r="N1713" s="67"/>
      <c r="O1713" s="68">
        <v>0</v>
      </c>
      <c r="P1713" s="25">
        <f t="shared" si="318"/>
        <v>0</v>
      </c>
      <c r="Q1713" s="68">
        <v>0</v>
      </c>
      <c r="R1713" s="25">
        <f t="shared" si="319"/>
        <v>0</v>
      </c>
      <c r="S1713" s="25">
        <f t="shared" si="321"/>
        <v>0</v>
      </c>
      <c r="T1713" s="57">
        <f t="shared" si="315"/>
        <v>0.55859868298040061</v>
      </c>
      <c r="U1713" s="57">
        <f t="shared" si="316"/>
        <v>0.1</v>
      </c>
      <c r="V1713" s="25">
        <f t="shared" si="320"/>
        <v>0</v>
      </c>
      <c r="W1713" s="69" t="s">
        <v>3380</v>
      </c>
    </row>
    <row r="1714" spans="1:23" x14ac:dyDescent="0.25">
      <c r="A1714" s="61">
        <f t="shared" ca="1" si="317"/>
        <v>1708</v>
      </c>
      <c r="B1714" s="62"/>
      <c r="C1714" s="62"/>
      <c r="D1714" s="62"/>
      <c r="E1714" s="62"/>
      <c r="F1714" s="62"/>
      <c r="G1714" s="62"/>
      <c r="H1714" s="63"/>
      <c r="I1714" s="64"/>
      <c r="J1714" s="65">
        <v>1</v>
      </c>
      <c r="K1714" s="65">
        <v>1.1499999999999999</v>
      </c>
      <c r="L1714" s="66" t="s">
        <v>3379</v>
      </c>
      <c r="M1714" s="67"/>
      <c r="N1714" s="67"/>
      <c r="O1714" s="68">
        <v>0</v>
      </c>
      <c r="P1714" s="25">
        <f t="shared" si="318"/>
        <v>0</v>
      </c>
      <c r="Q1714" s="68">
        <v>0</v>
      </c>
      <c r="R1714" s="25">
        <f t="shared" si="319"/>
        <v>0</v>
      </c>
      <c r="S1714" s="25">
        <f t="shared" si="321"/>
        <v>0</v>
      </c>
      <c r="T1714" s="57">
        <f t="shared" si="315"/>
        <v>0.55859868298040061</v>
      </c>
      <c r="U1714" s="57">
        <f t="shared" si="316"/>
        <v>0.1</v>
      </c>
      <c r="V1714" s="25">
        <f t="shared" si="320"/>
        <v>0</v>
      </c>
      <c r="W1714" s="69" t="s">
        <v>3380</v>
      </c>
    </row>
    <row r="1715" spans="1:23" x14ac:dyDescent="0.25">
      <c r="A1715" s="61">
        <f t="shared" ca="1" si="317"/>
        <v>1709</v>
      </c>
      <c r="B1715" s="62"/>
      <c r="C1715" s="62"/>
      <c r="D1715" s="62"/>
      <c r="E1715" s="62"/>
      <c r="F1715" s="62"/>
      <c r="G1715" s="62"/>
      <c r="H1715" s="63"/>
      <c r="I1715" s="64"/>
      <c r="J1715" s="65">
        <v>1</v>
      </c>
      <c r="K1715" s="65">
        <v>1.1499999999999999</v>
      </c>
      <c r="L1715" s="66" t="s">
        <v>3379</v>
      </c>
      <c r="M1715" s="67"/>
      <c r="N1715" s="67"/>
      <c r="O1715" s="68">
        <v>0</v>
      </c>
      <c r="P1715" s="25">
        <f t="shared" si="318"/>
        <v>0</v>
      </c>
      <c r="Q1715" s="68">
        <v>0</v>
      </c>
      <c r="R1715" s="25">
        <f t="shared" si="319"/>
        <v>0</v>
      </c>
      <c r="S1715" s="25">
        <f t="shared" si="321"/>
        <v>0</v>
      </c>
      <c r="T1715" s="57">
        <f t="shared" si="315"/>
        <v>0.55859868298040061</v>
      </c>
      <c r="U1715" s="57">
        <f t="shared" si="316"/>
        <v>0.1</v>
      </c>
      <c r="V1715" s="25">
        <f t="shared" si="320"/>
        <v>0</v>
      </c>
      <c r="W1715" s="69" t="s">
        <v>3380</v>
      </c>
    </row>
    <row r="1716" spans="1:23" x14ac:dyDescent="0.25">
      <c r="A1716" s="61">
        <f t="shared" ca="1" si="317"/>
        <v>1710</v>
      </c>
      <c r="B1716" s="62"/>
      <c r="C1716" s="62"/>
      <c r="D1716" s="62"/>
      <c r="E1716" s="62"/>
      <c r="F1716" s="62"/>
      <c r="G1716" s="62"/>
      <c r="H1716" s="63"/>
      <c r="I1716" s="64"/>
      <c r="J1716" s="65">
        <v>1</v>
      </c>
      <c r="K1716" s="65">
        <v>1.1499999999999999</v>
      </c>
      <c r="L1716" s="66" t="s">
        <v>3379</v>
      </c>
      <c r="M1716" s="67"/>
      <c r="N1716" s="67"/>
      <c r="O1716" s="68">
        <v>0</v>
      </c>
      <c r="P1716" s="25">
        <f t="shared" si="318"/>
        <v>0</v>
      </c>
      <c r="Q1716" s="68">
        <v>0</v>
      </c>
      <c r="R1716" s="25">
        <f t="shared" si="319"/>
        <v>0</v>
      </c>
      <c r="S1716" s="25">
        <f t="shared" si="321"/>
        <v>0</v>
      </c>
      <c r="T1716" s="57">
        <f t="shared" si="315"/>
        <v>0.55859868298040061</v>
      </c>
      <c r="U1716" s="57">
        <f t="shared" si="316"/>
        <v>0.1</v>
      </c>
      <c r="V1716" s="25">
        <f t="shared" si="320"/>
        <v>0</v>
      </c>
      <c r="W1716" s="69" t="s">
        <v>3380</v>
      </c>
    </row>
    <row r="1717" spans="1:23" x14ac:dyDescent="0.25">
      <c r="A1717" s="61">
        <f t="shared" ca="1" si="317"/>
        <v>1711</v>
      </c>
      <c r="B1717" s="62"/>
      <c r="C1717" s="62"/>
      <c r="D1717" s="62"/>
      <c r="E1717" s="62"/>
      <c r="F1717" s="62"/>
      <c r="G1717" s="62"/>
      <c r="H1717" s="63"/>
      <c r="I1717" s="64"/>
      <c r="J1717" s="65">
        <v>1</v>
      </c>
      <c r="K1717" s="65">
        <v>1.1499999999999999</v>
      </c>
      <c r="L1717" s="66" t="s">
        <v>3379</v>
      </c>
      <c r="M1717" s="67"/>
      <c r="N1717" s="67"/>
      <c r="O1717" s="68">
        <v>0</v>
      </c>
      <c r="P1717" s="25">
        <f t="shared" si="318"/>
        <v>0</v>
      </c>
      <c r="Q1717" s="68">
        <v>0</v>
      </c>
      <c r="R1717" s="25">
        <f t="shared" si="319"/>
        <v>0</v>
      </c>
      <c r="S1717" s="25">
        <f t="shared" si="321"/>
        <v>0</v>
      </c>
      <c r="T1717" s="57">
        <f t="shared" si="315"/>
        <v>0.55859868298040061</v>
      </c>
      <c r="U1717" s="57">
        <f t="shared" si="316"/>
        <v>0.1</v>
      </c>
      <c r="V1717" s="25">
        <f t="shared" si="320"/>
        <v>0</v>
      </c>
      <c r="W1717" s="69" t="s">
        <v>3380</v>
      </c>
    </row>
    <row r="1718" spans="1:23" x14ac:dyDescent="0.25">
      <c r="A1718" s="61">
        <f t="shared" ca="1" si="317"/>
        <v>1712</v>
      </c>
      <c r="B1718" s="62"/>
      <c r="C1718" s="62"/>
      <c r="D1718" s="62"/>
      <c r="E1718" s="62"/>
      <c r="F1718" s="62"/>
      <c r="G1718" s="62"/>
      <c r="H1718" s="63"/>
      <c r="I1718" s="64"/>
      <c r="J1718" s="65">
        <v>1</v>
      </c>
      <c r="K1718" s="65">
        <v>1.1499999999999999</v>
      </c>
      <c r="L1718" s="66" t="s">
        <v>3379</v>
      </c>
      <c r="M1718" s="67"/>
      <c r="N1718" s="67"/>
      <c r="O1718" s="68">
        <v>0</v>
      </c>
      <c r="P1718" s="25">
        <f t="shared" si="318"/>
        <v>0</v>
      </c>
      <c r="Q1718" s="68">
        <v>0</v>
      </c>
      <c r="R1718" s="25">
        <f t="shared" si="319"/>
        <v>0</v>
      </c>
      <c r="S1718" s="25">
        <f t="shared" si="321"/>
        <v>0</v>
      </c>
      <c r="T1718" s="57">
        <f t="shared" si="315"/>
        <v>0.55859868298040061</v>
      </c>
      <c r="U1718" s="57">
        <f t="shared" si="316"/>
        <v>0.1</v>
      </c>
      <c r="V1718" s="25">
        <f t="shared" si="320"/>
        <v>0</v>
      </c>
      <c r="W1718" s="69" t="s">
        <v>3380</v>
      </c>
    </row>
    <row r="1719" spans="1:23" x14ac:dyDescent="0.25">
      <c r="A1719" s="61">
        <f t="shared" ca="1" si="317"/>
        <v>1713</v>
      </c>
      <c r="B1719" s="62"/>
      <c r="C1719" s="62"/>
      <c r="D1719" s="62"/>
      <c r="E1719" s="62"/>
      <c r="F1719" s="62"/>
      <c r="G1719" s="62"/>
      <c r="H1719" s="63"/>
      <c r="I1719" s="64"/>
      <c r="J1719" s="65">
        <v>1</v>
      </c>
      <c r="K1719" s="65">
        <v>1.1499999999999999</v>
      </c>
      <c r="L1719" s="66" t="s">
        <v>3379</v>
      </c>
      <c r="M1719" s="67"/>
      <c r="N1719" s="67"/>
      <c r="O1719" s="68">
        <v>0</v>
      </c>
      <c r="P1719" s="25">
        <f t="shared" si="318"/>
        <v>0</v>
      </c>
      <c r="Q1719" s="68">
        <v>0</v>
      </c>
      <c r="R1719" s="25">
        <f t="shared" si="319"/>
        <v>0</v>
      </c>
      <c r="S1719" s="25">
        <f t="shared" si="321"/>
        <v>0</v>
      </c>
      <c r="T1719" s="57">
        <f t="shared" si="315"/>
        <v>0.55859868298040061</v>
      </c>
      <c r="U1719" s="57">
        <f t="shared" si="316"/>
        <v>0.1</v>
      </c>
      <c r="V1719" s="25">
        <f>S1719+S1719*T1719+(S1719+S1719*T1719)*U1719</f>
        <v>0</v>
      </c>
      <c r="W1719" s="69" t="s">
        <v>3380</v>
      </c>
    </row>
    <row r="1720" spans="1:23" x14ac:dyDescent="0.25">
      <c r="A1720" s="61">
        <f t="shared" ca="1" si="317"/>
        <v>1714</v>
      </c>
      <c r="B1720" s="62"/>
      <c r="C1720" s="62"/>
      <c r="D1720" s="62"/>
      <c r="E1720" s="62"/>
      <c r="F1720" s="62"/>
      <c r="G1720" s="62"/>
      <c r="H1720" s="63"/>
      <c r="I1720" s="64"/>
      <c r="J1720" s="65">
        <v>1</v>
      </c>
      <c r="K1720" s="65">
        <v>1.1499999999999999</v>
      </c>
      <c r="L1720" s="66" t="s">
        <v>3379</v>
      </c>
      <c r="M1720" s="67"/>
      <c r="N1720" s="67"/>
      <c r="O1720" s="68">
        <v>0</v>
      </c>
      <c r="P1720" s="25">
        <f t="shared" si="318"/>
        <v>0</v>
      </c>
      <c r="Q1720" s="68">
        <v>0</v>
      </c>
      <c r="R1720" s="25">
        <f t="shared" si="319"/>
        <v>0</v>
      </c>
      <c r="S1720" s="25">
        <f t="shared" si="321"/>
        <v>0</v>
      </c>
      <c r="T1720" s="57">
        <f t="shared" si="315"/>
        <v>0.55859868298040061</v>
      </c>
      <c r="U1720" s="57">
        <f t="shared" si="316"/>
        <v>0.1</v>
      </c>
      <c r="V1720" s="25">
        <f t="shared" si="320"/>
        <v>0</v>
      </c>
      <c r="W1720" s="69" t="s">
        <v>3380</v>
      </c>
    </row>
    <row r="1721" spans="1:23" x14ac:dyDescent="0.25">
      <c r="A1721" s="61">
        <f t="shared" ca="1" si="317"/>
        <v>1715</v>
      </c>
      <c r="B1721" s="62"/>
      <c r="C1721" s="62"/>
      <c r="D1721" s="62"/>
      <c r="E1721" s="62"/>
      <c r="F1721" s="62"/>
      <c r="G1721" s="62"/>
      <c r="H1721" s="63"/>
      <c r="I1721" s="70"/>
      <c r="J1721" s="71">
        <v>1</v>
      </c>
      <c r="K1721" s="71">
        <v>1.1499999999999999</v>
      </c>
      <c r="L1721" s="66" t="s">
        <v>3379</v>
      </c>
      <c r="M1721" s="67"/>
      <c r="N1721" s="67"/>
      <c r="O1721" s="68">
        <v>0</v>
      </c>
      <c r="P1721" s="25">
        <f t="shared" si="318"/>
        <v>0</v>
      </c>
      <c r="Q1721" s="68">
        <v>0</v>
      </c>
      <c r="R1721" s="25">
        <f t="shared" si="319"/>
        <v>0</v>
      </c>
      <c r="S1721" s="25">
        <f t="shared" si="321"/>
        <v>0</v>
      </c>
      <c r="T1721" s="57">
        <f t="shared" si="315"/>
        <v>0.55859868298040061</v>
      </c>
      <c r="U1721" s="57">
        <f t="shared" si="316"/>
        <v>0.1</v>
      </c>
      <c r="V1721" s="25">
        <f t="shared" si="320"/>
        <v>0</v>
      </c>
      <c r="W1721" s="69" t="s">
        <v>3380</v>
      </c>
    </row>
    <row r="1722" spans="1:23" x14ac:dyDescent="0.25">
      <c r="A1722" s="61">
        <f t="shared" ca="1" si="317"/>
        <v>1716</v>
      </c>
      <c r="B1722" s="62"/>
      <c r="C1722" s="62"/>
      <c r="D1722" s="62"/>
      <c r="E1722" s="62"/>
      <c r="F1722" s="62"/>
      <c r="G1722" s="62"/>
      <c r="H1722" s="63"/>
      <c r="I1722" s="72"/>
      <c r="J1722" s="72">
        <v>1</v>
      </c>
      <c r="K1722" s="72">
        <v>1.1499999999999999</v>
      </c>
      <c r="L1722" s="66" t="s">
        <v>3379</v>
      </c>
      <c r="M1722" s="67"/>
      <c r="N1722" s="67"/>
      <c r="O1722" s="68">
        <v>0</v>
      </c>
      <c r="P1722" s="25">
        <f t="shared" si="318"/>
        <v>0</v>
      </c>
      <c r="Q1722" s="68">
        <v>0</v>
      </c>
      <c r="R1722" s="25">
        <f t="shared" si="319"/>
        <v>0</v>
      </c>
      <c r="S1722" s="25">
        <f t="shared" si="321"/>
        <v>0</v>
      </c>
      <c r="T1722" s="57">
        <f t="shared" si="315"/>
        <v>0.55859868298040061</v>
      </c>
      <c r="U1722" s="57">
        <f t="shared" si="316"/>
        <v>0.1</v>
      </c>
      <c r="V1722" s="25">
        <f t="shared" si="320"/>
        <v>0</v>
      </c>
      <c r="W1722" s="69" t="s">
        <v>3380</v>
      </c>
    </row>
    <row r="1723" spans="1:23" x14ac:dyDescent="0.25">
      <c r="A1723" s="61">
        <f t="shared" ca="1" si="317"/>
        <v>1717</v>
      </c>
      <c r="B1723" s="62"/>
      <c r="C1723" s="62"/>
      <c r="D1723" s="62"/>
      <c r="E1723" s="62"/>
      <c r="F1723" s="62"/>
      <c r="G1723" s="62"/>
      <c r="H1723" s="63"/>
      <c r="I1723" s="72"/>
      <c r="J1723" s="72">
        <v>1</v>
      </c>
      <c r="K1723" s="72">
        <v>1.1499999999999999</v>
      </c>
      <c r="L1723" s="66" t="s">
        <v>3379</v>
      </c>
      <c r="M1723" s="67"/>
      <c r="N1723" s="67"/>
      <c r="O1723" s="68">
        <v>0</v>
      </c>
      <c r="P1723" s="25">
        <f t="shared" si="318"/>
        <v>0</v>
      </c>
      <c r="Q1723" s="68">
        <v>0</v>
      </c>
      <c r="R1723" s="25">
        <f t="shared" si="319"/>
        <v>0</v>
      </c>
      <c r="S1723" s="25">
        <f t="shared" si="321"/>
        <v>0</v>
      </c>
      <c r="T1723" s="57">
        <f t="shared" si="315"/>
        <v>0.55859868298040061</v>
      </c>
      <c r="U1723" s="57">
        <f t="shared" si="316"/>
        <v>0.1</v>
      </c>
      <c r="V1723" s="25">
        <f t="shared" si="320"/>
        <v>0</v>
      </c>
      <c r="W1723" s="69" t="s">
        <v>3380</v>
      </c>
    </row>
    <row r="1724" spans="1:23" x14ac:dyDescent="0.25">
      <c r="A1724" s="61">
        <f t="shared" ca="1" si="317"/>
        <v>1718</v>
      </c>
      <c r="B1724" s="62"/>
      <c r="C1724" s="62"/>
      <c r="D1724" s="62"/>
      <c r="E1724" s="62"/>
      <c r="F1724" s="62"/>
      <c r="G1724" s="62"/>
      <c r="H1724" s="63"/>
      <c r="I1724" s="72"/>
      <c r="J1724" s="72">
        <v>1</v>
      </c>
      <c r="K1724" s="72">
        <v>1.1499999999999999</v>
      </c>
      <c r="L1724" s="66" t="s">
        <v>3379</v>
      </c>
      <c r="M1724" s="67"/>
      <c r="N1724" s="67"/>
      <c r="O1724" s="68">
        <v>0</v>
      </c>
      <c r="P1724" s="25">
        <f t="shared" si="318"/>
        <v>0</v>
      </c>
      <c r="Q1724" s="68">
        <v>0</v>
      </c>
      <c r="R1724" s="25">
        <f t="shared" si="319"/>
        <v>0</v>
      </c>
      <c r="S1724" s="25">
        <f t="shared" si="321"/>
        <v>0</v>
      </c>
      <c r="T1724" s="57">
        <f t="shared" si="315"/>
        <v>0.55859868298040061</v>
      </c>
      <c r="U1724" s="57">
        <f t="shared" si="316"/>
        <v>0.1</v>
      </c>
      <c r="V1724" s="25">
        <f t="shared" si="320"/>
        <v>0</v>
      </c>
      <c r="W1724" s="69" t="s">
        <v>3380</v>
      </c>
    </row>
    <row r="1725" spans="1:23" x14ac:dyDescent="0.25">
      <c r="A1725" s="61">
        <f t="shared" ca="1" si="317"/>
        <v>1719</v>
      </c>
      <c r="B1725" s="62"/>
      <c r="C1725" s="62"/>
      <c r="D1725" s="62"/>
      <c r="E1725" s="62"/>
      <c r="F1725" s="62"/>
      <c r="G1725" s="62"/>
      <c r="H1725" s="63"/>
      <c r="I1725" s="72"/>
      <c r="J1725" s="72">
        <v>1</v>
      </c>
      <c r="K1725" s="72">
        <v>1.1499999999999999</v>
      </c>
      <c r="L1725" s="66" t="s">
        <v>3379</v>
      </c>
      <c r="M1725" s="67"/>
      <c r="N1725" s="67"/>
      <c r="O1725" s="68">
        <v>0</v>
      </c>
      <c r="P1725" s="25">
        <f t="shared" si="318"/>
        <v>0</v>
      </c>
      <c r="Q1725" s="68">
        <v>0</v>
      </c>
      <c r="R1725" s="25">
        <f t="shared" si="319"/>
        <v>0</v>
      </c>
      <c r="S1725" s="25">
        <f t="shared" si="321"/>
        <v>0</v>
      </c>
      <c r="T1725" s="57">
        <f t="shared" si="315"/>
        <v>0.55859868298040061</v>
      </c>
      <c r="U1725" s="57">
        <f t="shared" si="316"/>
        <v>0.1</v>
      </c>
      <c r="V1725" s="25">
        <f t="shared" si="320"/>
        <v>0</v>
      </c>
      <c r="W1725" s="69" t="s">
        <v>3380</v>
      </c>
    </row>
    <row r="1726" spans="1:23" x14ac:dyDescent="0.25">
      <c r="A1726" s="61">
        <f t="shared" ca="1" si="317"/>
        <v>1720</v>
      </c>
      <c r="B1726" s="62"/>
      <c r="C1726" s="62"/>
      <c r="D1726" s="62"/>
      <c r="E1726" s="62"/>
      <c r="F1726" s="62"/>
      <c r="G1726" s="62"/>
      <c r="H1726" s="63"/>
      <c r="I1726" s="72"/>
      <c r="J1726" s="72">
        <v>1</v>
      </c>
      <c r="K1726" s="72">
        <v>1.1499999999999999</v>
      </c>
      <c r="L1726" s="66" t="s">
        <v>3379</v>
      </c>
      <c r="M1726" s="67"/>
      <c r="N1726" s="67"/>
      <c r="O1726" s="68">
        <v>0</v>
      </c>
      <c r="P1726" s="25">
        <f t="shared" si="318"/>
        <v>0</v>
      </c>
      <c r="Q1726" s="68">
        <v>0</v>
      </c>
      <c r="R1726" s="25">
        <f t="shared" si="319"/>
        <v>0</v>
      </c>
      <c r="S1726" s="25">
        <f t="shared" si="321"/>
        <v>0</v>
      </c>
      <c r="T1726" s="57">
        <f t="shared" si="315"/>
        <v>0.55859868298040061</v>
      </c>
      <c r="U1726" s="57">
        <f t="shared" si="316"/>
        <v>0.1</v>
      </c>
      <c r="V1726" s="25">
        <f t="shared" si="320"/>
        <v>0</v>
      </c>
      <c r="W1726" s="69" t="s">
        <v>3380</v>
      </c>
    </row>
    <row r="1727" spans="1:23" x14ac:dyDescent="0.25">
      <c r="A1727" s="61">
        <f t="shared" ca="1" si="317"/>
        <v>1721</v>
      </c>
      <c r="B1727" s="62"/>
      <c r="C1727" s="62"/>
      <c r="D1727" s="62"/>
      <c r="E1727" s="62"/>
      <c r="F1727" s="62"/>
      <c r="G1727" s="62"/>
      <c r="H1727" s="63"/>
      <c r="I1727" s="72"/>
      <c r="J1727" s="72">
        <v>1</v>
      </c>
      <c r="K1727" s="72">
        <v>1.1499999999999999</v>
      </c>
      <c r="L1727" s="66" t="s">
        <v>3379</v>
      </c>
      <c r="M1727" s="67"/>
      <c r="N1727" s="67"/>
      <c r="O1727" s="68">
        <v>0</v>
      </c>
      <c r="P1727" s="25">
        <f t="shared" si="318"/>
        <v>0</v>
      </c>
      <c r="Q1727" s="68">
        <v>0</v>
      </c>
      <c r="R1727" s="25">
        <f t="shared" si="319"/>
        <v>0</v>
      </c>
      <c r="S1727" s="25">
        <f t="shared" si="321"/>
        <v>0</v>
      </c>
      <c r="T1727" s="57">
        <f t="shared" si="315"/>
        <v>0.55859868298040061</v>
      </c>
      <c r="U1727" s="57">
        <f t="shared" si="316"/>
        <v>0.1</v>
      </c>
      <c r="V1727" s="25">
        <f t="shared" si="320"/>
        <v>0</v>
      </c>
      <c r="W1727" s="69" t="s">
        <v>3380</v>
      </c>
    </row>
    <row r="1728" spans="1:23" x14ac:dyDescent="0.25">
      <c r="A1728" s="61">
        <f t="shared" ca="1" si="317"/>
        <v>1722</v>
      </c>
      <c r="B1728" s="62"/>
      <c r="C1728" s="62"/>
      <c r="D1728" s="62"/>
      <c r="E1728" s="62"/>
      <c r="F1728" s="62"/>
      <c r="G1728" s="62"/>
      <c r="H1728" s="63"/>
      <c r="I1728" s="72"/>
      <c r="J1728" s="72">
        <v>1</v>
      </c>
      <c r="K1728" s="72">
        <v>1.1499999999999999</v>
      </c>
      <c r="L1728" s="66" t="s">
        <v>3379</v>
      </c>
      <c r="M1728" s="67"/>
      <c r="N1728" s="67"/>
      <c r="O1728" s="68">
        <v>0</v>
      </c>
      <c r="P1728" s="25">
        <f t="shared" si="318"/>
        <v>0</v>
      </c>
      <c r="Q1728" s="68">
        <v>0</v>
      </c>
      <c r="R1728" s="25">
        <f t="shared" si="319"/>
        <v>0</v>
      </c>
      <c r="S1728" s="25">
        <f t="shared" si="321"/>
        <v>0</v>
      </c>
      <c r="T1728" s="57">
        <f t="shared" si="315"/>
        <v>0.55859868298040061</v>
      </c>
      <c r="U1728" s="57">
        <f t="shared" si="316"/>
        <v>0.1</v>
      </c>
      <c r="V1728" s="25">
        <f t="shared" si="320"/>
        <v>0</v>
      </c>
      <c r="W1728" s="69" t="s">
        <v>3380</v>
      </c>
    </row>
    <row r="1729" spans="1:23" x14ac:dyDescent="0.25">
      <c r="A1729" s="61">
        <f t="shared" ca="1" si="317"/>
        <v>1723</v>
      </c>
      <c r="B1729" s="62"/>
      <c r="C1729" s="62"/>
      <c r="D1729" s="62"/>
      <c r="E1729" s="62"/>
      <c r="F1729" s="62"/>
      <c r="G1729" s="62"/>
      <c r="H1729" s="63"/>
      <c r="I1729" s="72"/>
      <c r="J1729" s="72">
        <v>1</v>
      </c>
      <c r="K1729" s="72">
        <v>1.1499999999999999</v>
      </c>
      <c r="L1729" s="66" t="s">
        <v>3379</v>
      </c>
      <c r="M1729" s="67"/>
      <c r="N1729" s="67"/>
      <c r="O1729" s="68">
        <v>0</v>
      </c>
      <c r="P1729" s="25">
        <f t="shared" si="318"/>
        <v>0</v>
      </c>
      <c r="Q1729" s="68">
        <v>0</v>
      </c>
      <c r="R1729" s="25">
        <f t="shared" si="319"/>
        <v>0</v>
      </c>
      <c r="S1729" s="25">
        <f t="shared" si="321"/>
        <v>0</v>
      </c>
      <c r="T1729" s="57">
        <f t="shared" si="315"/>
        <v>0.55859868298040061</v>
      </c>
      <c r="U1729" s="57">
        <f t="shared" si="316"/>
        <v>0.1</v>
      </c>
      <c r="V1729" s="25">
        <f t="shared" si="320"/>
        <v>0</v>
      </c>
      <c r="W1729" s="69" t="s">
        <v>3380</v>
      </c>
    </row>
    <row r="1730" spans="1:23" x14ac:dyDescent="0.25">
      <c r="A1730" s="61">
        <f t="shared" ca="1" si="317"/>
        <v>1724</v>
      </c>
      <c r="B1730" s="62"/>
      <c r="C1730" s="62"/>
      <c r="D1730" s="62"/>
      <c r="E1730" s="62"/>
      <c r="F1730" s="62"/>
      <c r="G1730" s="62"/>
      <c r="H1730" s="63"/>
      <c r="I1730" s="72"/>
      <c r="J1730" s="72">
        <v>1</v>
      </c>
      <c r="K1730" s="72">
        <v>1.1499999999999999</v>
      </c>
      <c r="L1730" s="66" t="s">
        <v>3379</v>
      </c>
      <c r="M1730" s="67"/>
      <c r="N1730" s="67"/>
      <c r="O1730" s="68">
        <v>0</v>
      </c>
      <c r="P1730" s="25">
        <f t="shared" si="318"/>
        <v>0</v>
      </c>
      <c r="Q1730" s="68">
        <v>0</v>
      </c>
      <c r="R1730" s="25">
        <f t="shared" si="319"/>
        <v>0</v>
      </c>
      <c r="S1730" s="25">
        <f t="shared" si="321"/>
        <v>0</v>
      </c>
      <c r="T1730" s="57">
        <f t="shared" si="315"/>
        <v>0.55859868298040061</v>
      </c>
      <c r="U1730" s="57">
        <f t="shared" si="316"/>
        <v>0.1</v>
      </c>
      <c r="V1730" s="25">
        <f t="shared" si="320"/>
        <v>0</v>
      </c>
      <c r="W1730" s="69" t="s">
        <v>3380</v>
      </c>
    </row>
    <row r="1731" spans="1:23" x14ac:dyDescent="0.25">
      <c r="A1731" s="61">
        <f t="shared" ca="1" si="317"/>
        <v>1725</v>
      </c>
      <c r="B1731" s="62"/>
      <c r="C1731" s="62"/>
      <c r="D1731" s="62"/>
      <c r="E1731" s="62"/>
      <c r="F1731" s="62"/>
      <c r="G1731" s="62"/>
      <c r="H1731" s="63"/>
      <c r="I1731" s="72"/>
      <c r="J1731" s="72">
        <v>1</v>
      </c>
      <c r="K1731" s="72">
        <v>1.1499999999999999</v>
      </c>
      <c r="L1731" s="66" t="s">
        <v>3379</v>
      </c>
      <c r="M1731" s="67"/>
      <c r="N1731" s="67"/>
      <c r="O1731" s="68">
        <v>0</v>
      </c>
      <c r="P1731" s="25">
        <f t="shared" si="318"/>
        <v>0</v>
      </c>
      <c r="Q1731" s="68">
        <v>0</v>
      </c>
      <c r="R1731" s="25">
        <f t="shared" si="319"/>
        <v>0</v>
      </c>
      <c r="S1731" s="25">
        <f t="shared" si="321"/>
        <v>0</v>
      </c>
      <c r="T1731" s="57">
        <f t="shared" si="315"/>
        <v>0.55859868298040061</v>
      </c>
      <c r="U1731" s="57">
        <f t="shared" si="316"/>
        <v>0.1</v>
      </c>
      <c r="V1731" s="25">
        <f t="shared" si="320"/>
        <v>0</v>
      </c>
      <c r="W1731" s="69" t="s">
        <v>3380</v>
      </c>
    </row>
    <row r="1732" spans="1:23" x14ac:dyDescent="0.25">
      <c r="A1732" s="61">
        <f t="shared" ca="1" si="317"/>
        <v>1726</v>
      </c>
      <c r="B1732" s="62"/>
      <c r="C1732" s="62"/>
      <c r="D1732" s="62"/>
      <c r="E1732" s="62"/>
      <c r="F1732" s="62"/>
      <c r="G1732" s="62"/>
      <c r="H1732" s="63"/>
      <c r="I1732" s="72"/>
      <c r="J1732" s="72">
        <v>1</v>
      </c>
      <c r="K1732" s="72">
        <v>1.1499999999999999</v>
      </c>
      <c r="L1732" s="66" t="s">
        <v>3379</v>
      </c>
      <c r="M1732" s="67"/>
      <c r="N1732" s="67"/>
      <c r="O1732" s="68">
        <v>0</v>
      </c>
      <c r="P1732" s="25">
        <f t="shared" si="318"/>
        <v>0</v>
      </c>
      <c r="Q1732" s="68">
        <v>0</v>
      </c>
      <c r="R1732" s="25">
        <f t="shared" si="319"/>
        <v>0</v>
      </c>
      <c r="S1732" s="25">
        <f t="shared" si="321"/>
        <v>0</v>
      </c>
      <c r="T1732" s="57">
        <f t="shared" si="315"/>
        <v>0.55859868298040061</v>
      </c>
      <c r="U1732" s="57">
        <f t="shared" si="316"/>
        <v>0.1</v>
      </c>
      <c r="V1732" s="25">
        <f t="shared" si="320"/>
        <v>0</v>
      </c>
      <c r="W1732" s="69" t="s">
        <v>3380</v>
      </c>
    </row>
    <row r="1733" spans="1:23" x14ac:dyDescent="0.25">
      <c r="A1733" s="61">
        <f t="shared" ca="1" si="317"/>
        <v>1727</v>
      </c>
      <c r="B1733" s="62"/>
      <c r="C1733" s="62"/>
      <c r="D1733" s="62"/>
      <c r="E1733" s="62"/>
      <c r="F1733" s="62"/>
      <c r="G1733" s="62"/>
      <c r="H1733" s="63"/>
      <c r="I1733" s="72"/>
      <c r="J1733" s="72">
        <v>1</v>
      </c>
      <c r="K1733" s="72">
        <v>1.1499999999999999</v>
      </c>
      <c r="L1733" s="66" t="s">
        <v>3379</v>
      </c>
      <c r="M1733" s="67"/>
      <c r="N1733" s="67"/>
      <c r="O1733" s="68">
        <v>0</v>
      </c>
      <c r="P1733" s="25">
        <f t="shared" si="318"/>
        <v>0</v>
      </c>
      <c r="Q1733" s="68">
        <v>0</v>
      </c>
      <c r="R1733" s="25">
        <f t="shared" si="319"/>
        <v>0</v>
      </c>
      <c r="S1733" s="25">
        <f t="shared" si="321"/>
        <v>0</v>
      </c>
      <c r="T1733" s="57">
        <f t="shared" si="315"/>
        <v>0.55859868298040061</v>
      </c>
      <c r="U1733" s="57">
        <f t="shared" si="316"/>
        <v>0.1</v>
      </c>
      <c r="V1733" s="25">
        <f t="shared" si="320"/>
        <v>0</v>
      </c>
      <c r="W1733" s="69" t="s">
        <v>3380</v>
      </c>
    </row>
    <row r="1734" spans="1:23" x14ac:dyDescent="0.25">
      <c r="A1734" s="61">
        <f t="shared" ca="1" si="317"/>
        <v>1728</v>
      </c>
      <c r="B1734" s="62"/>
      <c r="C1734" s="62"/>
      <c r="D1734" s="62"/>
      <c r="E1734" s="62"/>
      <c r="F1734" s="62"/>
      <c r="G1734" s="62"/>
      <c r="H1734" s="63"/>
      <c r="I1734" s="72"/>
      <c r="J1734" s="72">
        <v>1</v>
      </c>
      <c r="K1734" s="72">
        <v>1.1499999999999999</v>
      </c>
      <c r="L1734" s="66" t="s">
        <v>3379</v>
      </c>
      <c r="M1734" s="67"/>
      <c r="N1734" s="67"/>
      <c r="O1734" s="68">
        <v>0</v>
      </c>
      <c r="P1734" s="25">
        <f t="shared" si="318"/>
        <v>0</v>
      </c>
      <c r="Q1734" s="68">
        <v>0</v>
      </c>
      <c r="R1734" s="25">
        <f t="shared" si="319"/>
        <v>0</v>
      </c>
      <c r="S1734" s="25">
        <f t="shared" si="321"/>
        <v>0</v>
      </c>
      <c r="T1734" s="57">
        <f t="shared" si="315"/>
        <v>0.55859868298040061</v>
      </c>
      <c r="U1734" s="57">
        <f t="shared" si="316"/>
        <v>0.1</v>
      </c>
      <c r="V1734" s="25">
        <f t="shared" si="320"/>
        <v>0</v>
      </c>
      <c r="W1734" s="69" t="s">
        <v>3380</v>
      </c>
    </row>
    <row r="1735" spans="1:23" x14ac:dyDescent="0.25">
      <c r="A1735" s="61">
        <f t="shared" ca="1" si="317"/>
        <v>1729</v>
      </c>
      <c r="B1735" s="62"/>
      <c r="C1735" s="62"/>
      <c r="D1735" s="62"/>
      <c r="E1735" s="62"/>
      <c r="F1735" s="62"/>
      <c r="G1735" s="62"/>
      <c r="H1735" s="63"/>
      <c r="I1735" s="72"/>
      <c r="J1735" s="72">
        <v>1</v>
      </c>
      <c r="K1735" s="72">
        <v>1.1499999999999999</v>
      </c>
      <c r="L1735" s="66" t="s">
        <v>3379</v>
      </c>
      <c r="M1735" s="67"/>
      <c r="N1735" s="67"/>
      <c r="O1735" s="68">
        <v>0</v>
      </c>
      <c r="P1735" s="25">
        <f t="shared" si="318"/>
        <v>0</v>
      </c>
      <c r="Q1735" s="68">
        <v>0</v>
      </c>
      <c r="R1735" s="25">
        <f t="shared" si="319"/>
        <v>0</v>
      </c>
      <c r="S1735" s="25">
        <f t="shared" si="321"/>
        <v>0</v>
      </c>
      <c r="T1735" s="57">
        <f t="shared" si="315"/>
        <v>0.55859868298040061</v>
      </c>
      <c r="U1735" s="57">
        <f t="shared" si="316"/>
        <v>0.1</v>
      </c>
      <c r="V1735" s="25">
        <f t="shared" si="320"/>
        <v>0</v>
      </c>
      <c r="W1735" s="69" t="s">
        <v>3380</v>
      </c>
    </row>
    <row r="1736" spans="1:23" x14ac:dyDescent="0.25">
      <c r="A1736" s="61">
        <f t="shared" ca="1" si="317"/>
        <v>1730</v>
      </c>
      <c r="B1736" s="62"/>
      <c r="C1736" s="62"/>
      <c r="D1736" s="62"/>
      <c r="E1736" s="62"/>
      <c r="F1736" s="62"/>
      <c r="G1736" s="62"/>
      <c r="H1736" s="63"/>
      <c r="I1736" s="72"/>
      <c r="J1736" s="72">
        <v>1</v>
      </c>
      <c r="K1736" s="72">
        <v>1.1499999999999999</v>
      </c>
      <c r="L1736" s="66" t="s">
        <v>3379</v>
      </c>
      <c r="M1736" s="67"/>
      <c r="N1736" s="67"/>
      <c r="O1736" s="68">
        <v>0</v>
      </c>
      <c r="P1736" s="25">
        <f t="shared" si="318"/>
        <v>0</v>
      </c>
      <c r="Q1736" s="68">
        <v>0</v>
      </c>
      <c r="R1736" s="25">
        <f t="shared" si="319"/>
        <v>0</v>
      </c>
      <c r="S1736" s="25">
        <f t="shared" si="321"/>
        <v>0</v>
      </c>
      <c r="T1736" s="57">
        <f t="shared" si="315"/>
        <v>0.55859868298040061</v>
      </c>
      <c r="U1736" s="57">
        <f t="shared" si="316"/>
        <v>0.1</v>
      </c>
      <c r="V1736" s="25">
        <f t="shared" si="320"/>
        <v>0</v>
      </c>
      <c r="W1736" s="69" t="s">
        <v>3380</v>
      </c>
    </row>
    <row r="1737" spans="1:23" x14ac:dyDescent="0.25">
      <c r="A1737" s="61">
        <f t="shared" ca="1" si="317"/>
        <v>1731</v>
      </c>
      <c r="B1737" s="62"/>
      <c r="C1737" s="62"/>
      <c r="D1737" s="62"/>
      <c r="E1737" s="62"/>
      <c r="F1737" s="62"/>
      <c r="G1737" s="62"/>
      <c r="H1737" s="63"/>
      <c r="I1737" s="72"/>
      <c r="J1737" s="72">
        <v>1</v>
      </c>
      <c r="K1737" s="72">
        <v>1.1499999999999999</v>
      </c>
      <c r="L1737" s="66" t="s">
        <v>3379</v>
      </c>
      <c r="M1737" s="67"/>
      <c r="N1737" s="67"/>
      <c r="O1737" s="68">
        <v>0</v>
      </c>
      <c r="P1737" s="25">
        <f t="shared" si="318"/>
        <v>0</v>
      </c>
      <c r="Q1737" s="68">
        <v>0</v>
      </c>
      <c r="R1737" s="25">
        <f t="shared" si="319"/>
        <v>0</v>
      </c>
      <c r="S1737" s="25">
        <f t="shared" si="321"/>
        <v>0</v>
      </c>
      <c r="T1737" s="57">
        <f t="shared" si="315"/>
        <v>0.55859868298040061</v>
      </c>
      <c r="U1737" s="57">
        <f t="shared" si="316"/>
        <v>0.1</v>
      </c>
      <c r="V1737" s="25">
        <f t="shared" si="320"/>
        <v>0</v>
      </c>
      <c r="W1737" s="69" t="s">
        <v>3380</v>
      </c>
    </row>
    <row r="1738" spans="1:23" x14ac:dyDescent="0.25">
      <c r="A1738" s="61">
        <f t="shared" ca="1" si="317"/>
        <v>1732</v>
      </c>
      <c r="B1738" s="62"/>
      <c r="C1738" s="62"/>
      <c r="D1738" s="62"/>
      <c r="E1738" s="62"/>
      <c r="F1738" s="62"/>
      <c r="G1738" s="62"/>
      <c r="H1738" s="63"/>
      <c r="I1738" s="72"/>
      <c r="J1738" s="72">
        <v>1</v>
      </c>
      <c r="K1738" s="72">
        <v>1.1499999999999999</v>
      </c>
      <c r="L1738" s="66" t="s">
        <v>3379</v>
      </c>
      <c r="M1738" s="67"/>
      <c r="N1738" s="67"/>
      <c r="O1738" s="68">
        <v>0</v>
      </c>
      <c r="P1738" s="25">
        <f t="shared" si="318"/>
        <v>0</v>
      </c>
      <c r="Q1738" s="68">
        <v>0</v>
      </c>
      <c r="R1738" s="25">
        <f t="shared" si="319"/>
        <v>0</v>
      </c>
      <c r="S1738" s="25">
        <f t="shared" si="321"/>
        <v>0</v>
      </c>
      <c r="T1738" s="57">
        <f t="shared" si="315"/>
        <v>0.55859868298040061</v>
      </c>
      <c r="U1738" s="57">
        <f t="shared" si="316"/>
        <v>0.1</v>
      </c>
      <c r="V1738" s="25">
        <f t="shared" si="320"/>
        <v>0</v>
      </c>
      <c r="W1738" s="69" t="s">
        <v>3380</v>
      </c>
    </row>
    <row r="1739" spans="1:23" x14ac:dyDescent="0.25">
      <c r="A1739" s="61">
        <f t="shared" ca="1" si="317"/>
        <v>1733</v>
      </c>
      <c r="B1739" s="62"/>
      <c r="C1739" s="62"/>
      <c r="D1739" s="62"/>
      <c r="E1739" s="62"/>
      <c r="F1739" s="62"/>
      <c r="G1739" s="62"/>
      <c r="H1739" s="63"/>
      <c r="I1739" s="72"/>
      <c r="J1739" s="72">
        <v>1</v>
      </c>
      <c r="K1739" s="72">
        <v>1.1499999999999999</v>
      </c>
      <c r="L1739" s="66" t="s">
        <v>3379</v>
      </c>
      <c r="M1739" s="67"/>
      <c r="N1739" s="67"/>
      <c r="O1739" s="68">
        <v>0</v>
      </c>
      <c r="P1739" s="25">
        <f t="shared" si="318"/>
        <v>0</v>
      </c>
      <c r="Q1739" s="68">
        <v>0</v>
      </c>
      <c r="R1739" s="25">
        <f t="shared" si="319"/>
        <v>0</v>
      </c>
      <c r="S1739" s="25">
        <f t="shared" si="321"/>
        <v>0</v>
      </c>
      <c r="T1739" s="57">
        <f t="shared" si="315"/>
        <v>0.55859868298040061</v>
      </c>
      <c r="U1739" s="57">
        <f t="shared" si="316"/>
        <v>0.1</v>
      </c>
      <c r="V1739" s="25">
        <f t="shared" si="320"/>
        <v>0</v>
      </c>
      <c r="W1739" s="69" t="s">
        <v>3380</v>
      </c>
    </row>
    <row r="1740" spans="1:23" x14ac:dyDescent="0.25">
      <c r="A1740" s="61">
        <f t="shared" ca="1" si="317"/>
        <v>1734</v>
      </c>
      <c r="B1740" s="62"/>
      <c r="C1740" s="62"/>
      <c r="D1740" s="62"/>
      <c r="E1740" s="62"/>
      <c r="F1740" s="62"/>
      <c r="G1740" s="62"/>
      <c r="H1740" s="63"/>
      <c r="I1740" s="72"/>
      <c r="J1740" s="72">
        <v>1</v>
      </c>
      <c r="K1740" s="72">
        <v>1.1499999999999999</v>
      </c>
      <c r="L1740" s="66" t="s">
        <v>3379</v>
      </c>
      <c r="M1740" s="67"/>
      <c r="N1740" s="67"/>
      <c r="O1740" s="68">
        <v>0</v>
      </c>
      <c r="P1740" s="25">
        <f t="shared" si="318"/>
        <v>0</v>
      </c>
      <c r="Q1740" s="68">
        <v>0</v>
      </c>
      <c r="R1740" s="25">
        <f t="shared" si="319"/>
        <v>0</v>
      </c>
      <c r="S1740" s="25">
        <f t="shared" si="321"/>
        <v>0</v>
      </c>
      <c r="T1740" s="57">
        <f t="shared" si="315"/>
        <v>0.55859868298040061</v>
      </c>
      <c r="U1740" s="57">
        <f t="shared" si="316"/>
        <v>0.1</v>
      </c>
      <c r="V1740" s="25">
        <f t="shared" si="320"/>
        <v>0</v>
      </c>
      <c r="W1740" s="69" t="s">
        <v>3380</v>
      </c>
    </row>
    <row r="1741" spans="1:23" x14ac:dyDescent="0.25">
      <c r="A1741" s="61">
        <f t="shared" ca="1" si="317"/>
        <v>1735</v>
      </c>
      <c r="B1741" s="62"/>
      <c r="C1741" s="62"/>
      <c r="D1741" s="62"/>
      <c r="E1741" s="62"/>
      <c r="F1741" s="62"/>
      <c r="G1741" s="62"/>
      <c r="H1741" s="63"/>
      <c r="I1741" s="72"/>
      <c r="J1741" s="72">
        <v>1</v>
      </c>
      <c r="K1741" s="72">
        <v>1.1499999999999999</v>
      </c>
      <c r="L1741" s="66" t="s">
        <v>3379</v>
      </c>
      <c r="M1741" s="67"/>
      <c r="N1741" s="67"/>
      <c r="O1741" s="68">
        <v>0</v>
      </c>
      <c r="P1741" s="25">
        <f t="shared" si="318"/>
        <v>0</v>
      </c>
      <c r="Q1741" s="68">
        <v>0</v>
      </c>
      <c r="R1741" s="25">
        <f t="shared" si="319"/>
        <v>0</v>
      </c>
      <c r="S1741" s="25">
        <f t="shared" si="321"/>
        <v>0</v>
      </c>
      <c r="T1741" s="57">
        <f t="shared" si="315"/>
        <v>0.55859868298040061</v>
      </c>
      <c r="U1741" s="57">
        <f t="shared" si="316"/>
        <v>0.1</v>
      </c>
      <c r="V1741" s="25">
        <f t="shared" si="320"/>
        <v>0</v>
      </c>
      <c r="W1741" s="69" t="s">
        <v>3380</v>
      </c>
    </row>
    <row r="1742" spans="1:23" x14ac:dyDescent="0.25">
      <c r="A1742" s="61">
        <f t="shared" ca="1" si="317"/>
        <v>1736</v>
      </c>
      <c r="B1742" s="62"/>
      <c r="C1742" s="62"/>
      <c r="D1742" s="62"/>
      <c r="E1742" s="62"/>
      <c r="F1742" s="62"/>
      <c r="G1742" s="62"/>
      <c r="H1742" s="63"/>
      <c r="I1742" s="72"/>
      <c r="J1742" s="72">
        <v>1</v>
      </c>
      <c r="K1742" s="72">
        <v>1.1499999999999999</v>
      </c>
      <c r="L1742" s="66" t="s">
        <v>3379</v>
      </c>
      <c r="M1742" s="67"/>
      <c r="N1742" s="67"/>
      <c r="O1742" s="68">
        <v>0</v>
      </c>
      <c r="P1742" s="25">
        <f t="shared" si="318"/>
        <v>0</v>
      </c>
      <c r="Q1742" s="68">
        <v>0</v>
      </c>
      <c r="R1742" s="25">
        <f t="shared" si="319"/>
        <v>0</v>
      </c>
      <c r="S1742" s="25">
        <f t="shared" si="321"/>
        <v>0</v>
      </c>
      <c r="T1742" s="57">
        <f t="shared" si="315"/>
        <v>0.55859868298040061</v>
      </c>
      <c r="U1742" s="57">
        <f t="shared" si="316"/>
        <v>0.1</v>
      </c>
      <c r="V1742" s="25">
        <f t="shared" si="320"/>
        <v>0</v>
      </c>
      <c r="W1742" s="69" t="s">
        <v>3380</v>
      </c>
    </row>
    <row r="1743" spans="1:23" x14ac:dyDescent="0.25">
      <c r="A1743" s="61">
        <f t="shared" ca="1" si="317"/>
        <v>1737</v>
      </c>
      <c r="B1743" s="62"/>
      <c r="C1743" s="62"/>
      <c r="D1743" s="62"/>
      <c r="E1743" s="62"/>
      <c r="F1743" s="62"/>
      <c r="G1743" s="62"/>
      <c r="H1743" s="63"/>
      <c r="I1743" s="72"/>
      <c r="J1743" s="72">
        <v>1</v>
      </c>
      <c r="K1743" s="72">
        <v>1.1499999999999999</v>
      </c>
      <c r="L1743" s="66" t="s">
        <v>3379</v>
      </c>
      <c r="M1743" s="67"/>
      <c r="N1743" s="67"/>
      <c r="O1743" s="68">
        <v>0</v>
      </c>
      <c r="P1743" s="25">
        <f t="shared" si="318"/>
        <v>0</v>
      </c>
      <c r="Q1743" s="68">
        <v>0</v>
      </c>
      <c r="R1743" s="25">
        <f t="shared" si="319"/>
        <v>0</v>
      </c>
      <c r="S1743" s="25">
        <f t="shared" si="321"/>
        <v>0</v>
      </c>
      <c r="T1743" s="57">
        <f t="shared" si="315"/>
        <v>0.55859868298040061</v>
      </c>
      <c r="U1743" s="57">
        <f t="shared" si="316"/>
        <v>0.1</v>
      </c>
      <c r="V1743" s="25">
        <f t="shared" si="320"/>
        <v>0</v>
      </c>
      <c r="W1743" s="69" t="s">
        <v>3380</v>
      </c>
    </row>
    <row r="1744" spans="1:23" x14ac:dyDescent="0.25">
      <c r="A1744" s="61">
        <f t="shared" ca="1" si="317"/>
        <v>1738</v>
      </c>
      <c r="B1744" s="62"/>
      <c r="C1744" s="62"/>
      <c r="D1744" s="62"/>
      <c r="E1744" s="62"/>
      <c r="F1744" s="62"/>
      <c r="G1744" s="62"/>
      <c r="H1744" s="63"/>
      <c r="I1744" s="72"/>
      <c r="J1744" s="72">
        <v>1</v>
      </c>
      <c r="K1744" s="72">
        <v>1.1499999999999999</v>
      </c>
      <c r="L1744" s="66" t="s">
        <v>3379</v>
      </c>
      <c r="M1744" s="67"/>
      <c r="N1744" s="67"/>
      <c r="O1744" s="68">
        <v>0</v>
      </c>
      <c r="P1744" s="25">
        <f t="shared" si="318"/>
        <v>0</v>
      </c>
      <c r="Q1744" s="68">
        <v>0</v>
      </c>
      <c r="R1744" s="25">
        <f t="shared" si="319"/>
        <v>0</v>
      </c>
      <c r="S1744" s="25">
        <f t="shared" si="321"/>
        <v>0</v>
      </c>
      <c r="T1744" s="57">
        <f t="shared" si="315"/>
        <v>0.55859868298040061</v>
      </c>
      <c r="U1744" s="57">
        <f t="shared" si="316"/>
        <v>0.1</v>
      </c>
      <c r="V1744" s="25">
        <f>S1744+S1744*T1744+(S1744+S1744*T1744)*U1744</f>
        <v>0</v>
      </c>
      <c r="W1744" s="69" t="s">
        <v>3380</v>
      </c>
    </row>
    <row r="1745" spans="1:23" x14ac:dyDescent="0.25">
      <c r="A1745" s="61">
        <f t="shared" ca="1" si="317"/>
        <v>1739</v>
      </c>
      <c r="B1745" s="62"/>
      <c r="C1745" s="62"/>
      <c r="D1745" s="62"/>
      <c r="E1745" s="62"/>
      <c r="F1745" s="62"/>
      <c r="G1745" s="62"/>
      <c r="H1745" s="63"/>
      <c r="I1745" s="72"/>
      <c r="J1745" s="72">
        <v>1</v>
      </c>
      <c r="K1745" s="72">
        <v>1.1499999999999999</v>
      </c>
      <c r="L1745" s="66" t="s">
        <v>3379</v>
      </c>
      <c r="M1745" s="67"/>
      <c r="N1745" s="67"/>
      <c r="O1745" s="68">
        <v>0</v>
      </c>
      <c r="P1745" s="25">
        <f t="shared" si="318"/>
        <v>0</v>
      </c>
      <c r="Q1745" s="68">
        <v>0</v>
      </c>
      <c r="R1745" s="25">
        <f t="shared" si="319"/>
        <v>0</v>
      </c>
      <c r="S1745" s="25">
        <f t="shared" si="321"/>
        <v>0</v>
      </c>
      <c r="T1745" s="57">
        <f t="shared" si="315"/>
        <v>0.55859868298040061</v>
      </c>
      <c r="U1745" s="57">
        <f t="shared" si="316"/>
        <v>0.1</v>
      </c>
      <c r="V1745" s="25">
        <f t="shared" si="320"/>
        <v>0</v>
      </c>
      <c r="W1745" s="69" t="s">
        <v>3380</v>
      </c>
    </row>
    <row r="1746" spans="1:23" x14ac:dyDescent="0.25">
      <c r="A1746" s="61">
        <f t="shared" ca="1" si="317"/>
        <v>1740</v>
      </c>
      <c r="B1746" s="62"/>
      <c r="C1746" s="62"/>
      <c r="D1746" s="62"/>
      <c r="E1746" s="62"/>
      <c r="F1746" s="62"/>
      <c r="G1746" s="62"/>
      <c r="H1746" s="63"/>
      <c r="I1746" s="72"/>
      <c r="J1746" s="72">
        <v>1</v>
      </c>
      <c r="K1746" s="72">
        <v>1.1499999999999999</v>
      </c>
      <c r="L1746" s="66" t="s">
        <v>3379</v>
      </c>
      <c r="M1746" s="67"/>
      <c r="N1746" s="67"/>
      <c r="O1746" s="68">
        <v>0</v>
      </c>
      <c r="P1746" s="25">
        <f t="shared" si="318"/>
        <v>0</v>
      </c>
      <c r="Q1746" s="68">
        <v>0</v>
      </c>
      <c r="R1746" s="25">
        <f t="shared" si="319"/>
        <v>0</v>
      </c>
      <c r="S1746" s="25">
        <f t="shared" si="321"/>
        <v>0</v>
      </c>
      <c r="T1746" s="57">
        <f t="shared" si="315"/>
        <v>0.55859868298040061</v>
      </c>
      <c r="U1746" s="57">
        <f t="shared" si="316"/>
        <v>0.1</v>
      </c>
      <c r="V1746" s="25">
        <f t="shared" si="320"/>
        <v>0</v>
      </c>
      <c r="W1746" s="69" t="s">
        <v>3380</v>
      </c>
    </row>
    <row r="1747" spans="1:23" x14ac:dyDescent="0.25">
      <c r="A1747" s="61">
        <f t="shared" ca="1" si="317"/>
        <v>1741</v>
      </c>
      <c r="B1747" s="62"/>
      <c r="C1747" s="62"/>
      <c r="D1747" s="62"/>
      <c r="E1747" s="62"/>
      <c r="F1747" s="62"/>
      <c r="G1747" s="62"/>
      <c r="H1747" s="63"/>
      <c r="I1747" s="72"/>
      <c r="J1747" s="72">
        <v>1</v>
      </c>
      <c r="K1747" s="72">
        <v>1.1499999999999999</v>
      </c>
      <c r="L1747" s="66" t="s">
        <v>3379</v>
      </c>
      <c r="M1747" s="67"/>
      <c r="N1747" s="67"/>
      <c r="O1747" s="68">
        <v>0</v>
      </c>
      <c r="P1747" s="25">
        <f t="shared" si="318"/>
        <v>0</v>
      </c>
      <c r="Q1747" s="68">
        <v>0</v>
      </c>
      <c r="R1747" s="25">
        <f t="shared" si="319"/>
        <v>0</v>
      </c>
      <c r="S1747" s="25">
        <f t="shared" si="321"/>
        <v>0</v>
      </c>
      <c r="T1747" s="57">
        <f t="shared" si="315"/>
        <v>0.55859868298040061</v>
      </c>
      <c r="U1747" s="57">
        <f t="shared" si="316"/>
        <v>0.1</v>
      </c>
      <c r="V1747" s="25">
        <f t="shared" si="320"/>
        <v>0</v>
      </c>
      <c r="W1747" s="69" t="s">
        <v>3380</v>
      </c>
    </row>
    <row r="1748" spans="1:23" x14ac:dyDescent="0.25">
      <c r="A1748" s="61">
        <f t="shared" ca="1" si="317"/>
        <v>1742</v>
      </c>
      <c r="B1748" s="62"/>
      <c r="C1748" s="62"/>
      <c r="D1748" s="62"/>
      <c r="E1748" s="62"/>
      <c r="F1748" s="62"/>
      <c r="G1748" s="62"/>
      <c r="H1748" s="63"/>
      <c r="I1748" s="72"/>
      <c r="J1748" s="72">
        <v>1</v>
      </c>
      <c r="K1748" s="72">
        <v>1.1499999999999999</v>
      </c>
      <c r="L1748" s="66" t="s">
        <v>3379</v>
      </c>
      <c r="M1748" s="67"/>
      <c r="N1748" s="67"/>
      <c r="O1748" s="68">
        <v>0</v>
      </c>
      <c r="P1748" s="25">
        <f t="shared" si="318"/>
        <v>0</v>
      </c>
      <c r="Q1748" s="68">
        <v>0</v>
      </c>
      <c r="R1748" s="25">
        <f t="shared" si="319"/>
        <v>0</v>
      </c>
      <c r="S1748" s="25">
        <f t="shared" si="321"/>
        <v>0</v>
      </c>
      <c r="T1748" s="57">
        <f t="shared" si="315"/>
        <v>0.55859868298040061</v>
      </c>
      <c r="U1748" s="57">
        <f t="shared" si="316"/>
        <v>0.1</v>
      </c>
      <c r="V1748" s="25">
        <f t="shared" si="320"/>
        <v>0</v>
      </c>
      <c r="W1748" s="69" t="s">
        <v>3380</v>
      </c>
    </row>
    <row r="1749" spans="1:23" x14ac:dyDescent="0.25">
      <c r="A1749" s="61">
        <f t="shared" ca="1" si="317"/>
        <v>1743</v>
      </c>
      <c r="B1749" s="62"/>
      <c r="C1749" s="62"/>
      <c r="D1749" s="62"/>
      <c r="E1749" s="62"/>
      <c r="F1749" s="62"/>
      <c r="G1749" s="62"/>
      <c r="H1749" s="63"/>
      <c r="I1749" s="72"/>
      <c r="J1749" s="72">
        <v>1</v>
      </c>
      <c r="K1749" s="72">
        <v>1.1499999999999999</v>
      </c>
      <c r="L1749" s="66" t="s">
        <v>3379</v>
      </c>
      <c r="M1749" s="67"/>
      <c r="N1749" s="67"/>
      <c r="O1749" s="68">
        <v>0</v>
      </c>
      <c r="P1749" s="25">
        <f t="shared" si="318"/>
        <v>0</v>
      </c>
      <c r="Q1749" s="68">
        <v>0</v>
      </c>
      <c r="R1749" s="25">
        <f t="shared" si="319"/>
        <v>0</v>
      </c>
      <c r="S1749" s="25">
        <f t="shared" si="321"/>
        <v>0</v>
      </c>
      <c r="T1749" s="57">
        <f t="shared" si="315"/>
        <v>0.55859868298040061</v>
      </c>
      <c r="U1749" s="57">
        <f t="shared" si="316"/>
        <v>0.1</v>
      </c>
      <c r="V1749" s="25">
        <f t="shared" si="320"/>
        <v>0</v>
      </c>
      <c r="W1749" s="69" t="s">
        <v>3380</v>
      </c>
    </row>
    <row r="1750" spans="1:23" x14ac:dyDescent="0.25">
      <c r="A1750" s="61">
        <f t="shared" ca="1" si="317"/>
        <v>1744</v>
      </c>
      <c r="B1750" s="62"/>
      <c r="C1750" s="62"/>
      <c r="D1750" s="62"/>
      <c r="E1750" s="62"/>
      <c r="F1750" s="62"/>
      <c r="G1750" s="62"/>
      <c r="H1750" s="63"/>
      <c r="I1750" s="72"/>
      <c r="J1750" s="72">
        <v>1</v>
      </c>
      <c r="K1750" s="72">
        <v>1.1499999999999999</v>
      </c>
      <c r="L1750" s="66" t="s">
        <v>3379</v>
      </c>
      <c r="M1750" s="67"/>
      <c r="N1750" s="67"/>
      <c r="O1750" s="68">
        <v>0</v>
      </c>
      <c r="P1750" s="25">
        <f t="shared" si="318"/>
        <v>0</v>
      </c>
      <c r="Q1750" s="68">
        <v>0</v>
      </c>
      <c r="R1750" s="25">
        <f t="shared" si="319"/>
        <v>0</v>
      </c>
      <c r="S1750" s="25">
        <f t="shared" si="321"/>
        <v>0</v>
      </c>
      <c r="T1750" s="57">
        <f t="shared" si="315"/>
        <v>0.55859868298040061</v>
      </c>
      <c r="U1750" s="57">
        <f t="shared" si="316"/>
        <v>0.1</v>
      </c>
      <c r="V1750" s="25">
        <f t="shared" si="320"/>
        <v>0</v>
      </c>
      <c r="W1750" s="69" t="s">
        <v>3380</v>
      </c>
    </row>
    <row r="1751" spans="1:23" x14ac:dyDescent="0.25">
      <c r="A1751" s="61">
        <f t="shared" ca="1" si="317"/>
        <v>1745</v>
      </c>
      <c r="B1751" s="62"/>
      <c r="C1751" s="62"/>
      <c r="D1751" s="62"/>
      <c r="E1751" s="62"/>
      <c r="F1751" s="62"/>
      <c r="G1751" s="62"/>
      <c r="H1751" s="63"/>
      <c r="I1751" s="72"/>
      <c r="J1751" s="72">
        <v>1</v>
      </c>
      <c r="K1751" s="72">
        <v>1.1499999999999999</v>
      </c>
      <c r="L1751" s="66" t="s">
        <v>3379</v>
      </c>
      <c r="M1751" s="67"/>
      <c r="N1751" s="67"/>
      <c r="O1751" s="68">
        <v>0</v>
      </c>
      <c r="P1751" s="25">
        <f t="shared" si="318"/>
        <v>0</v>
      </c>
      <c r="Q1751" s="68">
        <v>0</v>
      </c>
      <c r="R1751" s="25">
        <f t="shared" si="319"/>
        <v>0</v>
      </c>
      <c r="S1751" s="25">
        <f t="shared" si="321"/>
        <v>0</v>
      </c>
      <c r="T1751" s="57">
        <f t="shared" si="315"/>
        <v>0.55859868298040061</v>
      </c>
      <c r="U1751" s="57">
        <f t="shared" si="316"/>
        <v>0.1</v>
      </c>
      <c r="V1751" s="25">
        <f t="shared" si="320"/>
        <v>0</v>
      </c>
      <c r="W1751" s="69" t="s">
        <v>3380</v>
      </c>
    </row>
  </sheetData>
  <protectedRanges>
    <protectedRange sqref="J5:J1623" name="Диапазон1_2"/>
  </protectedRanges>
  <phoneticPr fontId="10" type="noConversion"/>
  <conditionalFormatting sqref="C2:G8">
    <cfRule type="duplicateValues" dxfId="2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equal" id="{4F335990-DA65-4980-B566-E55404CACDEE}">
            <xm:f>'\\12.16.0.200\Database\2. ПРОЕКТЫ\6. СМР, ПНР\1. Рамка НБ и СБ\[РДЦ_ЭМР_Синтегра_НКНХ.9366 (обн.)_19.02.2026.xlsm]1. Расчетные показатели '!#REF!</xm:f>
            <x14:dxf>
              <font>
                <color auto="1"/>
              </font>
              <fill>
                <patternFill>
                  <bgColor rgb="FFFFC7CE"/>
                </patternFill>
              </fill>
            </x14:dxf>
          </x14:cfRule>
          <xm:sqref>O1710:O1751</xm:sqref>
        </x14:conditionalFormatting>
        <x14:conditionalFormatting xmlns:xm="http://schemas.microsoft.com/office/excel/2006/main">
          <x14:cfRule type="cellIs" priority="2" operator="equal" id="{1DE1CFE1-8B57-4AC6-A2FB-195E68C60883}">
            <xm:f>'\\12.16.0.200\Database\2. ПРОЕКТЫ\6. СМР, ПНР\1. Рамка НБ и СБ\[РДЦ_ЭМР_Синтегра_НКНХ.9366 (обн.)_19.02.2026.xlsm]1. Расчетные показатели '!#REF!</xm:f>
            <x14:dxf>
              <font>
                <color auto="1"/>
              </font>
              <fill>
                <patternFill>
                  <bgColor rgb="FFFFC7CE"/>
                </patternFill>
              </fill>
            </x14:dxf>
          </x14:cfRule>
          <xm:sqref>Q1710:Q1751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7D01-E98B-423E-AD9D-6BD2F5809CC0}">
  <dimension ref="A4:C151"/>
  <sheetViews>
    <sheetView tabSelected="1" topLeftCell="A85" zoomScale="85" zoomScaleNormal="85" workbookViewId="0">
      <selection activeCell="B8" sqref="B8"/>
    </sheetView>
  </sheetViews>
  <sheetFormatPr defaultRowHeight="15" x14ac:dyDescent="0.25"/>
  <cols>
    <col min="1" max="1" width="18.85546875" bestFit="1" customWidth="1"/>
    <col min="2" max="2" width="22" customWidth="1"/>
    <col min="3" max="3" width="157.5703125" bestFit="1" customWidth="1"/>
    <col min="4" max="1627" width="255.7109375" bestFit="1" customWidth="1"/>
    <col min="1628" max="1628" width="12.140625" bestFit="1" customWidth="1"/>
  </cols>
  <sheetData>
    <row r="4" spans="1:3" x14ac:dyDescent="0.25">
      <c r="A4" s="73" t="s">
        <v>1</v>
      </c>
      <c r="B4" s="73" t="s">
        <v>2</v>
      </c>
      <c r="C4" s="73" t="s">
        <v>3</v>
      </c>
    </row>
    <row r="5" spans="1:3" x14ac:dyDescent="0.25">
      <c r="A5" t="s">
        <v>2854</v>
      </c>
    </row>
    <row r="6" spans="1:3" x14ac:dyDescent="0.25">
      <c r="A6" t="s">
        <v>3221</v>
      </c>
    </row>
    <row r="7" spans="1:3" x14ac:dyDescent="0.25">
      <c r="A7" t="s">
        <v>1245</v>
      </c>
      <c r="B7" t="s">
        <v>1245</v>
      </c>
      <c r="C7" t="s">
        <v>1246</v>
      </c>
    </row>
    <row r="8" spans="1:3" x14ac:dyDescent="0.25">
      <c r="B8" t="s">
        <v>1247</v>
      </c>
      <c r="C8" t="s">
        <v>1248</v>
      </c>
    </row>
    <row r="9" spans="1:3" x14ac:dyDescent="0.25">
      <c r="B9" t="s">
        <v>3287</v>
      </c>
      <c r="C9" t="s">
        <v>3288</v>
      </c>
    </row>
    <row r="10" spans="1:3" x14ac:dyDescent="0.25">
      <c r="B10" t="s">
        <v>1249</v>
      </c>
      <c r="C10" t="s">
        <v>1250</v>
      </c>
    </row>
    <row r="11" spans="1:3" x14ac:dyDescent="0.25">
      <c r="B11" t="s">
        <v>1251</v>
      </c>
      <c r="C11" t="s">
        <v>1252</v>
      </c>
    </row>
    <row r="12" spans="1:3" x14ac:dyDescent="0.25">
      <c r="B12" t="s">
        <v>1269</v>
      </c>
      <c r="C12" t="s">
        <v>1270</v>
      </c>
    </row>
    <row r="13" spans="1:3" x14ac:dyDescent="0.25">
      <c r="B13" t="s">
        <v>1271</v>
      </c>
      <c r="C13" t="s">
        <v>1272</v>
      </c>
    </row>
    <row r="14" spans="1:3" x14ac:dyDescent="0.25">
      <c r="B14" t="s">
        <v>1273</v>
      </c>
      <c r="C14" t="s">
        <v>1274</v>
      </c>
    </row>
    <row r="15" spans="1:3" x14ac:dyDescent="0.25">
      <c r="B15" t="s">
        <v>1275</v>
      </c>
      <c r="C15" t="s">
        <v>1276</v>
      </c>
    </row>
    <row r="16" spans="1:3" x14ac:dyDescent="0.25">
      <c r="B16" t="s">
        <v>1277</v>
      </c>
      <c r="C16" t="s">
        <v>1278</v>
      </c>
    </row>
    <row r="17" spans="2:3" x14ac:dyDescent="0.25">
      <c r="B17" t="s">
        <v>1279</v>
      </c>
      <c r="C17" t="s">
        <v>1280</v>
      </c>
    </row>
    <row r="18" spans="2:3" x14ac:dyDescent="0.25">
      <c r="B18" t="s">
        <v>1281</v>
      </c>
      <c r="C18" t="s">
        <v>1282</v>
      </c>
    </row>
    <row r="19" spans="2:3" x14ac:dyDescent="0.25">
      <c r="B19" t="s">
        <v>1283</v>
      </c>
      <c r="C19" t="s">
        <v>1284</v>
      </c>
    </row>
    <row r="20" spans="2:3" x14ac:dyDescent="0.25">
      <c r="B20" t="s">
        <v>1285</v>
      </c>
      <c r="C20" t="s">
        <v>1286</v>
      </c>
    </row>
    <row r="21" spans="2:3" x14ac:dyDescent="0.25">
      <c r="B21" t="s">
        <v>1287</v>
      </c>
      <c r="C21" t="s">
        <v>1288</v>
      </c>
    </row>
    <row r="22" spans="2:3" x14ac:dyDescent="0.25">
      <c r="B22" t="s">
        <v>1253</v>
      </c>
      <c r="C22" t="s">
        <v>1254</v>
      </c>
    </row>
    <row r="23" spans="2:3" x14ac:dyDescent="0.25">
      <c r="B23" t="s">
        <v>1289</v>
      </c>
      <c r="C23" t="s">
        <v>1290</v>
      </c>
    </row>
    <row r="24" spans="2:3" x14ac:dyDescent="0.25">
      <c r="B24" t="s">
        <v>3350</v>
      </c>
      <c r="C24" t="s">
        <v>3351</v>
      </c>
    </row>
    <row r="25" spans="2:3" x14ac:dyDescent="0.25">
      <c r="B25" t="s">
        <v>1255</v>
      </c>
      <c r="C25" t="s">
        <v>1256</v>
      </c>
    </row>
    <row r="26" spans="2:3" x14ac:dyDescent="0.25">
      <c r="B26" t="s">
        <v>1257</v>
      </c>
      <c r="C26" t="s">
        <v>1258</v>
      </c>
    </row>
    <row r="27" spans="2:3" x14ac:dyDescent="0.25">
      <c r="B27" t="s">
        <v>1259</v>
      </c>
      <c r="C27" t="s">
        <v>1260</v>
      </c>
    </row>
    <row r="28" spans="2:3" x14ac:dyDescent="0.25">
      <c r="B28" t="s">
        <v>1261</v>
      </c>
      <c r="C28" t="s">
        <v>1262</v>
      </c>
    </row>
    <row r="29" spans="2:3" x14ac:dyDescent="0.25">
      <c r="B29" t="s">
        <v>1263</v>
      </c>
      <c r="C29" t="s">
        <v>1264</v>
      </c>
    </row>
    <row r="30" spans="2:3" x14ac:dyDescent="0.25">
      <c r="B30" t="s">
        <v>1265</v>
      </c>
      <c r="C30" t="s">
        <v>1266</v>
      </c>
    </row>
    <row r="31" spans="2:3" x14ac:dyDescent="0.25">
      <c r="B31" t="s">
        <v>1267</v>
      </c>
      <c r="C31" t="s">
        <v>1268</v>
      </c>
    </row>
    <row r="32" spans="2:3" x14ac:dyDescent="0.25">
      <c r="B32" t="s">
        <v>3219</v>
      </c>
      <c r="C32" t="s">
        <v>3220</v>
      </c>
    </row>
    <row r="33" spans="2:3" x14ac:dyDescent="0.25">
      <c r="B33" t="s">
        <v>3217</v>
      </c>
      <c r="C33" t="s">
        <v>3218</v>
      </c>
    </row>
    <row r="34" spans="2:3" x14ac:dyDescent="0.25">
      <c r="B34" t="s">
        <v>3367</v>
      </c>
      <c r="C34" t="s">
        <v>3368</v>
      </c>
    </row>
    <row r="35" spans="2:3" x14ac:dyDescent="0.25">
      <c r="B35" t="s">
        <v>3254</v>
      </c>
      <c r="C35" t="s">
        <v>3255</v>
      </c>
    </row>
    <row r="36" spans="2:3" x14ac:dyDescent="0.25">
      <c r="B36" t="s">
        <v>3365</v>
      </c>
      <c r="C36" t="s">
        <v>3366</v>
      </c>
    </row>
    <row r="37" spans="2:3" x14ac:dyDescent="0.25">
      <c r="B37" t="s">
        <v>3256</v>
      </c>
      <c r="C37" t="s">
        <v>3257</v>
      </c>
    </row>
    <row r="38" spans="2:3" x14ac:dyDescent="0.25">
      <c r="B38" t="s">
        <v>3327</v>
      </c>
      <c r="C38" t="s">
        <v>3328</v>
      </c>
    </row>
    <row r="39" spans="2:3" x14ac:dyDescent="0.25">
      <c r="B39" t="s">
        <v>3362</v>
      </c>
      <c r="C39" t="s">
        <v>3363</v>
      </c>
    </row>
    <row r="40" spans="2:3" x14ac:dyDescent="0.25">
      <c r="B40" t="s">
        <v>1291</v>
      </c>
      <c r="C40" t="s">
        <v>1292</v>
      </c>
    </row>
    <row r="41" spans="2:3" x14ac:dyDescent="0.25">
      <c r="B41" t="s">
        <v>1293</v>
      </c>
      <c r="C41" t="s">
        <v>1294</v>
      </c>
    </row>
    <row r="42" spans="2:3" x14ac:dyDescent="0.25">
      <c r="B42" t="s">
        <v>1295</v>
      </c>
      <c r="C42" t="s">
        <v>1296</v>
      </c>
    </row>
    <row r="43" spans="2:3" x14ac:dyDescent="0.25">
      <c r="B43" t="s">
        <v>1297</v>
      </c>
      <c r="C43" t="s">
        <v>1298</v>
      </c>
    </row>
    <row r="44" spans="2:3" x14ac:dyDescent="0.25">
      <c r="B44" t="s">
        <v>1299</v>
      </c>
      <c r="C44" t="s">
        <v>1300</v>
      </c>
    </row>
    <row r="45" spans="2:3" x14ac:dyDescent="0.25">
      <c r="B45" t="s">
        <v>1301</v>
      </c>
      <c r="C45" t="s">
        <v>1302</v>
      </c>
    </row>
    <row r="46" spans="2:3" x14ac:dyDescent="0.25">
      <c r="B46" t="s">
        <v>3335</v>
      </c>
      <c r="C46" t="s">
        <v>1294</v>
      </c>
    </row>
    <row r="47" spans="2:3" x14ac:dyDescent="0.25">
      <c r="B47" t="s">
        <v>3282</v>
      </c>
      <c r="C47" t="s">
        <v>3283</v>
      </c>
    </row>
    <row r="48" spans="2:3" x14ac:dyDescent="0.25">
      <c r="B48" t="s">
        <v>3258</v>
      </c>
      <c r="C48" t="s">
        <v>3259</v>
      </c>
    </row>
    <row r="49" spans="2:3" x14ac:dyDescent="0.25">
      <c r="B49" t="s">
        <v>3260</v>
      </c>
      <c r="C49" t="s">
        <v>3261</v>
      </c>
    </row>
    <row r="50" spans="2:3" x14ac:dyDescent="0.25">
      <c r="B50" t="s">
        <v>3331</v>
      </c>
      <c r="C50" t="s">
        <v>3332</v>
      </c>
    </row>
    <row r="51" spans="2:3" x14ac:dyDescent="0.25">
      <c r="B51" t="s">
        <v>3346</v>
      </c>
      <c r="C51" t="s">
        <v>3347</v>
      </c>
    </row>
    <row r="52" spans="2:3" x14ac:dyDescent="0.25">
      <c r="B52" t="s">
        <v>1303</v>
      </c>
      <c r="C52" t="s">
        <v>1304</v>
      </c>
    </row>
    <row r="53" spans="2:3" x14ac:dyDescent="0.25">
      <c r="B53" t="s">
        <v>1305</v>
      </c>
      <c r="C53" t="s">
        <v>1304</v>
      </c>
    </row>
    <row r="54" spans="2:3" x14ac:dyDescent="0.25">
      <c r="B54" t="s">
        <v>1306</v>
      </c>
      <c r="C54" t="s">
        <v>1307</v>
      </c>
    </row>
    <row r="55" spans="2:3" x14ac:dyDescent="0.25">
      <c r="B55" t="s">
        <v>1324</v>
      </c>
      <c r="C55" t="s">
        <v>1325</v>
      </c>
    </row>
    <row r="56" spans="2:3" x14ac:dyDescent="0.25">
      <c r="B56" t="s">
        <v>3286</v>
      </c>
      <c r="C56" t="s">
        <v>1307</v>
      </c>
    </row>
    <row r="57" spans="2:3" x14ac:dyDescent="0.25">
      <c r="B57" t="s">
        <v>3278</v>
      </c>
      <c r="C57" t="s">
        <v>3279</v>
      </c>
    </row>
    <row r="58" spans="2:3" x14ac:dyDescent="0.25">
      <c r="B58" t="s">
        <v>3329</v>
      </c>
      <c r="C58" t="s">
        <v>3330</v>
      </c>
    </row>
    <row r="59" spans="2:3" x14ac:dyDescent="0.25">
      <c r="B59" t="s">
        <v>3284</v>
      </c>
      <c r="C59" t="s">
        <v>3285</v>
      </c>
    </row>
    <row r="60" spans="2:3" x14ac:dyDescent="0.25">
      <c r="B60" t="s">
        <v>3280</v>
      </c>
      <c r="C60" t="s">
        <v>3281</v>
      </c>
    </row>
    <row r="61" spans="2:3" x14ac:dyDescent="0.25">
      <c r="B61" t="s">
        <v>3333</v>
      </c>
      <c r="C61" t="s">
        <v>3334</v>
      </c>
    </row>
    <row r="62" spans="2:3" x14ac:dyDescent="0.25">
      <c r="B62" t="s">
        <v>1308</v>
      </c>
      <c r="C62" t="s">
        <v>1309</v>
      </c>
    </row>
    <row r="63" spans="2:3" x14ac:dyDescent="0.25">
      <c r="B63" t="s">
        <v>1310</v>
      </c>
      <c r="C63" t="s">
        <v>1311</v>
      </c>
    </row>
    <row r="64" spans="2:3" x14ac:dyDescent="0.25">
      <c r="B64" t="s">
        <v>1312</v>
      </c>
      <c r="C64" t="s">
        <v>1313</v>
      </c>
    </row>
    <row r="65" spans="2:3" x14ac:dyDescent="0.25">
      <c r="B65" t="s">
        <v>1314</v>
      </c>
      <c r="C65" t="s">
        <v>1315</v>
      </c>
    </row>
    <row r="66" spans="2:3" x14ac:dyDescent="0.25">
      <c r="B66" t="s">
        <v>1316</v>
      </c>
      <c r="C66" t="s">
        <v>1317</v>
      </c>
    </row>
    <row r="67" spans="2:3" x14ac:dyDescent="0.25">
      <c r="B67" t="s">
        <v>1318</v>
      </c>
      <c r="C67" t="s">
        <v>1319</v>
      </c>
    </row>
    <row r="68" spans="2:3" x14ac:dyDescent="0.25">
      <c r="B68" t="s">
        <v>1320</v>
      </c>
      <c r="C68" t="s">
        <v>1321</v>
      </c>
    </row>
    <row r="69" spans="2:3" x14ac:dyDescent="0.25">
      <c r="B69" t="s">
        <v>1322</v>
      </c>
      <c r="C69" t="s">
        <v>1323</v>
      </c>
    </row>
    <row r="70" spans="2:3" x14ac:dyDescent="0.25">
      <c r="B70" t="s">
        <v>1326</v>
      </c>
      <c r="C70" t="s">
        <v>1327</v>
      </c>
    </row>
    <row r="71" spans="2:3" x14ac:dyDescent="0.25">
      <c r="B71" t="s">
        <v>1328</v>
      </c>
      <c r="C71" t="s">
        <v>1329</v>
      </c>
    </row>
    <row r="72" spans="2:3" x14ac:dyDescent="0.25">
      <c r="B72" t="s">
        <v>1330</v>
      </c>
      <c r="C72" t="s">
        <v>1331</v>
      </c>
    </row>
    <row r="73" spans="2:3" x14ac:dyDescent="0.25">
      <c r="B73" t="s">
        <v>1348</v>
      </c>
      <c r="C73" t="s">
        <v>1349</v>
      </c>
    </row>
    <row r="74" spans="2:3" x14ac:dyDescent="0.25">
      <c r="B74" t="s">
        <v>1350</v>
      </c>
      <c r="C74" t="s">
        <v>1351</v>
      </c>
    </row>
    <row r="75" spans="2:3" x14ac:dyDescent="0.25">
      <c r="B75" t="s">
        <v>1352</v>
      </c>
      <c r="C75" t="s">
        <v>1353</v>
      </c>
    </row>
    <row r="76" spans="2:3" x14ac:dyDescent="0.25">
      <c r="B76" t="s">
        <v>1354</v>
      </c>
      <c r="C76" t="s">
        <v>1355</v>
      </c>
    </row>
    <row r="77" spans="2:3" x14ac:dyDescent="0.25">
      <c r="B77" t="s">
        <v>1356</v>
      </c>
      <c r="C77" t="s">
        <v>1357</v>
      </c>
    </row>
    <row r="78" spans="2:3" x14ac:dyDescent="0.25">
      <c r="B78" t="s">
        <v>1358</v>
      </c>
      <c r="C78" t="s">
        <v>1359</v>
      </c>
    </row>
    <row r="79" spans="2:3" x14ac:dyDescent="0.25">
      <c r="B79" t="s">
        <v>1360</v>
      </c>
      <c r="C79" t="s">
        <v>1361</v>
      </c>
    </row>
    <row r="80" spans="2:3" x14ac:dyDescent="0.25">
      <c r="B80" t="s">
        <v>1362</v>
      </c>
      <c r="C80" t="s">
        <v>1363</v>
      </c>
    </row>
    <row r="81" spans="2:3" x14ac:dyDescent="0.25">
      <c r="B81" t="s">
        <v>1364</v>
      </c>
      <c r="C81" t="s">
        <v>1365</v>
      </c>
    </row>
    <row r="82" spans="2:3" x14ac:dyDescent="0.25">
      <c r="B82" t="s">
        <v>1366</v>
      </c>
      <c r="C82" t="s">
        <v>1367</v>
      </c>
    </row>
    <row r="83" spans="2:3" x14ac:dyDescent="0.25">
      <c r="B83" t="s">
        <v>1332</v>
      </c>
      <c r="C83" t="s">
        <v>1333</v>
      </c>
    </row>
    <row r="84" spans="2:3" x14ac:dyDescent="0.25">
      <c r="B84" t="s">
        <v>1334</v>
      </c>
      <c r="C84" t="s">
        <v>1335</v>
      </c>
    </row>
    <row r="85" spans="2:3" x14ac:dyDescent="0.25">
      <c r="B85" t="s">
        <v>1336</v>
      </c>
      <c r="C85" t="s">
        <v>1337</v>
      </c>
    </row>
    <row r="86" spans="2:3" x14ac:dyDescent="0.25">
      <c r="B86" t="s">
        <v>1338</v>
      </c>
      <c r="C86" t="s">
        <v>1339</v>
      </c>
    </row>
    <row r="87" spans="2:3" x14ac:dyDescent="0.25">
      <c r="B87" t="s">
        <v>1340</v>
      </c>
      <c r="C87" t="s">
        <v>1341</v>
      </c>
    </row>
    <row r="88" spans="2:3" x14ac:dyDescent="0.25">
      <c r="B88" t="s">
        <v>1342</v>
      </c>
      <c r="C88" t="s">
        <v>1343</v>
      </c>
    </row>
    <row r="89" spans="2:3" x14ac:dyDescent="0.25">
      <c r="B89" t="s">
        <v>1344</v>
      </c>
      <c r="C89" t="s">
        <v>1345</v>
      </c>
    </row>
    <row r="90" spans="2:3" x14ac:dyDescent="0.25">
      <c r="B90" t="s">
        <v>1346</v>
      </c>
      <c r="C90" t="s">
        <v>1347</v>
      </c>
    </row>
    <row r="91" spans="2:3" x14ac:dyDescent="0.25">
      <c r="B91" t="s">
        <v>1368</v>
      </c>
      <c r="C91" t="s">
        <v>1369</v>
      </c>
    </row>
    <row r="92" spans="2:3" x14ac:dyDescent="0.25">
      <c r="B92" t="s">
        <v>1370</v>
      </c>
      <c r="C92" t="s">
        <v>1371</v>
      </c>
    </row>
    <row r="93" spans="2:3" x14ac:dyDescent="0.25">
      <c r="B93" t="s">
        <v>1372</v>
      </c>
      <c r="C93" t="s">
        <v>1373</v>
      </c>
    </row>
    <row r="94" spans="2:3" x14ac:dyDescent="0.25">
      <c r="B94" t="s">
        <v>1374</v>
      </c>
      <c r="C94" t="s">
        <v>1375</v>
      </c>
    </row>
    <row r="95" spans="2:3" x14ac:dyDescent="0.25">
      <c r="B95" t="s">
        <v>1376</v>
      </c>
      <c r="C95" t="s">
        <v>1377</v>
      </c>
    </row>
    <row r="96" spans="2:3" x14ac:dyDescent="0.25">
      <c r="B96" t="s">
        <v>1378</v>
      </c>
      <c r="C96" t="s">
        <v>1379</v>
      </c>
    </row>
    <row r="97" spans="2:3" x14ac:dyDescent="0.25">
      <c r="B97" t="s">
        <v>1380</v>
      </c>
      <c r="C97" t="s">
        <v>1381</v>
      </c>
    </row>
    <row r="98" spans="2:3" x14ac:dyDescent="0.25">
      <c r="B98" t="s">
        <v>1382</v>
      </c>
      <c r="C98" t="s">
        <v>1383</v>
      </c>
    </row>
    <row r="99" spans="2:3" x14ac:dyDescent="0.25">
      <c r="B99" t="s">
        <v>1384</v>
      </c>
      <c r="C99" t="s">
        <v>1385</v>
      </c>
    </row>
    <row r="100" spans="2:3" x14ac:dyDescent="0.25">
      <c r="B100" t="s">
        <v>1386</v>
      </c>
      <c r="C100" t="s">
        <v>1387</v>
      </c>
    </row>
    <row r="101" spans="2:3" x14ac:dyDescent="0.25">
      <c r="B101" t="s">
        <v>1388</v>
      </c>
      <c r="C101" t="s">
        <v>1389</v>
      </c>
    </row>
    <row r="102" spans="2:3" x14ac:dyDescent="0.25">
      <c r="B102" t="s">
        <v>1390</v>
      </c>
      <c r="C102" t="s">
        <v>1391</v>
      </c>
    </row>
    <row r="103" spans="2:3" x14ac:dyDescent="0.25">
      <c r="B103" t="s">
        <v>1392</v>
      </c>
      <c r="C103" t="s">
        <v>1393</v>
      </c>
    </row>
    <row r="104" spans="2:3" x14ac:dyDescent="0.25">
      <c r="B104" t="s">
        <v>1394</v>
      </c>
      <c r="C104" t="s">
        <v>1395</v>
      </c>
    </row>
    <row r="105" spans="2:3" x14ac:dyDescent="0.25">
      <c r="B105" t="s">
        <v>1396</v>
      </c>
      <c r="C105" t="s">
        <v>1397</v>
      </c>
    </row>
    <row r="106" spans="2:3" x14ac:dyDescent="0.25">
      <c r="B106" t="s">
        <v>1398</v>
      </c>
      <c r="C106" t="s">
        <v>1399</v>
      </c>
    </row>
    <row r="107" spans="2:3" x14ac:dyDescent="0.25">
      <c r="B107" t="s">
        <v>1400</v>
      </c>
      <c r="C107" t="s">
        <v>1401</v>
      </c>
    </row>
    <row r="108" spans="2:3" x14ac:dyDescent="0.25">
      <c r="B108" t="s">
        <v>1402</v>
      </c>
      <c r="C108" t="s">
        <v>1403</v>
      </c>
    </row>
    <row r="109" spans="2:3" x14ac:dyDescent="0.25">
      <c r="B109" t="s">
        <v>1404</v>
      </c>
      <c r="C109" t="s">
        <v>1405</v>
      </c>
    </row>
    <row r="110" spans="2:3" x14ac:dyDescent="0.25">
      <c r="B110" t="s">
        <v>1406</v>
      </c>
      <c r="C110" t="s">
        <v>1407</v>
      </c>
    </row>
    <row r="111" spans="2:3" x14ac:dyDescent="0.25">
      <c r="B111" t="s">
        <v>1408</v>
      </c>
      <c r="C111" t="s">
        <v>1409</v>
      </c>
    </row>
    <row r="112" spans="2:3" x14ac:dyDescent="0.25">
      <c r="B112" t="s">
        <v>1410</v>
      </c>
      <c r="C112" t="s">
        <v>1411</v>
      </c>
    </row>
    <row r="113" spans="2:3" x14ac:dyDescent="0.25">
      <c r="B113" t="s">
        <v>1412</v>
      </c>
      <c r="C113" t="s">
        <v>1413</v>
      </c>
    </row>
    <row r="114" spans="2:3" x14ac:dyDescent="0.25">
      <c r="B114" t="s">
        <v>1414</v>
      </c>
      <c r="C114" t="s">
        <v>1415</v>
      </c>
    </row>
    <row r="115" spans="2:3" x14ac:dyDescent="0.25">
      <c r="B115" t="s">
        <v>1416</v>
      </c>
      <c r="C115" t="s">
        <v>1417</v>
      </c>
    </row>
    <row r="116" spans="2:3" x14ac:dyDescent="0.25">
      <c r="B116" t="s">
        <v>1418</v>
      </c>
      <c r="C116" t="s">
        <v>1419</v>
      </c>
    </row>
    <row r="117" spans="2:3" x14ac:dyDescent="0.25">
      <c r="B117" t="s">
        <v>1420</v>
      </c>
      <c r="C117" t="s">
        <v>1421</v>
      </c>
    </row>
    <row r="118" spans="2:3" x14ac:dyDescent="0.25">
      <c r="B118" t="s">
        <v>1422</v>
      </c>
      <c r="C118" t="s">
        <v>1423</v>
      </c>
    </row>
    <row r="119" spans="2:3" x14ac:dyDescent="0.25">
      <c r="B119" t="s">
        <v>1424</v>
      </c>
      <c r="C119" t="s">
        <v>1423</v>
      </c>
    </row>
    <row r="120" spans="2:3" x14ac:dyDescent="0.25">
      <c r="B120" t="s">
        <v>1425</v>
      </c>
      <c r="C120" t="s">
        <v>1426</v>
      </c>
    </row>
    <row r="121" spans="2:3" x14ac:dyDescent="0.25">
      <c r="B121" t="s">
        <v>3213</v>
      </c>
      <c r="C121" t="s">
        <v>3214</v>
      </c>
    </row>
    <row r="122" spans="2:3" x14ac:dyDescent="0.25">
      <c r="B122" t="s">
        <v>3320</v>
      </c>
      <c r="C122" t="s">
        <v>3321</v>
      </c>
    </row>
    <row r="123" spans="2:3" x14ac:dyDescent="0.25">
      <c r="B123" t="s">
        <v>1427</v>
      </c>
      <c r="C123" t="s">
        <v>1428</v>
      </c>
    </row>
    <row r="124" spans="2:3" x14ac:dyDescent="0.25">
      <c r="B124" t="s">
        <v>1429</v>
      </c>
      <c r="C124" t="s">
        <v>1430</v>
      </c>
    </row>
    <row r="125" spans="2:3" x14ac:dyDescent="0.25">
      <c r="B125" t="s">
        <v>1431</v>
      </c>
      <c r="C125" t="s">
        <v>1432</v>
      </c>
    </row>
    <row r="126" spans="2:3" x14ac:dyDescent="0.25">
      <c r="B126" t="s">
        <v>1433</v>
      </c>
      <c r="C126" t="s">
        <v>1434</v>
      </c>
    </row>
    <row r="127" spans="2:3" x14ac:dyDescent="0.25">
      <c r="B127" t="s">
        <v>1435</v>
      </c>
      <c r="C127" t="s">
        <v>1436</v>
      </c>
    </row>
    <row r="128" spans="2:3" x14ac:dyDescent="0.25">
      <c r="B128" t="s">
        <v>1437</v>
      </c>
      <c r="C128" t="s">
        <v>1438</v>
      </c>
    </row>
    <row r="129" spans="1:3" x14ac:dyDescent="0.25">
      <c r="B129" t="s">
        <v>1439</v>
      </c>
      <c r="C129" t="s">
        <v>1440</v>
      </c>
    </row>
    <row r="130" spans="1:3" x14ac:dyDescent="0.25">
      <c r="B130" t="s">
        <v>1441</v>
      </c>
      <c r="C130" t="s">
        <v>1442</v>
      </c>
    </row>
    <row r="131" spans="1:3" x14ac:dyDescent="0.25">
      <c r="B131" t="s">
        <v>1443</v>
      </c>
      <c r="C131" t="s">
        <v>1444</v>
      </c>
    </row>
    <row r="132" spans="1:3" x14ac:dyDescent="0.25">
      <c r="B132" t="s">
        <v>1445</v>
      </c>
      <c r="C132" t="s">
        <v>1446</v>
      </c>
    </row>
    <row r="133" spans="1:3" x14ac:dyDescent="0.25">
      <c r="B133" t="s">
        <v>1447</v>
      </c>
      <c r="C133" t="s">
        <v>1448</v>
      </c>
    </row>
    <row r="134" spans="1:3" x14ac:dyDescent="0.25">
      <c r="B134" t="s">
        <v>1449</v>
      </c>
      <c r="C134" t="s">
        <v>1450</v>
      </c>
    </row>
    <row r="135" spans="1:3" x14ac:dyDescent="0.25">
      <c r="B135" t="s">
        <v>1451</v>
      </c>
      <c r="C135" t="s">
        <v>1452</v>
      </c>
    </row>
    <row r="136" spans="1:3" x14ac:dyDescent="0.25">
      <c r="A136" t="s">
        <v>3390</v>
      </c>
    </row>
    <row r="137" spans="1:3" x14ac:dyDescent="0.25">
      <c r="A137" t="s">
        <v>19</v>
      </c>
    </row>
    <row r="138" spans="1:3" x14ac:dyDescent="0.25">
      <c r="A138" t="s">
        <v>3076</v>
      </c>
    </row>
    <row r="139" spans="1:3" x14ac:dyDescent="0.25">
      <c r="A139" t="s">
        <v>139</v>
      </c>
    </row>
    <row r="140" spans="1:3" x14ac:dyDescent="0.25">
      <c r="A140" t="s">
        <v>2419</v>
      </c>
    </row>
    <row r="141" spans="1:3" x14ac:dyDescent="0.25">
      <c r="A141" t="s">
        <v>50</v>
      </c>
    </row>
    <row r="142" spans="1:3" x14ac:dyDescent="0.25">
      <c r="A142" t="s">
        <v>2459</v>
      </c>
    </row>
    <row r="143" spans="1:3" x14ac:dyDescent="0.25">
      <c r="A143" t="s">
        <v>1453</v>
      </c>
    </row>
    <row r="144" spans="1:3" x14ac:dyDescent="0.25">
      <c r="A144" t="s">
        <v>2503</v>
      </c>
    </row>
    <row r="145" spans="1:1" x14ac:dyDescent="0.25">
      <c r="A145" t="s">
        <v>3336</v>
      </c>
    </row>
    <row r="146" spans="1:1" x14ac:dyDescent="0.25">
      <c r="A146" t="s">
        <v>3317</v>
      </c>
    </row>
    <row r="147" spans="1:1" x14ac:dyDescent="0.25">
      <c r="A147" t="s">
        <v>3305</v>
      </c>
    </row>
    <row r="148" spans="1:1" x14ac:dyDescent="0.25">
      <c r="A148" t="s">
        <v>3226</v>
      </c>
    </row>
    <row r="149" spans="1:1" x14ac:dyDescent="0.25">
      <c r="A149" t="s">
        <v>107</v>
      </c>
    </row>
    <row r="150" spans="1:1" x14ac:dyDescent="0.25">
      <c r="A150" t="s">
        <v>3381</v>
      </c>
    </row>
    <row r="151" spans="1:1" x14ac:dyDescent="0.25">
      <c r="A151" t="s">
        <v>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Рахимов Ильнар</dc:creator>
  <cp:lastModifiedBy>Рахимов Ильнар</cp:lastModifiedBy>
  <dcterms:created xsi:type="dcterms:W3CDTF">2026-03-30T08:46:21Z</dcterms:created>
  <dcterms:modified xsi:type="dcterms:W3CDTF">2026-04-02T12:57:51Z</dcterms:modified>
</cp:coreProperties>
</file>